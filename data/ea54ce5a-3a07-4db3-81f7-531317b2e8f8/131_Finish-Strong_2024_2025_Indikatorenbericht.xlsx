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BKA\Sektion_II\II_3\3_NATIONAL\13_Monitoring Indikatoren\Hackaton Daten\2024_2025\"/>
    </mc:Choice>
  </mc:AlternateContent>
  <xr:revisionPtr revIDLastSave="0" documentId="13_ncr:1_{A547BB6F-A293-435D-A9C9-9155F2EA853A}" xr6:coauthVersionLast="47" xr6:coauthVersionMax="47" xr10:uidLastSave="{00000000-0000-0000-0000-000000000000}"/>
  <bookViews>
    <workbookView xWindow="-120" yWindow="-120" windowWidth="29040" windowHeight="15720" xr2:uid="{00000000-000D-0000-FFFF-FFFF00000000}"/>
  </bookViews>
  <sheets>
    <sheet name="Overview IB" sheetId="1" r:id="rId1"/>
    <sheet name="Drop Down" sheetId="10" state="hidden" r:id="rId2"/>
    <sheet name="1. ZWB" sheetId="6" r:id="rId3"/>
    <sheet name="2. ZWB" sheetId="14" r:id="rId4"/>
    <sheet name="3. ZWB" sheetId="15" r:id="rId5"/>
    <sheet name="EB" sheetId="16" r:id="rId6"/>
  </sheets>
  <externalReferences>
    <externalReference r:id="rId7"/>
    <externalReference r:id="rId8"/>
  </externalReferences>
  <definedNames>
    <definedName name="A_Ja_Nein_Liste">[1]sysAuswahl!$A$5:$A$6</definedName>
    <definedName name="A_Ja_Nein_Rev">[1]sysAuswahl!$F$5:$G$7</definedName>
    <definedName name="A_Ja_Nein_Wert">[1]sysAuswahl!$C$5:$D$7</definedName>
    <definedName name="A_MASSN_Liste">[1]sysAuswahl!$A$23:$A$31</definedName>
    <definedName name="A_MASSN_Rev">[1]sysAuswahl!$F$23:$G$32</definedName>
    <definedName name="A_MASSN_Wert">[1]sysAuswahl!$C$23:$D$32</definedName>
    <definedName name="A_ProjArt_Liste">[1]sysAuswahl!$A$14:$A$16</definedName>
    <definedName name="_xlnm.Print_Area" localSheetId="2">'1. ZWB'!$B$3:$AE$99</definedName>
    <definedName name="_xlnm.Print_Area" localSheetId="3">'2. ZWB'!$B$3:$AE$99</definedName>
    <definedName name="_xlnm.Print_Area" localSheetId="4">'3. ZWB'!$B$3:$AE$99</definedName>
    <definedName name="_xlnm.Print_Area" localSheetId="5">EB!$B$3:$AE$99</definedName>
    <definedName name="_xlnm.Print_Area" localSheetId="0">'Overview IB'!$B$2:$AE$114</definedName>
    <definedName name="F_FondsBez">[1]Eingabe_1_bis_4!$F$15</definedName>
    <definedName name="F_Massnahme">[1]Eingabe_1_bis_4!$F$19</definedName>
    <definedName name="F_MONSYS_Aktenzeichen">[1]Eingabe_1_bis_4!$F$7</definedName>
    <definedName name="F_MONSYS_Eingangsdatum">[1]Eingabe_1_bis_4!$F$5</definedName>
    <definedName name="F_MONSYS_eingegangenBei">[1]Eingabe_1_bis_4!$F$4</definedName>
    <definedName name="F_MONSYS_FassungVom">[1]Eingabe_1_bis_4!$F$6</definedName>
    <definedName name="F_MONSYS_Projektcode">[1]Eingabe_1_bis_4!$F$9</definedName>
    <definedName name="F_MONSYS_Vertragsnummer">[1]Eingabe_1_bis_4!$F$8</definedName>
    <definedName name="F_PA1_Ansprech">[1]Eingabe_5!$F$20</definedName>
    <definedName name="F_PA1_Email">[1]Eingabe_5!$F$26</definedName>
    <definedName name="F_PA1_Fax">[1]Eingabe_5!$F$24</definedName>
    <definedName name="F_PA1_Telefon">[1]Eingabe_5!$F$22</definedName>
    <definedName name="F_PA2_Ansprech">[1]Eingabe_5!$F$44</definedName>
    <definedName name="F_PA2_Email">[1]Eingabe_5!$F$50</definedName>
    <definedName name="F_PA2_Fax">[1]Eingabe_5!$F$48</definedName>
    <definedName name="F_PA2_Telefon">[1]Eingabe_5!$F$46</definedName>
    <definedName name="F_PK_KACode_L00">[1]Eingabe_6!$F$48</definedName>
    <definedName name="F_PK_KACode_L01">[1]Eingabe_6!$F$52</definedName>
    <definedName name="F_PK_KACode_L02">[1]Eingabe_6!$F$56</definedName>
    <definedName name="F_PK_KACode_L03">[1]Eingabe_6!$F$60</definedName>
    <definedName name="F_PK_KACode_L04">[1]Eingabe_6!$F$64</definedName>
    <definedName name="F_PK_KACode_L05">[1]Eingabe_6!$F$68</definedName>
    <definedName name="F_PK_KACode_L06">[1]Eingabe_6!$F$72</definedName>
    <definedName name="F_PK_KACode_L07">[1]Eingabe_6!$F$76</definedName>
    <definedName name="F_PK_KACode_L08">[1]Eingabe_6!$F$80</definedName>
    <definedName name="F_PK_KACode_L09">[1]Eingabe_6!$F$84</definedName>
    <definedName name="F_PK_PK_Notiz_L00">[1]Eingabe_6!$F$50</definedName>
    <definedName name="F_PK_PK_Notiz_L01">[1]Eingabe_6!$F$54</definedName>
    <definedName name="F_PK_PK_Notiz_L02">[1]Eingabe_6!$F$58</definedName>
    <definedName name="F_PK_PK_Notiz_L03">[1]Eingabe_6!$F$62</definedName>
    <definedName name="F_PK_PK_Notiz_L04">[1]Eingabe_6!$F$66</definedName>
    <definedName name="F_PK_PK_Notiz_L05">[1]Eingabe_6!$F$70</definedName>
    <definedName name="F_PK_PK_Notiz_L06">[1]Eingabe_6!$F$74</definedName>
    <definedName name="F_PK_PK_Notiz_L07">[1]Eingabe_6!$F$78</definedName>
    <definedName name="F_PK_PK_Notiz_L08">[1]Eingabe_6!$F$82</definedName>
    <definedName name="F_PK_PK_Notiz_L09">[1]Eingabe_6!$F$86</definedName>
    <definedName name="F_PK_Z01">[1]Eingabe_6!$F$34</definedName>
    <definedName name="F_PK_Z02">[1]Eingabe_6!$F$36</definedName>
    <definedName name="F_PK_Z03">[1]Eingabe_6!$F$38</definedName>
    <definedName name="F_PK_Z04">[1]Eingabe_6!$F$40</definedName>
    <definedName name="F_PR_AZVFS">[1]Eingabe_1_bis_4!$F$25</definedName>
    <definedName name="F_PR_FEAnsprech">[1]Eingabe_1_bis_4!$F$71</definedName>
    <definedName name="F_PR_FEAnsprech_Email">[1]Eingabe_1_bis_4!$F$77</definedName>
    <definedName name="F_PR_FEAnsprech_Fax">[1]Eingabe_1_bis_4!$F$75</definedName>
    <definedName name="F_PR_FEAnsprech_Telefon">[1]Eingabe_1_bis_4!$F$73</definedName>
    <definedName name="F_PR_FEBLZ">[1]Eingabe_1_bis_4!$F$87</definedName>
    <definedName name="F_PR_FEKontonr">[1]Eingabe_1_bis_4!$F$85</definedName>
    <definedName name="F_PR_FeMWST">[1]Eingabe_1_bis_4!$F$61</definedName>
    <definedName name="F_PR_FEZeichBerecht">[1]Eingabe_1_bis_4!$F$57</definedName>
    <definedName name="F_PR_Grenzland">[1]Eingabe_1_bis_4!$F$67</definedName>
    <definedName name="F_PR_Link">[1]Eingabe_1_bis_4!$F$81</definedName>
    <definedName name="F_PR_Projdf_anf">[1]Eingabe_6!$F$7</definedName>
    <definedName name="F_PR_Projdf_end">[1]Eingabe_6!$F$9</definedName>
    <definedName name="F_PR_Projektbeschreibung1">[1]Eingabe_6!$F$27</definedName>
    <definedName name="F_PR_Projektbeschreibung2">[1]Eingabe_6!$F$28</definedName>
    <definedName name="F_PR_Projinfo">[1]Eingabe_6!$F$25</definedName>
    <definedName name="F_PR_Projtitel">[1]Eingabe_1_bis_4!$F$23</definedName>
    <definedName name="F_PR_Standort">[1]Eingabe_6!$F$44</definedName>
    <definedName name="F_PR_Ziele">[1]Eingabe_6!$F$30</definedName>
    <definedName name="Handlungsfeld">'[2]Angaben zum Projekt'!$D$6</definedName>
    <definedName name="Maßnahmenbereich" localSheetId="2">#REF!</definedName>
    <definedName name="Maßnahmenbereich" localSheetId="3">#REF!</definedName>
    <definedName name="Maßnahmenbereich" localSheetId="4">#REF!</definedName>
    <definedName name="Maßnahmenbereich" localSheetId="5">#REF!</definedName>
    <definedName name="Maßnahmenbereich">#REF!</definedName>
    <definedName name="Sprache_und_Bildung" localSheetId="3">'Overview IB'!#REF!</definedName>
    <definedName name="Sprache_und_Bildung" localSheetId="4">'Overview IB'!#REF!</definedName>
    <definedName name="Sprache_und_Bildung" localSheetId="5">'Overview IB'!#REF!</definedName>
    <definedName name="Sprache_und_Bildung">'Overview IB'!#REF!</definedName>
    <definedName name="Version_Dok">[1]Version!$B$1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W113" i="1" l="1"/>
  <c r="W112" i="1"/>
  <c r="W111" i="1"/>
  <c r="W110" i="1"/>
  <c r="W108" i="1"/>
  <c r="W107" i="1"/>
  <c r="W103" i="1"/>
  <c r="W101" i="1"/>
  <c r="W100" i="1"/>
  <c r="W99" i="1"/>
  <c r="W98" i="1"/>
  <c r="W97" i="1"/>
  <c r="W96" i="1"/>
  <c r="W95" i="1"/>
  <c r="W92" i="1"/>
  <c r="W91" i="1"/>
  <c r="W90" i="1"/>
  <c r="W89" i="1"/>
  <c r="W88" i="1"/>
  <c r="W87" i="1"/>
  <c r="W84" i="1"/>
  <c r="W83" i="1"/>
  <c r="W82" i="1"/>
  <c r="W81" i="1"/>
  <c r="W80" i="1"/>
  <c r="W79" i="1"/>
  <c r="W41" i="1"/>
  <c r="W40" i="1"/>
  <c r="W38" i="1"/>
  <c r="W37" i="1"/>
  <c r="W28" i="1"/>
  <c r="W27" i="1"/>
  <c r="T95" i="1" l="1"/>
  <c r="T79" i="1"/>
  <c r="S86" i="16"/>
  <c r="AD101" i="1" s="1"/>
  <c r="S85" i="16"/>
  <c r="AD100" i="1" s="1"/>
  <c r="S86" i="15"/>
  <c r="AA101" i="1" s="1"/>
  <c r="S85" i="15"/>
  <c r="S84" i="15"/>
  <c r="S83" i="15"/>
  <c r="AA98" i="1" s="1"/>
  <c r="S82" i="15"/>
  <c r="S75" i="15"/>
  <c r="S73" i="15"/>
  <c r="AA88" i="1" s="1"/>
  <c r="R70" i="16"/>
  <c r="AC85" i="1" s="1"/>
  <c r="R70" i="15"/>
  <c r="Z85" i="1" s="1"/>
  <c r="R70" i="14"/>
  <c r="W85" i="1" s="1"/>
  <c r="R70" i="6"/>
  <c r="T85" i="1" s="1"/>
  <c r="W34" i="16"/>
  <c r="V34" i="16"/>
  <c r="X34" i="16"/>
  <c r="Y34" i="16"/>
  <c r="Z34" i="16"/>
  <c r="AA34" i="16"/>
  <c r="AB34" i="16"/>
  <c r="AC34" i="16"/>
  <c r="AD34" i="16"/>
  <c r="U34" i="16"/>
  <c r="V34" i="15"/>
  <c r="W34" i="15"/>
  <c r="X34" i="15"/>
  <c r="Y34" i="15"/>
  <c r="Z34" i="15"/>
  <c r="AA34" i="15"/>
  <c r="AB34" i="15"/>
  <c r="AC34" i="15"/>
  <c r="AD34" i="15"/>
  <c r="U34" i="15"/>
  <c r="V34" i="14"/>
  <c r="W34" i="14"/>
  <c r="X34" i="14"/>
  <c r="Y34" i="14"/>
  <c r="Z34" i="14"/>
  <c r="AA34" i="14"/>
  <c r="AB34" i="14"/>
  <c r="AC34" i="14"/>
  <c r="AD34" i="14"/>
  <c r="U34" i="14"/>
  <c r="V34" i="6"/>
  <c r="W34" i="6"/>
  <c r="X34" i="6"/>
  <c r="Y34" i="6"/>
  <c r="Z34" i="6"/>
  <c r="AA34" i="6"/>
  <c r="AB34" i="6"/>
  <c r="AC34" i="6"/>
  <c r="AD34" i="6"/>
  <c r="U34" i="6"/>
  <c r="R34" i="6"/>
  <c r="E49" i="1"/>
  <c r="E34" i="16" s="1"/>
  <c r="J49" i="1"/>
  <c r="K49" i="1"/>
  <c r="H34" i="6" s="1"/>
  <c r="L49" i="1"/>
  <c r="I34" i="14" s="1"/>
  <c r="M49" i="1"/>
  <c r="J34" i="15" s="1"/>
  <c r="N49" i="1"/>
  <c r="O49" i="1"/>
  <c r="L34" i="6" s="1"/>
  <c r="P49" i="1"/>
  <c r="M34" i="15" s="1"/>
  <c r="Q49" i="1"/>
  <c r="N34" i="15" s="1"/>
  <c r="R49" i="1"/>
  <c r="I49" i="1"/>
  <c r="D59" i="1"/>
  <c r="D44" i="16" s="1"/>
  <c r="S44" i="16" s="1"/>
  <c r="AD59" i="1" s="1"/>
  <c r="D106" i="1"/>
  <c r="D91" i="6" s="1"/>
  <c r="S91" i="6" s="1"/>
  <c r="U106" i="1" s="1"/>
  <c r="D11" i="1"/>
  <c r="AC80" i="1"/>
  <c r="AC81" i="1"/>
  <c r="AC82" i="1"/>
  <c r="AC83" i="1"/>
  <c r="AC84" i="1"/>
  <c r="AC79" i="1"/>
  <c r="AC88" i="1"/>
  <c r="AC89" i="1"/>
  <c r="AC90" i="1"/>
  <c r="AC91" i="1"/>
  <c r="AC92" i="1"/>
  <c r="AC95" i="1"/>
  <c r="AC96" i="1"/>
  <c r="AC97" i="1"/>
  <c r="AC98" i="1"/>
  <c r="AC99" i="1"/>
  <c r="AC100" i="1"/>
  <c r="AC101" i="1"/>
  <c r="AC87" i="1"/>
  <c r="Q98" i="16"/>
  <c r="AC113" i="1" s="1"/>
  <c r="O98" i="16"/>
  <c r="N98" i="16"/>
  <c r="M98" i="16"/>
  <c r="L98" i="16"/>
  <c r="K98" i="16"/>
  <c r="J98" i="16"/>
  <c r="I98" i="16"/>
  <c r="H98" i="16"/>
  <c r="G98" i="16"/>
  <c r="F98" i="16"/>
  <c r="E98" i="16"/>
  <c r="C98" i="16"/>
  <c r="Q97" i="16"/>
  <c r="AC112" i="1" s="1"/>
  <c r="O97" i="16"/>
  <c r="N97" i="16"/>
  <c r="M97" i="16"/>
  <c r="L97" i="16"/>
  <c r="K97" i="16"/>
  <c r="J97" i="16"/>
  <c r="I97" i="16"/>
  <c r="H97" i="16"/>
  <c r="G97" i="16"/>
  <c r="F97" i="16"/>
  <c r="E97" i="16"/>
  <c r="Q96" i="16"/>
  <c r="AC111" i="1" s="1"/>
  <c r="O96" i="16"/>
  <c r="N96" i="16"/>
  <c r="M96" i="16"/>
  <c r="L96" i="16"/>
  <c r="K96" i="16"/>
  <c r="J96" i="16"/>
  <c r="I96" i="16"/>
  <c r="H96" i="16"/>
  <c r="G96" i="16"/>
  <c r="F96" i="16"/>
  <c r="E96" i="16"/>
  <c r="Q95" i="16"/>
  <c r="AC110" i="1" s="1"/>
  <c r="O95" i="16"/>
  <c r="N95" i="16"/>
  <c r="M95" i="16"/>
  <c r="L95" i="16"/>
  <c r="K95" i="16"/>
  <c r="J95" i="16"/>
  <c r="I95" i="16"/>
  <c r="H95" i="16"/>
  <c r="G95" i="16"/>
  <c r="F95" i="16"/>
  <c r="E95" i="16"/>
  <c r="Q94" i="16"/>
  <c r="AC109" i="1" s="1"/>
  <c r="O94" i="16"/>
  <c r="N94" i="16"/>
  <c r="M94" i="16"/>
  <c r="L94" i="16"/>
  <c r="K94" i="16"/>
  <c r="J94" i="16"/>
  <c r="I94" i="16"/>
  <c r="H94" i="16"/>
  <c r="G94" i="16"/>
  <c r="F94" i="16"/>
  <c r="E94" i="16"/>
  <c r="Q93" i="16"/>
  <c r="AC108" i="1" s="1"/>
  <c r="O93" i="16"/>
  <c r="N93" i="16"/>
  <c r="M93" i="16"/>
  <c r="L93" i="16"/>
  <c r="K93" i="16"/>
  <c r="J93" i="16"/>
  <c r="I93" i="16"/>
  <c r="H93" i="16"/>
  <c r="G93" i="16"/>
  <c r="F93" i="16"/>
  <c r="E93" i="16"/>
  <c r="Q92" i="16"/>
  <c r="AC107" i="1" s="1"/>
  <c r="O92" i="16"/>
  <c r="N92" i="16"/>
  <c r="M92" i="16"/>
  <c r="L92" i="16"/>
  <c r="K92" i="16"/>
  <c r="J92" i="16"/>
  <c r="I92" i="16"/>
  <c r="H92" i="16"/>
  <c r="G92" i="16"/>
  <c r="F92" i="16"/>
  <c r="E92" i="16"/>
  <c r="Q91" i="16"/>
  <c r="AC106" i="1" s="1"/>
  <c r="O91" i="16"/>
  <c r="N91" i="16"/>
  <c r="M91" i="16"/>
  <c r="L91" i="16"/>
  <c r="K91" i="16"/>
  <c r="J91" i="16"/>
  <c r="I91" i="16"/>
  <c r="H91" i="16"/>
  <c r="G91" i="16"/>
  <c r="F91" i="16"/>
  <c r="E91" i="16"/>
  <c r="Q88" i="16"/>
  <c r="AC103" i="1" s="1"/>
  <c r="O88" i="16"/>
  <c r="N88" i="16"/>
  <c r="M88" i="16"/>
  <c r="L88" i="16"/>
  <c r="K88" i="16"/>
  <c r="J88" i="16"/>
  <c r="I88" i="16"/>
  <c r="H88" i="16"/>
  <c r="G88" i="16"/>
  <c r="F88" i="16"/>
  <c r="E88" i="16"/>
  <c r="R87" i="16"/>
  <c r="AC102" i="1" s="1"/>
  <c r="E86" i="16"/>
  <c r="D86" i="16"/>
  <c r="E85" i="16"/>
  <c r="D85" i="16"/>
  <c r="E84" i="16"/>
  <c r="D84" i="16"/>
  <c r="S84" i="16" s="1"/>
  <c r="AD99" i="1" s="1"/>
  <c r="E83" i="16"/>
  <c r="D83" i="16"/>
  <c r="S83" i="16" s="1"/>
  <c r="AD98" i="1" s="1"/>
  <c r="E82" i="16"/>
  <c r="D82" i="16"/>
  <c r="S82" i="16" s="1"/>
  <c r="AD97" i="1" s="1"/>
  <c r="E81" i="16"/>
  <c r="D81" i="16"/>
  <c r="S81" i="16" s="1"/>
  <c r="AD96" i="1" s="1"/>
  <c r="E80" i="16"/>
  <c r="D80" i="16"/>
  <c r="S80" i="16" s="1"/>
  <c r="AD95" i="1" s="1"/>
  <c r="R78" i="16"/>
  <c r="AC93" i="1" s="1"/>
  <c r="E77" i="16"/>
  <c r="D77" i="16"/>
  <c r="S77" i="16" s="1"/>
  <c r="AD92" i="1" s="1"/>
  <c r="E76" i="16"/>
  <c r="D76" i="16"/>
  <c r="S76" i="16" s="1"/>
  <c r="AD91" i="1" s="1"/>
  <c r="E75" i="16"/>
  <c r="D75" i="16"/>
  <c r="S75" i="16" s="1"/>
  <c r="AD90" i="1" s="1"/>
  <c r="E74" i="16"/>
  <c r="D74" i="16"/>
  <c r="S74" i="16" s="1"/>
  <c r="AD89" i="1" s="1"/>
  <c r="E73" i="16"/>
  <c r="D73" i="16"/>
  <c r="S73" i="16" s="1"/>
  <c r="AD88" i="1" s="1"/>
  <c r="E72" i="16"/>
  <c r="D72" i="16"/>
  <c r="S72" i="16" s="1"/>
  <c r="AD87" i="1" s="1"/>
  <c r="Q60" i="16"/>
  <c r="AC75" i="1" s="1"/>
  <c r="O60" i="16"/>
  <c r="N60" i="16"/>
  <c r="M60" i="16"/>
  <c r="L60" i="16"/>
  <c r="K60" i="16"/>
  <c r="J60" i="16"/>
  <c r="I60" i="16"/>
  <c r="H60" i="16"/>
  <c r="G60" i="16"/>
  <c r="F60" i="16"/>
  <c r="E60" i="16"/>
  <c r="C60" i="16"/>
  <c r="Q59" i="16"/>
  <c r="AC74" i="1" s="1"/>
  <c r="O59" i="16"/>
  <c r="N59" i="16"/>
  <c r="M59" i="16"/>
  <c r="L59" i="16"/>
  <c r="K59" i="16"/>
  <c r="J59" i="16"/>
  <c r="I59" i="16"/>
  <c r="H59" i="16"/>
  <c r="G59" i="16"/>
  <c r="F59" i="16"/>
  <c r="E59" i="16"/>
  <c r="C59" i="16"/>
  <c r="Q58" i="16"/>
  <c r="AC73" i="1" s="1"/>
  <c r="O58" i="16"/>
  <c r="N58" i="16"/>
  <c r="M58" i="16"/>
  <c r="L58" i="16"/>
  <c r="K58" i="16"/>
  <c r="J58" i="16"/>
  <c r="I58" i="16"/>
  <c r="H58" i="16"/>
  <c r="G58" i="16"/>
  <c r="F58" i="16"/>
  <c r="E58" i="16"/>
  <c r="Q57" i="16"/>
  <c r="AC72" i="1" s="1"/>
  <c r="O57" i="16"/>
  <c r="N57" i="16"/>
  <c r="M57" i="16"/>
  <c r="L57" i="16"/>
  <c r="K57" i="16"/>
  <c r="J57" i="16"/>
  <c r="I57" i="16"/>
  <c r="H57" i="16"/>
  <c r="G57" i="16"/>
  <c r="F57" i="16"/>
  <c r="E57" i="16"/>
  <c r="Q56" i="16"/>
  <c r="AC71" i="1" s="1"/>
  <c r="O56" i="16"/>
  <c r="N56" i="16"/>
  <c r="M56" i="16"/>
  <c r="L56" i="16"/>
  <c r="K56" i="16"/>
  <c r="J56" i="16"/>
  <c r="I56" i="16"/>
  <c r="H56" i="16"/>
  <c r="G56" i="16"/>
  <c r="F56" i="16"/>
  <c r="E56" i="16"/>
  <c r="Q55" i="16"/>
  <c r="AC70" i="1" s="1"/>
  <c r="O55" i="16"/>
  <c r="N55" i="16"/>
  <c r="M55" i="16"/>
  <c r="L55" i="16"/>
  <c r="K55" i="16"/>
  <c r="J55" i="16"/>
  <c r="I55" i="16"/>
  <c r="H55" i="16"/>
  <c r="G55" i="16"/>
  <c r="F55" i="16"/>
  <c r="E55" i="16"/>
  <c r="Q54" i="16"/>
  <c r="AC69" i="1" s="1"/>
  <c r="O54" i="16"/>
  <c r="N54" i="16"/>
  <c r="M54" i="16"/>
  <c r="L54" i="16"/>
  <c r="K54" i="16"/>
  <c r="J54" i="16"/>
  <c r="I54" i="16"/>
  <c r="H54" i="16"/>
  <c r="G54" i="16"/>
  <c r="F54" i="16"/>
  <c r="E54" i="16"/>
  <c r="Q53" i="16"/>
  <c r="AC68" i="1" s="1"/>
  <c r="O53" i="16"/>
  <c r="N53" i="16"/>
  <c r="M53" i="16"/>
  <c r="L53" i="16"/>
  <c r="K53" i="16"/>
  <c r="J53" i="16"/>
  <c r="I53" i="16"/>
  <c r="H53" i="16"/>
  <c r="G53" i="16"/>
  <c r="F53" i="16"/>
  <c r="E53" i="16"/>
  <c r="Q52" i="16"/>
  <c r="AC67" i="1" s="1"/>
  <c r="O52" i="16"/>
  <c r="N52" i="16"/>
  <c r="M52" i="16"/>
  <c r="L52" i="16"/>
  <c r="K52" i="16"/>
  <c r="J52" i="16"/>
  <c r="I52" i="16"/>
  <c r="H52" i="16"/>
  <c r="G52" i="16"/>
  <c r="F52" i="16"/>
  <c r="E52" i="16"/>
  <c r="Q51" i="16"/>
  <c r="AC66" i="1" s="1"/>
  <c r="O51" i="16"/>
  <c r="N51" i="16"/>
  <c r="M51" i="16"/>
  <c r="L51" i="16"/>
  <c r="K51" i="16"/>
  <c r="J51" i="16"/>
  <c r="I51" i="16"/>
  <c r="H51" i="16"/>
  <c r="G51" i="16"/>
  <c r="F51" i="16"/>
  <c r="E51" i="16"/>
  <c r="Q50" i="16"/>
  <c r="AC65" i="1" s="1"/>
  <c r="O50" i="16"/>
  <c r="N50" i="16"/>
  <c r="M50" i="16"/>
  <c r="L50" i="16"/>
  <c r="K50" i="16"/>
  <c r="J50" i="16"/>
  <c r="I50" i="16"/>
  <c r="H50" i="16"/>
  <c r="G50" i="16"/>
  <c r="F50" i="16"/>
  <c r="E50" i="16"/>
  <c r="Q49" i="16"/>
  <c r="AC64" i="1" s="1"/>
  <c r="O49" i="16"/>
  <c r="N49" i="16"/>
  <c r="M49" i="16"/>
  <c r="L49" i="16"/>
  <c r="K49" i="16"/>
  <c r="J49" i="16"/>
  <c r="I49" i="16"/>
  <c r="H49" i="16"/>
  <c r="G49" i="16"/>
  <c r="F49" i="16"/>
  <c r="E49" i="16"/>
  <c r="Q47" i="16"/>
  <c r="AC62" i="1" s="1"/>
  <c r="O47" i="16"/>
  <c r="N47" i="16"/>
  <c r="M47" i="16"/>
  <c r="L47" i="16"/>
  <c r="K47" i="16"/>
  <c r="J47" i="16"/>
  <c r="I47" i="16"/>
  <c r="H47" i="16"/>
  <c r="G47" i="16"/>
  <c r="F47" i="16"/>
  <c r="E47" i="16"/>
  <c r="Q46" i="16"/>
  <c r="AC61" i="1" s="1"/>
  <c r="O46" i="16"/>
  <c r="N46" i="16"/>
  <c r="M46" i="16"/>
  <c r="L46" i="16"/>
  <c r="K46" i="16"/>
  <c r="J46" i="16"/>
  <c r="I46" i="16"/>
  <c r="H46" i="16"/>
  <c r="G46" i="16"/>
  <c r="F46" i="16"/>
  <c r="E46" i="16"/>
  <c r="Q45" i="16"/>
  <c r="AC60" i="1" s="1"/>
  <c r="O45" i="16"/>
  <c r="N45" i="16"/>
  <c r="M45" i="16"/>
  <c r="L45" i="16"/>
  <c r="K45" i="16"/>
  <c r="J45" i="16"/>
  <c r="I45" i="16"/>
  <c r="H45" i="16"/>
  <c r="G45" i="16"/>
  <c r="F45" i="16"/>
  <c r="E45" i="16"/>
  <c r="Q44" i="16"/>
  <c r="AC59" i="1" s="1"/>
  <c r="O44" i="16"/>
  <c r="N44" i="16"/>
  <c r="M44" i="16"/>
  <c r="L44" i="16"/>
  <c r="K44" i="16"/>
  <c r="J44" i="16"/>
  <c r="I44" i="16"/>
  <c r="H44" i="16"/>
  <c r="G44" i="16"/>
  <c r="F44" i="16"/>
  <c r="E44" i="16"/>
  <c r="Q43" i="16"/>
  <c r="AC58" i="1" s="1"/>
  <c r="O43" i="16"/>
  <c r="N43" i="16"/>
  <c r="M43" i="16"/>
  <c r="L43" i="16"/>
  <c r="K43" i="16"/>
  <c r="J43" i="16"/>
  <c r="I43" i="16"/>
  <c r="H43" i="16"/>
  <c r="G43" i="16"/>
  <c r="F43" i="16"/>
  <c r="E43" i="16"/>
  <c r="Q42" i="16"/>
  <c r="AC57" i="1" s="1"/>
  <c r="O42" i="16"/>
  <c r="N42" i="16"/>
  <c r="M42" i="16"/>
  <c r="L42" i="16"/>
  <c r="K42" i="16"/>
  <c r="J42" i="16"/>
  <c r="I42" i="16"/>
  <c r="H42" i="16"/>
  <c r="G42" i="16"/>
  <c r="F42" i="16"/>
  <c r="E42" i="16"/>
  <c r="Q41" i="16"/>
  <c r="AC56" i="1" s="1"/>
  <c r="O41" i="16"/>
  <c r="N41" i="16"/>
  <c r="M41" i="16"/>
  <c r="L41" i="16"/>
  <c r="K41" i="16"/>
  <c r="J41" i="16"/>
  <c r="I41" i="16"/>
  <c r="H41" i="16"/>
  <c r="G41" i="16"/>
  <c r="F41" i="16"/>
  <c r="E41" i="16"/>
  <c r="Q40" i="16"/>
  <c r="AC55" i="1" s="1"/>
  <c r="O40" i="16"/>
  <c r="N40" i="16"/>
  <c r="M40" i="16"/>
  <c r="L40" i="16"/>
  <c r="K40" i="16"/>
  <c r="J40" i="16"/>
  <c r="I40" i="16"/>
  <c r="H40" i="16"/>
  <c r="G40" i="16"/>
  <c r="F40" i="16"/>
  <c r="E40" i="16"/>
  <c r="Q39" i="16"/>
  <c r="AC54" i="1" s="1"/>
  <c r="O39" i="16"/>
  <c r="N39" i="16"/>
  <c r="M39" i="16"/>
  <c r="L39" i="16"/>
  <c r="K39" i="16"/>
  <c r="J39" i="16"/>
  <c r="I39" i="16"/>
  <c r="H39" i="16"/>
  <c r="G39" i="16"/>
  <c r="F39" i="16"/>
  <c r="E39" i="16"/>
  <c r="Q38" i="16"/>
  <c r="AC53" i="1" s="1"/>
  <c r="O38" i="16"/>
  <c r="N38" i="16"/>
  <c r="M38" i="16"/>
  <c r="L38" i="16"/>
  <c r="K38" i="16"/>
  <c r="J38" i="16"/>
  <c r="I38" i="16"/>
  <c r="H38" i="16"/>
  <c r="G38" i="16"/>
  <c r="F38" i="16"/>
  <c r="E38" i="16"/>
  <c r="Q37" i="16"/>
  <c r="AC52" i="1" s="1"/>
  <c r="O37" i="16"/>
  <c r="N37" i="16"/>
  <c r="M37" i="16"/>
  <c r="L37" i="16"/>
  <c r="K37" i="16"/>
  <c r="J37" i="16"/>
  <c r="I37" i="16"/>
  <c r="H37" i="16"/>
  <c r="G37" i="16"/>
  <c r="F37" i="16"/>
  <c r="E37" i="16"/>
  <c r="Q36" i="16"/>
  <c r="AC51" i="1" s="1"/>
  <c r="O36" i="16"/>
  <c r="N36" i="16"/>
  <c r="M36" i="16"/>
  <c r="L36" i="16"/>
  <c r="K36" i="16"/>
  <c r="J36" i="16"/>
  <c r="I36" i="16"/>
  <c r="H36" i="16"/>
  <c r="G36" i="16"/>
  <c r="F36" i="16"/>
  <c r="E36" i="16"/>
  <c r="Q35" i="16"/>
  <c r="AC50" i="1" s="1"/>
  <c r="O35" i="16"/>
  <c r="N35" i="16"/>
  <c r="M35" i="16"/>
  <c r="L35" i="16"/>
  <c r="K35" i="16"/>
  <c r="J35" i="16"/>
  <c r="I35" i="16"/>
  <c r="H35" i="16"/>
  <c r="G35" i="16"/>
  <c r="F35" i="16"/>
  <c r="E35" i="16"/>
  <c r="R34" i="16"/>
  <c r="O34" i="16"/>
  <c r="N34" i="16"/>
  <c r="K34" i="16"/>
  <c r="J34" i="16"/>
  <c r="I34" i="16"/>
  <c r="G34" i="16"/>
  <c r="Q32" i="16"/>
  <c r="AC47" i="1" s="1"/>
  <c r="O32" i="16"/>
  <c r="N32" i="16"/>
  <c r="M32" i="16"/>
  <c r="L32" i="16"/>
  <c r="K32" i="16"/>
  <c r="J32" i="16"/>
  <c r="I32" i="16"/>
  <c r="H32" i="16"/>
  <c r="G32" i="16"/>
  <c r="F32" i="16"/>
  <c r="E32" i="16"/>
  <c r="Q31" i="16"/>
  <c r="AC46" i="1" s="1"/>
  <c r="O31" i="16"/>
  <c r="N31" i="16"/>
  <c r="M31" i="16"/>
  <c r="L31" i="16"/>
  <c r="K31" i="16"/>
  <c r="J31" i="16"/>
  <c r="I31" i="16"/>
  <c r="H31" i="16"/>
  <c r="G31" i="16"/>
  <c r="F31" i="16"/>
  <c r="E31" i="16"/>
  <c r="Q30" i="16"/>
  <c r="AC45" i="1" s="1"/>
  <c r="O30" i="16"/>
  <c r="N30" i="16"/>
  <c r="M30" i="16"/>
  <c r="L30" i="16"/>
  <c r="K30" i="16"/>
  <c r="J30" i="16"/>
  <c r="I30" i="16"/>
  <c r="H30" i="16"/>
  <c r="G30" i="16"/>
  <c r="F30" i="16"/>
  <c r="E30" i="16"/>
  <c r="Q29" i="16"/>
  <c r="AC44" i="1" s="1"/>
  <c r="O29" i="16"/>
  <c r="N29" i="16"/>
  <c r="M29" i="16"/>
  <c r="L29" i="16"/>
  <c r="K29" i="16"/>
  <c r="J29" i="16"/>
  <c r="I29" i="16"/>
  <c r="H29" i="16"/>
  <c r="G29" i="16"/>
  <c r="F29" i="16"/>
  <c r="E29" i="16"/>
  <c r="Q28" i="16"/>
  <c r="AC43" i="1" s="1"/>
  <c r="O28" i="16"/>
  <c r="N28" i="16"/>
  <c r="M28" i="16"/>
  <c r="L28" i="16"/>
  <c r="K28" i="16"/>
  <c r="J28" i="16"/>
  <c r="I28" i="16"/>
  <c r="H28" i="16"/>
  <c r="G28" i="16"/>
  <c r="F28" i="16"/>
  <c r="E28" i="16"/>
  <c r="Q27" i="16"/>
  <c r="AC42" i="1" s="1"/>
  <c r="O27" i="16"/>
  <c r="N27" i="16"/>
  <c r="M27" i="16"/>
  <c r="L27" i="16"/>
  <c r="K27" i="16"/>
  <c r="J27" i="16"/>
  <c r="I27" i="16"/>
  <c r="H27" i="16"/>
  <c r="G27" i="16"/>
  <c r="F27" i="16"/>
  <c r="E27" i="16"/>
  <c r="Q26" i="16"/>
  <c r="AC41" i="1" s="1"/>
  <c r="O26" i="16"/>
  <c r="N26" i="16"/>
  <c r="M26" i="16"/>
  <c r="L26" i="16"/>
  <c r="K26" i="16"/>
  <c r="J26" i="16"/>
  <c r="I26" i="16"/>
  <c r="H26" i="16"/>
  <c r="G26" i="16"/>
  <c r="F26" i="16"/>
  <c r="E26" i="16"/>
  <c r="Q25" i="16"/>
  <c r="AC40" i="1" s="1"/>
  <c r="O25" i="16"/>
  <c r="N25" i="16"/>
  <c r="M25" i="16"/>
  <c r="L25" i="16"/>
  <c r="K25" i="16"/>
  <c r="J25" i="16"/>
  <c r="I25" i="16"/>
  <c r="H25" i="16"/>
  <c r="G25" i="16"/>
  <c r="F25" i="16"/>
  <c r="E25" i="16"/>
  <c r="Q24" i="16"/>
  <c r="AC39" i="1" s="1"/>
  <c r="O24" i="16"/>
  <c r="N24" i="16"/>
  <c r="M24" i="16"/>
  <c r="L24" i="16"/>
  <c r="K24" i="16"/>
  <c r="J24" i="16"/>
  <c r="I24" i="16"/>
  <c r="H24" i="16"/>
  <c r="G24" i="16"/>
  <c r="F24" i="16"/>
  <c r="E24" i="16"/>
  <c r="Q23" i="16"/>
  <c r="AC38" i="1" s="1"/>
  <c r="O23" i="16"/>
  <c r="N23" i="16"/>
  <c r="M23" i="16"/>
  <c r="L23" i="16"/>
  <c r="K23" i="16"/>
  <c r="J23" i="16"/>
  <c r="I23" i="16"/>
  <c r="H23" i="16"/>
  <c r="G23" i="16"/>
  <c r="F23" i="16"/>
  <c r="E23" i="16"/>
  <c r="Q22" i="16"/>
  <c r="AC37" i="1" s="1"/>
  <c r="O22" i="16"/>
  <c r="N22" i="16"/>
  <c r="M22" i="16"/>
  <c r="L22" i="16"/>
  <c r="K22" i="16"/>
  <c r="J22" i="16"/>
  <c r="I22" i="16"/>
  <c r="H22" i="16"/>
  <c r="G22" i="16"/>
  <c r="F22" i="16"/>
  <c r="E22" i="16"/>
  <c r="Q21" i="16"/>
  <c r="AC36" i="1" s="1"/>
  <c r="O21" i="16"/>
  <c r="N21" i="16"/>
  <c r="M21" i="16"/>
  <c r="L21" i="16"/>
  <c r="K21" i="16"/>
  <c r="J21" i="16"/>
  <c r="I21" i="16"/>
  <c r="H21" i="16"/>
  <c r="G21" i="16"/>
  <c r="F21" i="16"/>
  <c r="E21" i="16"/>
  <c r="Q19" i="16"/>
  <c r="AC34" i="1" s="1"/>
  <c r="O19" i="16"/>
  <c r="N19" i="16"/>
  <c r="M19" i="16"/>
  <c r="L19" i="16"/>
  <c r="K19" i="16"/>
  <c r="J19" i="16"/>
  <c r="I19" i="16"/>
  <c r="H19" i="16"/>
  <c r="G19" i="16"/>
  <c r="F19" i="16"/>
  <c r="E19" i="16"/>
  <c r="Q18" i="16"/>
  <c r="AC33" i="1" s="1"/>
  <c r="O18" i="16"/>
  <c r="N18" i="16"/>
  <c r="M18" i="16"/>
  <c r="L18" i="16"/>
  <c r="K18" i="16"/>
  <c r="J18" i="16"/>
  <c r="I18" i="16"/>
  <c r="H18" i="16"/>
  <c r="G18" i="16"/>
  <c r="F18" i="16"/>
  <c r="E18" i="16"/>
  <c r="Q17" i="16"/>
  <c r="AC32" i="1" s="1"/>
  <c r="O17" i="16"/>
  <c r="N17" i="16"/>
  <c r="M17" i="16"/>
  <c r="L17" i="16"/>
  <c r="K17" i="16"/>
  <c r="J17" i="16"/>
  <c r="I17" i="16"/>
  <c r="H17" i="16"/>
  <c r="G17" i="16"/>
  <c r="F17" i="16"/>
  <c r="E17" i="16"/>
  <c r="Q16" i="16"/>
  <c r="AC31" i="1" s="1"/>
  <c r="O16" i="16"/>
  <c r="N16" i="16"/>
  <c r="M16" i="16"/>
  <c r="L16" i="16"/>
  <c r="K16" i="16"/>
  <c r="J16" i="16"/>
  <c r="I16" i="16"/>
  <c r="H16" i="16"/>
  <c r="G16" i="16"/>
  <c r="F16" i="16"/>
  <c r="E16" i="16"/>
  <c r="Q15" i="16"/>
  <c r="AC30" i="1" s="1"/>
  <c r="O15" i="16"/>
  <c r="N15" i="16"/>
  <c r="M15" i="16"/>
  <c r="L15" i="16"/>
  <c r="K15" i="16"/>
  <c r="J15" i="16"/>
  <c r="I15" i="16"/>
  <c r="H15" i="16"/>
  <c r="G15" i="16"/>
  <c r="F15" i="16"/>
  <c r="E15" i="16"/>
  <c r="Q13" i="16"/>
  <c r="AC28" i="1" s="1"/>
  <c r="O13" i="16"/>
  <c r="N13" i="16"/>
  <c r="M13" i="16"/>
  <c r="L13" i="16"/>
  <c r="K13" i="16"/>
  <c r="J13" i="16"/>
  <c r="I13" i="16"/>
  <c r="H13" i="16"/>
  <c r="G13" i="16"/>
  <c r="F13" i="16"/>
  <c r="E13" i="16"/>
  <c r="Q12" i="16"/>
  <c r="AC27" i="1" s="1"/>
  <c r="O12" i="16"/>
  <c r="N12" i="16"/>
  <c r="M12" i="16"/>
  <c r="L12" i="16"/>
  <c r="K12" i="16"/>
  <c r="J12" i="16"/>
  <c r="I12" i="16"/>
  <c r="H12" i="16"/>
  <c r="G12" i="16"/>
  <c r="F12" i="16"/>
  <c r="E12" i="16"/>
  <c r="Q11" i="16"/>
  <c r="AC26" i="1" s="1"/>
  <c r="O11" i="16"/>
  <c r="N11" i="16"/>
  <c r="M11" i="16"/>
  <c r="L11" i="16"/>
  <c r="K11" i="16"/>
  <c r="J11" i="16"/>
  <c r="I11" i="16"/>
  <c r="H11" i="16"/>
  <c r="G11" i="16"/>
  <c r="F11" i="16"/>
  <c r="E11" i="16"/>
  <c r="L6" i="16"/>
  <c r="L5" i="16"/>
  <c r="D5" i="16" s="1"/>
  <c r="Z80" i="1"/>
  <c r="Z81" i="1"/>
  <c r="Z82" i="1"/>
  <c r="Z83" i="1"/>
  <c r="Z84" i="1"/>
  <c r="Z79" i="1"/>
  <c r="Z96" i="1"/>
  <c r="Z97" i="1"/>
  <c r="Z98" i="1"/>
  <c r="Z99" i="1"/>
  <c r="Z100" i="1"/>
  <c r="Z101" i="1"/>
  <c r="Z95" i="1"/>
  <c r="Z88" i="1"/>
  <c r="Z89" i="1"/>
  <c r="Z90" i="1"/>
  <c r="Z91" i="1"/>
  <c r="Z92" i="1"/>
  <c r="Z87" i="1"/>
  <c r="Q98" i="15"/>
  <c r="Z113" i="1" s="1"/>
  <c r="O98" i="15"/>
  <c r="N98" i="15"/>
  <c r="M98" i="15"/>
  <c r="L98" i="15"/>
  <c r="K98" i="15"/>
  <c r="J98" i="15"/>
  <c r="I98" i="15"/>
  <c r="H98" i="15"/>
  <c r="G98" i="15"/>
  <c r="F98" i="15"/>
  <c r="E98" i="15"/>
  <c r="C98" i="15"/>
  <c r="Q97" i="15"/>
  <c r="Z112" i="1" s="1"/>
  <c r="O97" i="15"/>
  <c r="N97" i="15"/>
  <c r="M97" i="15"/>
  <c r="L97" i="15"/>
  <c r="K97" i="15"/>
  <c r="J97" i="15"/>
  <c r="I97" i="15"/>
  <c r="H97" i="15"/>
  <c r="G97" i="15"/>
  <c r="F97" i="15"/>
  <c r="E97" i="15"/>
  <c r="Q96" i="15"/>
  <c r="Z111" i="1" s="1"/>
  <c r="O96" i="15"/>
  <c r="N96" i="15"/>
  <c r="M96" i="15"/>
  <c r="L96" i="15"/>
  <c r="K96" i="15"/>
  <c r="J96" i="15"/>
  <c r="I96" i="15"/>
  <c r="H96" i="15"/>
  <c r="G96" i="15"/>
  <c r="F96" i="15"/>
  <c r="E96" i="15"/>
  <c r="Q95" i="15"/>
  <c r="Z110" i="1" s="1"/>
  <c r="O95" i="15"/>
  <c r="N95" i="15"/>
  <c r="M95" i="15"/>
  <c r="L95" i="15"/>
  <c r="K95" i="15"/>
  <c r="J95" i="15"/>
  <c r="I95" i="15"/>
  <c r="H95" i="15"/>
  <c r="G95" i="15"/>
  <c r="F95" i="15"/>
  <c r="E95" i="15"/>
  <c r="Q94" i="15"/>
  <c r="Z109" i="1" s="1"/>
  <c r="O94" i="15"/>
  <c r="N94" i="15"/>
  <c r="M94" i="15"/>
  <c r="L94" i="15"/>
  <c r="K94" i="15"/>
  <c r="J94" i="15"/>
  <c r="I94" i="15"/>
  <c r="H94" i="15"/>
  <c r="G94" i="15"/>
  <c r="F94" i="15"/>
  <c r="E94" i="15"/>
  <c r="Q93" i="15"/>
  <c r="Z108" i="1" s="1"/>
  <c r="O93" i="15"/>
  <c r="N93" i="15"/>
  <c r="M93" i="15"/>
  <c r="L93" i="15"/>
  <c r="K93" i="15"/>
  <c r="J93" i="15"/>
  <c r="I93" i="15"/>
  <c r="H93" i="15"/>
  <c r="G93" i="15"/>
  <c r="F93" i="15"/>
  <c r="E93" i="15"/>
  <c r="Q92" i="15"/>
  <c r="Z107" i="1" s="1"/>
  <c r="O92" i="15"/>
  <c r="N92" i="15"/>
  <c r="M92" i="15"/>
  <c r="L92" i="15"/>
  <c r="K92" i="15"/>
  <c r="J92" i="15"/>
  <c r="I92" i="15"/>
  <c r="H92" i="15"/>
  <c r="G92" i="15"/>
  <c r="F92" i="15"/>
  <c r="E92" i="15"/>
  <c r="Q91" i="15"/>
  <c r="Z106" i="1" s="1"/>
  <c r="O91" i="15"/>
  <c r="N91" i="15"/>
  <c r="M91" i="15"/>
  <c r="L91" i="15"/>
  <c r="K91" i="15"/>
  <c r="J91" i="15"/>
  <c r="I91" i="15"/>
  <c r="H91" i="15"/>
  <c r="G91" i="15"/>
  <c r="F91" i="15"/>
  <c r="E91" i="15"/>
  <c r="Q88" i="15"/>
  <c r="Z103" i="1" s="1"/>
  <c r="O88" i="15"/>
  <c r="N88" i="15"/>
  <c r="M88" i="15"/>
  <c r="L88" i="15"/>
  <c r="K88" i="15"/>
  <c r="J88" i="15"/>
  <c r="I88" i="15"/>
  <c r="H88" i="15"/>
  <c r="G88" i="15"/>
  <c r="F88" i="15"/>
  <c r="E88" i="15"/>
  <c r="R87" i="15"/>
  <c r="Z102" i="1" s="1"/>
  <c r="E86" i="15"/>
  <c r="D86" i="15"/>
  <c r="E85" i="15"/>
  <c r="D85" i="15"/>
  <c r="E84" i="15"/>
  <c r="D84" i="15"/>
  <c r="E83" i="15"/>
  <c r="D83" i="15"/>
  <c r="E82" i="15"/>
  <c r="D82" i="15"/>
  <c r="E81" i="15"/>
  <c r="D81" i="15"/>
  <c r="S81" i="15" s="1"/>
  <c r="AA96" i="1" s="1"/>
  <c r="E80" i="15"/>
  <c r="D80" i="15"/>
  <c r="S80" i="15" s="1"/>
  <c r="AA95" i="1" s="1"/>
  <c r="R78" i="15"/>
  <c r="Z93" i="1" s="1"/>
  <c r="E77" i="15"/>
  <c r="D77" i="15"/>
  <c r="S77" i="15" s="1"/>
  <c r="AA92" i="1" s="1"/>
  <c r="E76" i="15"/>
  <c r="D76" i="15"/>
  <c r="S76" i="15" s="1"/>
  <c r="AA91" i="1" s="1"/>
  <c r="E75" i="15"/>
  <c r="D75" i="15"/>
  <c r="E74" i="15"/>
  <c r="D74" i="15"/>
  <c r="S74" i="15" s="1"/>
  <c r="AA89" i="1" s="1"/>
  <c r="E73" i="15"/>
  <c r="D73" i="15"/>
  <c r="E72" i="15"/>
  <c r="D72" i="15"/>
  <c r="S72" i="15" s="1"/>
  <c r="AA87" i="1" s="1"/>
  <c r="Q60" i="15"/>
  <c r="Z75" i="1" s="1"/>
  <c r="O60" i="15"/>
  <c r="N60" i="15"/>
  <c r="M60" i="15"/>
  <c r="L60" i="15"/>
  <c r="K60" i="15"/>
  <c r="J60" i="15"/>
  <c r="I60" i="15"/>
  <c r="H60" i="15"/>
  <c r="G60" i="15"/>
  <c r="F60" i="15"/>
  <c r="E60" i="15"/>
  <c r="C60" i="15"/>
  <c r="Q59" i="15"/>
  <c r="Z74" i="1" s="1"/>
  <c r="O59" i="15"/>
  <c r="N59" i="15"/>
  <c r="M59" i="15"/>
  <c r="L59" i="15"/>
  <c r="K59" i="15"/>
  <c r="J59" i="15"/>
  <c r="I59" i="15"/>
  <c r="H59" i="15"/>
  <c r="G59" i="15"/>
  <c r="F59" i="15"/>
  <c r="E59" i="15"/>
  <c r="C59" i="15"/>
  <c r="Q58" i="15"/>
  <c r="Z73" i="1" s="1"/>
  <c r="O58" i="15"/>
  <c r="N58" i="15"/>
  <c r="M58" i="15"/>
  <c r="L58" i="15"/>
  <c r="K58" i="15"/>
  <c r="J58" i="15"/>
  <c r="I58" i="15"/>
  <c r="H58" i="15"/>
  <c r="G58" i="15"/>
  <c r="F58" i="15"/>
  <c r="E58" i="15"/>
  <c r="Q57" i="15"/>
  <c r="Z72" i="1" s="1"/>
  <c r="O57" i="15"/>
  <c r="N57" i="15"/>
  <c r="M57" i="15"/>
  <c r="L57" i="15"/>
  <c r="K57" i="15"/>
  <c r="J57" i="15"/>
  <c r="I57" i="15"/>
  <c r="H57" i="15"/>
  <c r="G57" i="15"/>
  <c r="F57" i="15"/>
  <c r="E57" i="15"/>
  <c r="Q56" i="15"/>
  <c r="Z71" i="1" s="1"/>
  <c r="O56" i="15"/>
  <c r="N56" i="15"/>
  <c r="M56" i="15"/>
  <c r="L56" i="15"/>
  <c r="K56" i="15"/>
  <c r="J56" i="15"/>
  <c r="I56" i="15"/>
  <c r="H56" i="15"/>
  <c r="G56" i="15"/>
  <c r="F56" i="15"/>
  <c r="E56" i="15"/>
  <c r="Q55" i="15"/>
  <c r="Z70" i="1" s="1"/>
  <c r="O55" i="15"/>
  <c r="N55" i="15"/>
  <c r="M55" i="15"/>
  <c r="L55" i="15"/>
  <c r="K55" i="15"/>
  <c r="J55" i="15"/>
  <c r="I55" i="15"/>
  <c r="H55" i="15"/>
  <c r="G55" i="15"/>
  <c r="F55" i="15"/>
  <c r="E55" i="15"/>
  <c r="Q54" i="15"/>
  <c r="Z69" i="1" s="1"/>
  <c r="O54" i="15"/>
  <c r="N54" i="15"/>
  <c r="M54" i="15"/>
  <c r="L54" i="15"/>
  <c r="K54" i="15"/>
  <c r="J54" i="15"/>
  <c r="I54" i="15"/>
  <c r="H54" i="15"/>
  <c r="G54" i="15"/>
  <c r="F54" i="15"/>
  <c r="E54" i="15"/>
  <c r="Q53" i="15"/>
  <c r="Z68" i="1" s="1"/>
  <c r="O53" i="15"/>
  <c r="N53" i="15"/>
  <c r="M53" i="15"/>
  <c r="L53" i="15"/>
  <c r="K53" i="15"/>
  <c r="J53" i="15"/>
  <c r="I53" i="15"/>
  <c r="H53" i="15"/>
  <c r="G53" i="15"/>
  <c r="F53" i="15"/>
  <c r="E53" i="15"/>
  <c r="Q52" i="15"/>
  <c r="Z67" i="1" s="1"/>
  <c r="O52" i="15"/>
  <c r="N52" i="15"/>
  <c r="M52" i="15"/>
  <c r="L52" i="15"/>
  <c r="K52" i="15"/>
  <c r="J52" i="15"/>
  <c r="I52" i="15"/>
  <c r="H52" i="15"/>
  <c r="G52" i="15"/>
  <c r="F52" i="15"/>
  <c r="E52" i="15"/>
  <c r="Q51" i="15"/>
  <c r="Z66" i="1" s="1"/>
  <c r="O51" i="15"/>
  <c r="N51" i="15"/>
  <c r="M51" i="15"/>
  <c r="L51" i="15"/>
  <c r="K51" i="15"/>
  <c r="J51" i="15"/>
  <c r="I51" i="15"/>
  <c r="H51" i="15"/>
  <c r="G51" i="15"/>
  <c r="F51" i="15"/>
  <c r="E51" i="15"/>
  <c r="Q50" i="15"/>
  <c r="Z65" i="1" s="1"/>
  <c r="O50" i="15"/>
  <c r="N50" i="15"/>
  <c r="M50" i="15"/>
  <c r="L50" i="15"/>
  <c r="K50" i="15"/>
  <c r="J50" i="15"/>
  <c r="I50" i="15"/>
  <c r="H50" i="15"/>
  <c r="G50" i="15"/>
  <c r="F50" i="15"/>
  <c r="E50" i="15"/>
  <c r="Q49" i="15"/>
  <c r="Z64" i="1" s="1"/>
  <c r="O49" i="15"/>
  <c r="N49" i="15"/>
  <c r="M49" i="15"/>
  <c r="L49" i="15"/>
  <c r="K49" i="15"/>
  <c r="J49" i="15"/>
  <c r="I49" i="15"/>
  <c r="H49" i="15"/>
  <c r="G49" i="15"/>
  <c r="F49" i="15"/>
  <c r="E49" i="15"/>
  <c r="Q47" i="15"/>
  <c r="Z62" i="1" s="1"/>
  <c r="O47" i="15"/>
  <c r="N47" i="15"/>
  <c r="M47" i="15"/>
  <c r="L47" i="15"/>
  <c r="K47" i="15"/>
  <c r="J47" i="15"/>
  <c r="I47" i="15"/>
  <c r="H47" i="15"/>
  <c r="G47" i="15"/>
  <c r="F47" i="15"/>
  <c r="E47" i="15"/>
  <c r="Q46" i="15"/>
  <c r="Z61" i="1" s="1"/>
  <c r="O46" i="15"/>
  <c r="N46" i="15"/>
  <c r="M46" i="15"/>
  <c r="L46" i="15"/>
  <c r="K46" i="15"/>
  <c r="J46" i="15"/>
  <c r="I46" i="15"/>
  <c r="H46" i="15"/>
  <c r="G46" i="15"/>
  <c r="F46" i="15"/>
  <c r="E46" i="15"/>
  <c r="Q45" i="15"/>
  <c r="Z60" i="1" s="1"/>
  <c r="O45" i="15"/>
  <c r="N45" i="15"/>
  <c r="M45" i="15"/>
  <c r="L45" i="15"/>
  <c r="K45" i="15"/>
  <c r="J45" i="15"/>
  <c r="I45" i="15"/>
  <c r="H45" i="15"/>
  <c r="G45" i="15"/>
  <c r="F45" i="15"/>
  <c r="E45" i="15"/>
  <c r="Q44" i="15"/>
  <c r="Z59" i="1" s="1"/>
  <c r="O44" i="15"/>
  <c r="N44" i="15"/>
  <c r="M44" i="15"/>
  <c r="L44" i="15"/>
  <c r="K44" i="15"/>
  <c r="J44" i="15"/>
  <c r="I44" i="15"/>
  <c r="H44" i="15"/>
  <c r="G44" i="15"/>
  <c r="F44" i="15"/>
  <c r="E44" i="15"/>
  <c r="Q43" i="15"/>
  <c r="Z58" i="1" s="1"/>
  <c r="O43" i="15"/>
  <c r="N43" i="15"/>
  <c r="M43" i="15"/>
  <c r="L43" i="15"/>
  <c r="K43" i="15"/>
  <c r="J43" i="15"/>
  <c r="I43" i="15"/>
  <c r="H43" i="15"/>
  <c r="G43" i="15"/>
  <c r="F43" i="15"/>
  <c r="E43" i="15"/>
  <c r="Q42" i="15"/>
  <c r="Z57" i="1" s="1"/>
  <c r="O42" i="15"/>
  <c r="N42" i="15"/>
  <c r="M42" i="15"/>
  <c r="L42" i="15"/>
  <c r="K42" i="15"/>
  <c r="J42" i="15"/>
  <c r="I42" i="15"/>
  <c r="H42" i="15"/>
  <c r="G42" i="15"/>
  <c r="F42" i="15"/>
  <c r="E42" i="15"/>
  <c r="Q41" i="15"/>
  <c r="Z56" i="1" s="1"/>
  <c r="O41" i="15"/>
  <c r="N41" i="15"/>
  <c r="M41" i="15"/>
  <c r="L41" i="15"/>
  <c r="K41" i="15"/>
  <c r="J41" i="15"/>
  <c r="I41" i="15"/>
  <c r="H41" i="15"/>
  <c r="G41" i="15"/>
  <c r="F41" i="15"/>
  <c r="E41" i="15"/>
  <c r="Q40" i="15"/>
  <c r="Z55" i="1" s="1"/>
  <c r="O40" i="15"/>
  <c r="N40" i="15"/>
  <c r="M40" i="15"/>
  <c r="L40" i="15"/>
  <c r="K40" i="15"/>
  <c r="J40" i="15"/>
  <c r="I40" i="15"/>
  <c r="H40" i="15"/>
  <c r="G40" i="15"/>
  <c r="F40" i="15"/>
  <c r="E40" i="15"/>
  <c r="Q39" i="15"/>
  <c r="Z54" i="1" s="1"/>
  <c r="O39" i="15"/>
  <c r="N39" i="15"/>
  <c r="M39" i="15"/>
  <c r="L39" i="15"/>
  <c r="K39" i="15"/>
  <c r="J39" i="15"/>
  <c r="I39" i="15"/>
  <c r="H39" i="15"/>
  <c r="G39" i="15"/>
  <c r="F39" i="15"/>
  <c r="E39" i="15"/>
  <c r="Q38" i="15"/>
  <c r="Z53" i="1" s="1"/>
  <c r="O38" i="15"/>
  <c r="N38" i="15"/>
  <c r="M38" i="15"/>
  <c r="L38" i="15"/>
  <c r="K38" i="15"/>
  <c r="J38" i="15"/>
  <c r="I38" i="15"/>
  <c r="H38" i="15"/>
  <c r="G38" i="15"/>
  <c r="F38" i="15"/>
  <c r="E38" i="15"/>
  <c r="Q37" i="15"/>
  <c r="Z52" i="1" s="1"/>
  <c r="O37" i="15"/>
  <c r="N37" i="15"/>
  <c r="M37" i="15"/>
  <c r="L37" i="15"/>
  <c r="K37" i="15"/>
  <c r="J37" i="15"/>
  <c r="I37" i="15"/>
  <c r="H37" i="15"/>
  <c r="G37" i="15"/>
  <c r="F37" i="15"/>
  <c r="E37" i="15"/>
  <c r="Q36" i="15"/>
  <c r="Z51" i="1" s="1"/>
  <c r="O36" i="15"/>
  <c r="N36" i="15"/>
  <c r="M36" i="15"/>
  <c r="L36" i="15"/>
  <c r="K36" i="15"/>
  <c r="J36" i="15"/>
  <c r="I36" i="15"/>
  <c r="H36" i="15"/>
  <c r="G36" i="15"/>
  <c r="F36" i="15"/>
  <c r="E36" i="15"/>
  <c r="Q35" i="15"/>
  <c r="Z50" i="1" s="1"/>
  <c r="O35" i="15"/>
  <c r="N35" i="15"/>
  <c r="M35" i="15"/>
  <c r="L35" i="15"/>
  <c r="K35" i="15"/>
  <c r="J35" i="15"/>
  <c r="I35" i="15"/>
  <c r="H35" i="15"/>
  <c r="G35" i="15"/>
  <c r="F35" i="15"/>
  <c r="E35" i="15"/>
  <c r="R34" i="15"/>
  <c r="O34" i="15"/>
  <c r="K34" i="15"/>
  <c r="I34" i="15"/>
  <c r="H34" i="15"/>
  <c r="G34" i="15"/>
  <c r="E34" i="15"/>
  <c r="Q32" i="15"/>
  <c r="Z47" i="1" s="1"/>
  <c r="O32" i="15"/>
  <c r="N32" i="15"/>
  <c r="M32" i="15"/>
  <c r="L32" i="15"/>
  <c r="K32" i="15"/>
  <c r="J32" i="15"/>
  <c r="I32" i="15"/>
  <c r="H32" i="15"/>
  <c r="G32" i="15"/>
  <c r="F32" i="15"/>
  <c r="E32" i="15"/>
  <c r="Q31" i="15"/>
  <c r="Z46" i="1" s="1"/>
  <c r="O31" i="15"/>
  <c r="N31" i="15"/>
  <c r="M31" i="15"/>
  <c r="L31" i="15"/>
  <c r="K31" i="15"/>
  <c r="J31" i="15"/>
  <c r="I31" i="15"/>
  <c r="H31" i="15"/>
  <c r="G31" i="15"/>
  <c r="F31" i="15"/>
  <c r="E31" i="15"/>
  <c r="Q30" i="15"/>
  <c r="Z45" i="1" s="1"/>
  <c r="O30" i="15"/>
  <c r="N30" i="15"/>
  <c r="M30" i="15"/>
  <c r="L30" i="15"/>
  <c r="K30" i="15"/>
  <c r="J30" i="15"/>
  <c r="I30" i="15"/>
  <c r="H30" i="15"/>
  <c r="G30" i="15"/>
  <c r="F30" i="15"/>
  <c r="E30" i="15"/>
  <c r="Q29" i="15"/>
  <c r="Z44" i="1" s="1"/>
  <c r="O29" i="15"/>
  <c r="N29" i="15"/>
  <c r="M29" i="15"/>
  <c r="L29" i="15"/>
  <c r="K29" i="15"/>
  <c r="J29" i="15"/>
  <c r="I29" i="15"/>
  <c r="H29" i="15"/>
  <c r="G29" i="15"/>
  <c r="F29" i="15"/>
  <c r="E29" i="15"/>
  <c r="Q28" i="15"/>
  <c r="Z43" i="1" s="1"/>
  <c r="O28" i="15"/>
  <c r="N28" i="15"/>
  <c r="M28" i="15"/>
  <c r="L28" i="15"/>
  <c r="K28" i="15"/>
  <c r="J28" i="15"/>
  <c r="I28" i="15"/>
  <c r="H28" i="15"/>
  <c r="G28" i="15"/>
  <c r="F28" i="15"/>
  <c r="E28" i="15"/>
  <c r="Q27" i="15"/>
  <c r="Z42" i="1" s="1"/>
  <c r="O27" i="15"/>
  <c r="N27" i="15"/>
  <c r="M27" i="15"/>
  <c r="L27" i="15"/>
  <c r="K27" i="15"/>
  <c r="J27" i="15"/>
  <c r="I27" i="15"/>
  <c r="H27" i="15"/>
  <c r="G27" i="15"/>
  <c r="F27" i="15"/>
  <c r="E27" i="15"/>
  <c r="Q26" i="15"/>
  <c r="Z41" i="1" s="1"/>
  <c r="O26" i="15"/>
  <c r="N26" i="15"/>
  <c r="M26" i="15"/>
  <c r="L26" i="15"/>
  <c r="K26" i="15"/>
  <c r="J26" i="15"/>
  <c r="I26" i="15"/>
  <c r="H26" i="15"/>
  <c r="G26" i="15"/>
  <c r="F26" i="15"/>
  <c r="E26" i="15"/>
  <c r="Q25" i="15"/>
  <c r="Z40" i="1" s="1"/>
  <c r="O25" i="15"/>
  <c r="N25" i="15"/>
  <c r="M25" i="15"/>
  <c r="L25" i="15"/>
  <c r="K25" i="15"/>
  <c r="J25" i="15"/>
  <c r="I25" i="15"/>
  <c r="H25" i="15"/>
  <c r="G25" i="15"/>
  <c r="F25" i="15"/>
  <c r="E25" i="15"/>
  <c r="Q24" i="15"/>
  <c r="Z39" i="1" s="1"/>
  <c r="O24" i="15"/>
  <c r="N24" i="15"/>
  <c r="M24" i="15"/>
  <c r="L24" i="15"/>
  <c r="K24" i="15"/>
  <c r="J24" i="15"/>
  <c r="I24" i="15"/>
  <c r="H24" i="15"/>
  <c r="G24" i="15"/>
  <c r="F24" i="15"/>
  <c r="E24" i="15"/>
  <c r="Q23" i="15"/>
  <c r="Z38" i="1" s="1"/>
  <c r="O23" i="15"/>
  <c r="N23" i="15"/>
  <c r="M23" i="15"/>
  <c r="L23" i="15"/>
  <c r="K23" i="15"/>
  <c r="J23" i="15"/>
  <c r="I23" i="15"/>
  <c r="H23" i="15"/>
  <c r="G23" i="15"/>
  <c r="F23" i="15"/>
  <c r="E23" i="15"/>
  <c r="Q22" i="15"/>
  <c r="Z37" i="1" s="1"/>
  <c r="O22" i="15"/>
  <c r="N22" i="15"/>
  <c r="M22" i="15"/>
  <c r="L22" i="15"/>
  <c r="K22" i="15"/>
  <c r="J22" i="15"/>
  <c r="I22" i="15"/>
  <c r="H22" i="15"/>
  <c r="G22" i="15"/>
  <c r="F22" i="15"/>
  <c r="E22" i="15"/>
  <c r="Q21" i="15"/>
  <c r="Z36" i="1" s="1"/>
  <c r="O21" i="15"/>
  <c r="N21" i="15"/>
  <c r="M21" i="15"/>
  <c r="L21" i="15"/>
  <c r="K21" i="15"/>
  <c r="J21" i="15"/>
  <c r="I21" i="15"/>
  <c r="H21" i="15"/>
  <c r="G21" i="15"/>
  <c r="F21" i="15"/>
  <c r="E21" i="15"/>
  <c r="Q19" i="15"/>
  <c r="Z34" i="1" s="1"/>
  <c r="O19" i="15"/>
  <c r="N19" i="15"/>
  <c r="M19" i="15"/>
  <c r="L19" i="15"/>
  <c r="K19" i="15"/>
  <c r="J19" i="15"/>
  <c r="I19" i="15"/>
  <c r="H19" i="15"/>
  <c r="G19" i="15"/>
  <c r="F19" i="15"/>
  <c r="E19" i="15"/>
  <c r="Q18" i="15"/>
  <c r="Z33" i="1" s="1"/>
  <c r="O18" i="15"/>
  <c r="N18" i="15"/>
  <c r="M18" i="15"/>
  <c r="L18" i="15"/>
  <c r="K18" i="15"/>
  <c r="J18" i="15"/>
  <c r="I18" i="15"/>
  <c r="H18" i="15"/>
  <c r="G18" i="15"/>
  <c r="F18" i="15"/>
  <c r="E18" i="15"/>
  <c r="Q17" i="15"/>
  <c r="Z32" i="1" s="1"/>
  <c r="O17" i="15"/>
  <c r="N17" i="15"/>
  <c r="M17" i="15"/>
  <c r="L17" i="15"/>
  <c r="K17" i="15"/>
  <c r="J17" i="15"/>
  <c r="I17" i="15"/>
  <c r="H17" i="15"/>
  <c r="G17" i="15"/>
  <c r="F17" i="15"/>
  <c r="E17" i="15"/>
  <c r="Q16" i="15"/>
  <c r="Z31" i="1" s="1"/>
  <c r="O16" i="15"/>
  <c r="N16" i="15"/>
  <c r="M16" i="15"/>
  <c r="L16" i="15"/>
  <c r="K16" i="15"/>
  <c r="J16" i="15"/>
  <c r="I16" i="15"/>
  <c r="H16" i="15"/>
  <c r="G16" i="15"/>
  <c r="F16" i="15"/>
  <c r="E16" i="15"/>
  <c r="Q15" i="15"/>
  <c r="Z30" i="1" s="1"/>
  <c r="O15" i="15"/>
  <c r="N15" i="15"/>
  <c r="M15" i="15"/>
  <c r="L15" i="15"/>
  <c r="K15" i="15"/>
  <c r="J15" i="15"/>
  <c r="I15" i="15"/>
  <c r="H15" i="15"/>
  <c r="G15" i="15"/>
  <c r="F15" i="15"/>
  <c r="E15" i="15"/>
  <c r="Q13" i="15"/>
  <c r="Z28" i="1" s="1"/>
  <c r="O13" i="15"/>
  <c r="N13" i="15"/>
  <c r="M13" i="15"/>
  <c r="L13" i="15"/>
  <c r="K13" i="15"/>
  <c r="J13" i="15"/>
  <c r="I13" i="15"/>
  <c r="H13" i="15"/>
  <c r="G13" i="15"/>
  <c r="F13" i="15"/>
  <c r="E13" i="15"/>
  <c r="Q12" i="15"/>
  <c r="Z27" i="1" s="1"/>
  <c r="O12" i="15"/>
  <c r="N12" i="15"/>
  <c r="M12" i="15"/>
  <c r="L12" i="15"/>
  <c r="K12" i="15"/>
  <c r="J12" i="15"/>
  <c r="I12" i="15"/>
  <c r="H12" i="15"/>
  <c r="G12" i="15"/>
  <c r="F12" i="15"/>
  <c r="E12" i="15"/>
  <c r="Q11" i="15"/>
  <c r="Z26" i="1" s="1"/>
  <c r="O11" i="15"/>
  <c r="N11" i="15"/>
  <c r="M11" i="15"/>
  <c r="L11" i="15"/>
  <c r="K11" i="15"/>
  <c r="J11" i="15"/>
  <c r="I11" i="15"/>
  <c r="H11" i="15"/>
  <c r="G11" i="15"/>
  <c r="F11" i="15"/>
  <c r="E11" i="15"/>
  <c r="L6" i="15"/>
  <c r="L5" i="15"/>
  <c r="D5" i="15" s="1"/>
  <c r="Q98" i="14"/>
  <c r="O98" i="14"/>
  <c r="N98" i="14"/>
  <c r="M98" i="14"/>
  <c r="L98" i="14"/>
  <c r="K98" i="14"/>
  <c r="J98" i="14"/>
  <c r="I98" i="14"/>
  <c r="H98" i="14"/>
  <c r="G98" i="14"/>
  <c r="F98" i="14"/>
  <c r="E98" i="14"/>
  <c r="C98" i="14"/>
  <c r="Q97" i="14"/>
  <c r="O97" i="14"/>
  <c r="N97" i="14"/>
  <c r="M97" i="14"/>
  <c r="L97" i="14"/>
  <c r="K97" i="14"/>
  <c r="J97" i="14"/>
  <c r="I97" i="14"/>
  <c r="H97" i="14"/>
  <c r="G97" i="14"/>
  <c r="F97" i="14"/>
  <c r="E97" i="14"/>
  <c r="Q96" i="14"/>
  <c r="O96" i="14"/>
  <c r="N96" i="14"/>
  <c r="M96" i="14"/>
  <c r="L96" i="14"/>
  <c r="K96" i="14"/>
  <c r="J96" i="14"/>
  <c r="I96" i="14"/>
  <c r="H96" i="14"/>
  <c r="G96" i="14"/>
  <c r="F96" i="14"/>
  <c r="E96" i="14"/>
  <c r="Q95" i="14"/>
  <c r="O95" i="14"/>
  <c r="N95" i="14"/>
  <c r="M95" i="14"/>
  <c r="L95" i="14"/>
  <c r="K95" i="14"/>
  <c r="J95" i="14"/>
  <c r="I95" i="14"/>
  <c r="H95" i="14"/>
  <c r="G95" i="14"/>
  <c r="F95" i="14"/>
  <c r="E95" i="14"/>
  <c r="Q94" i="14"/>
  <c r="W109" i="1" s="1"/>
  <c r="O94" i="14"/>
  <c r="N94" i="14"/>
  <c r="M94" i="14"/>
  <c r="L94" i="14"/>
  <c r="K94" i="14"/>
  <c r="J94" i="14"/>
  <c r="I94" i="14"/>
  <c r="H94" i="14"/>
  <c r="G94" i="14"/>
  <c r="F94" i="14"/>
  <c r="E94" i="14"/>
  <c r="Q93" i="14"/>
  <c r="O93" i="14"/>
  <c r="N93" i="14"/>
  <c r="M93" i="14"/>
  <c r="L93" i="14"/>
  <c r="K93" i="14"/>
  <c r="J93" i="14"/>
  <c r="I93" i="14"/>
  <c r="H93" i="14"/>
  <c r="G93" i="14"/>
  <c r="F93" i="14"/>
  <c r="E93" i="14"/>
  <c r="Q92" i="14"/>
  <c r="O92" i="14"/>
  <c r="N92" i="14"/>
  <c r="M92" i="14"/>
  <c r="L92" i="14"/>
  <c r="K92" i="14"/>
  <c r="J92" i="14"/>
  <c r="I92" i="14"/>
  <c r="H92" i="14"/>
  <c r="G92" i="14"/>
  <c r="F92" i="14"/>
  <c r="E92" i="14"/>
  <c r="Q91" i="14"/>
  <c r="W106" i="1" s="1"/>
  <c r="O91" i="14"/>
  <c r="N91" i="14"/>
  <c r="M91" i="14"/>
  <c r="L91" i="14"/>
  <c r="K91" i="14"/>
  <c r="J91" i="14"/>
  <c r="I91" i="14"/>
  <c r="H91" i="14"/>
  <c r="G91" i="14"/>
  <c r="F91" i="14"/>
  <c r="E91" i="14"/>
  <c r="Q88" i="14"/>
  <c r="O88" i="14"/>
  <c r="N88" i="14"/>
  <c r="M88" i="14"/>
  <c r="L88" i="14"/>
  <c r="K88" i="14"/>
  <c r="J88" i="14"/>
  <c r="I88" i="14"/>
  <c r="H88" i="14"/>
  <c r="G88" i="14"/>
  <c r="F88" i="14"/>
  <c r="E88" i="14"/>
  <c r="R87" i="14"/>
  <c r="W102" i="1" s="1"/>
  <c r="E86" i="14"/>
  <c r="D86" i="14"/>
  <c r="S86" i="14" s="1"/>
  <c r="X101" i="1" s="1"/>
  <c r="E85" i="14"/>
  <c r="D85" i="14"/>
  <c r="S85" i="14" s="1"/>
  <c r="X100" i="1" s="1"/>
  <c r="E84" i="14"/>
  <c r="D84" i="14"/>
  <c r="S84" i="14" s="1"/>
  <c r="X99" i="1" s="1"/>
  <c r="E83" i="14"/>
  <c r="D83" i="14"/>
  <c r="S83" i="14" s="1"/>
  <c r="X98" i="1" s="1"/>
  <c r="E82" i="14"/>
  <c r="D82" i="14"/>
  <c r="S82" i="14" s="1"/>
  <c r="X97" i="1" s="1"/>
  <c r="E81" i="14"/>
  <c r="D81" i="14"/>
  <c r="S81" i="14" s="1"/>
  <c r="X96" i="1" s="1"/>
  <c r="E80" i="14"/>
  <c r="D80" i="14"/>
  <c r="S80" i="14" s="1"/>
  <c r="X95" i="1" s="1"/>
  <c r="R78" i="14"/>
  <c r="W93" i="1" s="1"/>
  <c r="E77" i="14"/>
  <c r="D77" i="14"/>
  <c r="S77" i="14" s="1"/>
  <c r="X92" i="1" s="1"/>
  <c r="E76" i="14"/>
  <c r="D76" i="14"/>
  <c r="S76" i="14" s="1"/>
  <c r="X91" i="1" s="1"/>
  <c r="E75" i="14"/>
  <c r="D75" i="14"/>
  <c r="S75" i="14" s="1"/>
  <c r="X90" i="1" s="1"/>
  <c r="E74" i="14"/>
  <c r="D74" i="14"/>
  <c r="S74" i="14" s="1"/>
  <c r="X89" i="1" s="1"/>
  <c r="E73" i="14"/>
  <c r="D73" i="14"/>
  <c r="S73" i="14" s="1"/>
  <c r="X88" i="1" s="1"/>
  <c r="E72" i="14"/>
  <c r="D72" i="14"/>
  <c r="S72" i="14" s="1"/>
  <c r="X87" i="1" s="1"/>
  <c r="Q60" i="14"/>
  <c r="W75" i="1" s="1"/>
  <c r="O60" i="14"/>
  <c r="N60" i="14"/>
  <c r="M60" i="14"/>
  <c r="L60" i="14"/>
  <c r="K60" i="14"/>
  <c r="J60" i="14"/>
  <c r="I60" i="14"/>
  <c r="H60" i="14"/>
  <c r="G60" i="14"/>
  <c r="F60" i="14"/>
  <c r="E60" i="14"/>
  <c r="C60" i="14"/>
  <c r="Q59" i="14"/>
  <c r="W74" i="1" s="1"/>
  <c r="O59" i="14"/>
  <c r="N59" i="14"/>
  <c r="M59" i="14"/>
  <c r="L59" i="14"/>
  <c r="K59" i="14"/>
  <c r="J59" i="14"/>
  <c r="I59" i="14"/>
  <c r="H59" i="14"/>
  <c r="G59" i="14"/>
  <c r="F59" i="14"/>
  <c r="E59" i="14"/>
  <c r="C59" i="14"/>
  <c r="Q58" i="14"/>
  <c r="W73" i="1" s="1"/>
  <c r="O58" i="14"/>
  <c r="N58" i="14"/>
  <c r="M58" i="14"/>
  <c r="L58" i="14"/>
  <c r="K58" i="14"/>
  <c r="J58" i="14"/>
  <c r="I58" i="14"/>
  <c r="H58" i="14"/>
  <c r="G58" i="14"/>
  <c r="F58" i="14"/>
  <c r="E58" i="14"/>
  <c r="Q57" i="14"/>
  <c r="W72" i="1" s="1"/>
  <c r="O57" i="14"/>
  <c r="N57" i="14"/>
  <c r="M57" i="14"/>
  <c r="L57" i="14"/>
  <c r="K57" i="14"/>
  <c r="J57" i="14"/>
  <c r="I57" i="14"/>
  <c r="H57" i="14"/>
  <c r="G57" i="14"/>
  <c r="F57" i="14"/>
  <c r="E57" i="14"/>
  <c r="Q56" i="14"/>
  <c r="W71" i="1" s="1"/>
  <c r="O56" i="14"/>
  <c r="N56" i="14"/>
  <c r="M56" i="14"/>
  <c r="L56" i="14"/>
  <c r="K56" i="14"/>
  <c r="J56" i="14"/>
  <c r="I56" i="14"/>
  <c r="H56" i="14"/>
  <c r="G56" i="14"/>
  <c r="F56" i="14"/>
  <c r="E56" i="14"/>
  <c r="Q55" i="14"/>
  <c r="W70" i="1" s="1"/>
  <c r="O55" i="14"/>
  <c r="N55" i="14"/>
  <c r="M55" i="14"/>
  <c r="L55" i="14"/>
  <c r="K55" i="14"/>
  <c r="J55" i="14"/>
  <c r="I55" i="14"/>
  <c r="H55" i="14"/>
  <c r="G55" i="14"/>
  <c r="F55" i="14"/>
  <c r="E55" i="14"/>
  <c r="Q54" i="14"/>
  <c r="W69" i="1" s="1"/>
  <c r="O54" i="14"/>
  <c r="N54" i="14"/>
  <c r="M54" i="14"/>
  <c r="L54" i="14"/>
  <c r="K54" i="14"/>
  <c r="J54" i="14"/>
  <c r="I54" i="14"/>
  <c r="H54" i="14"/>
  <c r="G54" i="14"/>
  <c r="F54" i="14"/>
  <c r="E54" i="14"/>
  <c r="Q53" i="14"/>
  <c r="W68" i="1" s="1"/>
  <c r="O53" i="14"/>
  <c r="N53" i="14"/>
  <c r="M53" i="14"/>
  <c r="L53" i="14"/>
  <c r="K53" i="14"/>
  <c r="J53" i="14"/>
  <c r="I53" i="14"/>
  <c r="H53" i="14"/>
  <c r="G53" i="14"/>
  <c r="F53" i="14"/>
  <c r="E53" i="14"/>
  <c r="Q52" i="14"/>
  <c r="W67" i="1" s="1"/>
  <c r="O52" i="14"/>
  <c r="N52" i="14"/>
  <c r="M52" i="14"/>
  <c r="L52" i="14"/>
  <c r="K52" i="14"/>
  <c r="J52" i="14"/>
  <c r="I52" i="14"/>
  <c r="H52" i="14"/>
  <c r="G52" i="14"/>
  <c r="F52" i="14"/>
  <c r="E52" i="14"/>
  <c r="Q51" i="14"/>
  <c r="W66" i="1" s="1"/>
  <c r="O51" i="14"/>
  <c r="N51" i="14"/>
  <c r="M51" i="14"/>
  <c r="L51" i="14"/>
  <c r="K51" i="14"/>
  <c r="J51" i="14"/>
  <c r="I51" i="14"/>
  <c r="H51" i="14"/>
  <c r="G51" i="14"/>
  <c r="F51" i="14"/>
  <c r="E51" i="14"/>
  <c r="Q50" i="14"/>
  <c r="W65" i="1" s="1"/>
  <c r="O50" i="14"/>
  <c r="N50" i="14"/>
  <c r="M50" i="14"/>
  <c r="L50" i="14"/>
  <c r="K50" i="14"/>
  <c r="J50" i="14"/>
  <c r="I50" i="14"/>
  <c r="H50" i="14"/>
  <c r="G50" i="14"/>
  <c r="F50" i="14"/>
  <c r="E50" i="14"/>
  <c r="Q49" i="14"/>
  <c r="W64" i="1" s="1"/>
  <c r="O49" i="14"/>
  <c r="N49" i="14"/>
  <c r="M49" i="14"/>
  <c r="L49" i="14"/>
  <c r="K49" i="14"/>
  <c r="J49" i="14"/>
  <c r="I49" i="14"/>
  <c r="H49" i="14"/>
  <c r="G49" i="14"/>
  <c r="F49" i="14"/>
  <c r="E49" i="14"/>
  <c r="Q47" i="14"/>
  <c r="W62" i="1" s="1"/>
  <c r="O47" i="14"/>
  <c r="N47" i="14"/>
  <c r="M47" i="14"/>
  <c r="L47" i="14"/>
  <c r="K47" i="14"/>
  <c r="J47" i="14"/>
  <c r="I47" i="14"/>
  <c r="H47" i="14"/>
  <c r="G47" i="14"/>
  <c r="F47" i="14"/>
  <c r="E47" i="14"/>
  <c r="Q46" i="14"/>
  <c r="W61" i="1" s="1"/>
  <c r="O46" i="14"/>
  <c r="N46" i="14"/>
  <c r="M46" i="14"/>
  <c r="L46" i="14"/>
  <c r="K46" i="14"/>
  <c r="J46" i="14"/>
  <c r="I46" i="14"/>
  <c r="H46" i="14"/>
  <c r="G46" i="14"/>
  <c r="F46" i="14"/>
  <c r="E46" i="14"/>
  <c r="Q45" i="14"/>
  <c r="W60" i="1" s="1"/>
  <c r="O45" i="14"/>
  <c r="N45" i="14"/>
  <c r="M45" i="14"/>
  <c r="L45" i="14"/>
  <c r="K45" i="14"/>
  <c r="J45" i="14"/>
  <c r="I45" i="14"/>
  <c r="H45" i="14"/>
  <c r="G45" i="14"/>
  <c r="F45" i="14"/>
  <c r="E45" i="14"/>
  <c r="Q44" i="14"/>
  <c r="W59" i="1" s="1"/>
  <c r="O44" i="14"/>
  <c r="N44" i="14"/>
  <c r="M44" i="14"/>
  <c r="L44" i="14"/>
  <c r="K44" i="14"/>
  <c r="J44" i="14"/>
  <c r="I44" i="14"/>
  <c r="H44" i="14"/>
  <c r="G44" i="14"/>
  <c r="F44" i="14"/>
  <c r="E44" i="14"/>
  <c r="Q43" i="14"/>
  <c r="W58" i="1" s="1"/>
  <c r="O43" i="14"/>
  <c r="N43" i="14"/>
  <c r="M43" i="14"/>
  <c r="L43" i="14"/>
  <c r="K43" i="14"/>
  <c r="J43" i="14"/>
  <c r="I43" i="14"/>
  <c r="H43" i="14"/>
  <c r="G43" i="14"/>
  <c r="F43" i="14"/>
  <c r="E43" i="14"/>
  <c r="Q42" i="14"/>
  <c r="W57" i="1" s="1"/>
  <c r="O42" i="14"/>
  <c r="N42" i="14"/>
  <c r="M42" i="14"/>
  <c r="L42" i="14"/>
  <c r="K42" i="14"/>
  <c r="J42" i="14"/>
  <c r="I42" i="14"/>
  <c r="H42" i="14"/>
  <c r="G42" i="14"/>
  <c r="F42" i="14"/>
  <c r="E42" i="14"/>
  <c r="Q41" i="14"/>
  <c r="W56" i="1" s="1"/>
  <c r="O41" i="14"/>
  <c r="N41" i="14"/>
  <c r="M41" i="14"/>
  <c r="L41" i="14"/>
  <c r="K41" i="14"/>
  <c r="J41" i="14"/>
  <c r="I41" i="14"/>
  <c r="H41" i="14"/>
  <c r="G41" i="14"/>
  <c r="F41" i="14"/>
  <c r="E41" i="14"/>
  <c r="Q40" i="14"/>
  <c r="W55" i="1" s="1"/>
  <c r="O40" i="14"/>
  <c r="N40" i="14"/>
  <c r="M40" i="14"/>
  <c r="L40" i="14"/>
  <c r="K40" i="14"/>
  <c r="J40" i="14"/>
  <c r="I40" i="14"/>
  <c r="H40" i="14"/>
  <c r="G40" i="14"/>
  <c r="F40" i="14"/>
  <c r="E40" i="14"/>
  <c r="Q39" i="14"/>
  <c r="W54" i="1" s="1"/>
  <c r="O39" i="14"/>
  <c r="N39" i="14"/>
  <c r="M39" i="14"/>
  <c r="L39" i="14"/>
  <c r="K39" i="14"/>
  <c r="J39" i="14"/>
  <c r="I39" i="14"/>
  <c r="H39" i="14"/>
  <c r="G39" i="14"/>
  <c r="F39" i="14"/>
  <c r="E39" i="14"/>
  <c r="Q38" i="14"/>
  <c r="W53" i="1" s="1"/>
  <c r="O38" i="14"/>
  <c r="N38" i="14"/>
  <c r="M38" i="14"/>
  <c r="L38" i="14"/>
  <c r="K38" i="14"/>
  <c r="J38" i="14"/>
  <c r="I38" i="14"/>
  <c r="H38" i="14"/>
  <c r="G38" i="14"/>
  <c r="F38" i="14"/>
  <c r="E38" i="14"/>
  <c r="Q37" i="14"/>
  <c r="W52" i="1" s="1"/>
  <c r="O37" i="14"/>
  <c r="N37" i="14"/>
  <c r="M37" i="14"/>
  <c r="L37" i="14"/>
  <c r="K37" i="14"/>
  <c r="J37" i="14"/>
  <c r="I37" i="14"/>
  <c r="H37" i="14"/>
  <c r="G37" i="14"/>
  <c r="F37" i="14"/>
  <c r="E37" i="14"/>
  <c r="Q36" i="14"/>
  <c r="W51" i="1" s="1"/>
  <c r="O36" i="14"/>
  <c r="N36" i="14"/>
  <c r="M36" i="14"/>
  <c r="L36" i="14"/>
  <c r="K36" i="14"/>
  <c r="J36" i="14"/>
  <c r="I36" i="14"/>
  <c r="H36" i="14"/>
  <c r="G36" i="14"/>
  <c r="F36" i="14"/>
  <c r="E36" i="14"/>
  <c r="Q35" i="14"/>
  <c r="W50" i="1" s="1"/>
  <c r="O35" i="14"/>
  <c r="N35" i="14"/>
  <c r="M35" i="14"/>
  <c r="L35" i="14"/>
  <c r="K35" i="14"/>
  <c r="J35" i="14"/>
  <c r="I35" i="14"/>
  <c r="H35" i="14"/>
  <c r="G35" i="14"/>
  <c r="F35" i="14"/>
  <c r="E35" i="14"/>
  <c r="R34" i="14"/>
  <c r="O34" i="14"/>
  <c r="N34" i="14"/>
  <c r="M34" i="14"/>
  <c r="K34" i="14"/>
  <c r="J34" i="14"/>
  <c r="G34" i="14"/>
  <c r="F34" i="14"/>
  <c r="Q32" i="14"/>
  <c r="W47" i="1" s="1"/>
  <c r="O32" i="14"/>
  <c r="N32" i="14"/>
  <c r="M32" i="14"/>
  <c r="L32" i="14"/>
  <c r="K32" i="14"/>
  <c r="J32" i="14"/>
  <c r="I32" i="14"/>
  <c r="H32" i="14"/>
  <c r="G32" i="14"/>
  <c r="F32" i="14"/>
  <c r="E32" i="14"/>
  <c r="Q31" i="14"/>
  <c r="W46" i="1" s="1"/>
  <c r="O31" i="14"/>
  <c r="N31" i="14"/>
  <c r="M31" i="14"/>
  <c r="L31" i="14"/>
  <c r="K31" i="14"/>
  <c r="J31" i="14"/>
  <c r="I31" i="14"/>
  <c r="H31" i="14"/>
  <c r="G31" i="14"/>
  <c r="F31" i="14"/>
  <c r="E31" i="14"/>
  <c r="Q30" i="14"/>
  <c r="W45" i="1" s="1"/>
  <c r="O30" i="14"/>
  <c r="N30" i="14"/>
  <c r="M30" i="14"/>
  <c r="L30" i="14"/>
  <c r="K30" i="14"/>
  <c r="J30" i="14"/>
  <c r="I30" i="14"/>
  <c r="H30" i="14"/>
  <c r="G30" i="14"/>
  <c r="F30" i="14"/>
  <c r="E30" i="14"/>
  <c r="Q29" i="14"/>
  <c r="W44" i="1" s="1"/>
  <c r="O29" i="14"/>
  <c r="N29" i="14"/>
  <c r="M29" i="14"/>
  <c r="L29" i="14"/>
  <c r="K29" i="14"/>
  <c r="J29" i="14"/>
  <c r="I29" i="14"/>
  <c r="H29" i="14"/>
  <c r="G29" i="14"/>
  <c r="F29" i="14"/>
  <c r="E29" i="14"/>
  <c r="Q28" i="14"/>
  <c r="W43" i="1" s="1"/>
  <c r="O28" i="14"/>
  <c r="N28" i="14"/>
  <c r="M28" i="14"/>
  <c r="L28" i="14"/>
  <c r="K28" i="14"/>
  <c r="J28" i="14"/>
  <c r="I28" i="14"/>
  <c r="H28" i="14"/>
  <c r="G28" i="14"/>
  <c r="F28" i="14"/>
  <c r="E28" i="14"/>
  <c r="Q27" i="14"/>
  <c r="W42" i="1" s="1"/>
  <c r="O27" i="14"/>
  <c r="N27" i="14"/>
  <c r="M27" i="14"/>
  <c r="L27" i="14"/>
  <c r="K27" i="14"/>
  <c r="J27" i="14"/>
  <c r="I27" i="14"/>
  <c r="H27" i="14"/>
  <c r="G27" i="14"/>
  <c r="F27" i="14"/>
  <c r="E27" i="14"/>
  <c r="Q26" i="14"/>
  <c r="O26" i="14"/>
  <c r="N26" i="14"/>
  <c r="M26" i="14"/>
  <c r="L26" i="14"/>
  <c r="K26" i="14"/>
  <c r="J26" i="14"/>
  <c r="I26" i="14"/>
  <c r="H26" i="14"/>
  <c r="G26" i="14"/>
  <c r="F26" i="14"/>
  <c r="E26" i="14"/>
  <c r="Q25" i="14"/>
  <c r="O25" i="14"/>
  <c r="N25" i="14"/>
  <c r="M25" i="14"/>
  <c r="L25" i="14"/>
  <c r="K25" i="14"/>
  <c r="J25" i="14"/>
  <c r="I25" i="14"/>
  <c r="H25" i="14"/>
  <c r="G25" i="14"/>
  <c r="F25" i="14"/>
  <c r="E25" i="14"/>
  <c r="Q24" i="14"/>
  <c r="W39" i="1" s="1"/>
  <c r="O24" i="14"/>
  <c r="N24" i="14"/>
  <c r="M24" i="14"/>
  <c r="L24" i="14"/>
  <c r="K24" i="14"/>
  <c r="J24" i="14"/>
  <c r="I24" i="14"/>
  <c r="H24" i="14"/>
  <c r="G24" i="14"/>
  <c r="F24" i="14"/>
  <c r="E24" i="14"/>
  <c r="Q23" i="14"/>
  <c r="O23" i="14"/>
  <c r="N23" i="14"/>
  <c r="M23" i="14"/>
  <c r="L23" i="14"/>
  <c r="K23" i="14"/>
  <c r="J23" i="14"/>
  <c r="I23" i="14"/>
  <c r="H23" i="14"/>
  <c r="G23" i="14"/>
  <c r="F23" i="14"/>
  <c r="E23" i="14"/>
  <c r="Q22" i="14"/>
  <c r="O22" i="14"/>
  <c r="N22" i="14"/>
  <c r="M22" i="14"/>
  <c r="L22" i="14"/>
  <c r="K22" i="14"/>
  <c r="J22" i="14"/>
  <c r="I22" i="14"/>
  <c r="H22" i="14"/>
  <c r="G22" i="14"/>
  <c r="F22" i="14"/>
  <c r="E22" i="14"/>
  <c r="Q21" i="14"/>
  <c r="W36" i="1" s="1"/>
  <c r="O21" i="14"/>
  <c r="N21" i="14"/>
  <c r="M21" i="14"/>
  <c r="L21" i="14"/>
  <c r="K21" i="14"/>
  <c r="J21" i="14"/>
  <c r="I21" i="14"/>
  <c r="H21" i="14"/>
  <c r="G21" i="14"/>
  <c r="F21" i="14"/>
  <c r="E21" i="14"/>
  <c r="Q19" i="14"/>
  <c r="W34" i="1" s="1"/>
  <c r="O19" i="14"/>
  <c r="N19" i="14"/>
  <c r="M19" i="14"/>
  <c r="L19" i="14"/>
  <c r="K19" i="14"/>
  <c r="J19" i="14"/>
  <c r="I19" i="14"/>
  <c r="H19" i="14"/>
  <c r="G19" i="14"/>
  <c r="F19" i="14"/>
  <c r="E19" i="14"/>
  <c r="Q18" i="14"/>
  <c r="W33" i="1" s="1"/>
  <c r="O18" i="14"/>
  <c r="N18" i="14"/>
  <c r="M18" i="14"/>
  <c r="L18" i="14"/>
  <c r="K18" i="14"/>
  <c r="J18" i="14"/>
  <c r="I18" i="14"/>
  <c r="H18" i="14"/>
  <c r="G18" i="14"/>
  <c r="F18" i="14"/>
  <c r="E18" i="14"/>
  <c r="Q17" i="14"/>
  <c r="W32" i="1" s="1"/>
  <c r="O17" i="14"/>
  <c r="N17" i="14"/>
  <c r="M17" i="14"/>
  <c r="L17" i="14"/>
  <c r="K17" i="14"/>
  <c r="J17" i="14"/>
  <c r="I17" i="14"/>
  <c r="H17" i="14"/>
  <c r="G17" i="14"/>
  <c r="F17" i="14"/>
  <c r="E17" i="14"/>
  <c r="Q16" i="14"/>
  <c r="W31" i="1" s="1"/>
  <c r="O16" i="14"/>
  <c r="N16" i="14"/>
  <c r="M16" i="14"/>
  <c r="L16" i="14"/>
  <c r="K16" i="14"/>
  <c r="J16" i="14"/>
  <c r="I16" i="14"/>
  <c r="H16" i="14"/>
  <c r="G16" i="14"/>
  <c r="F16" i="14"/>
  <c r="E16" i="14"/>
  <c r="Q15" i="14"/>
  <c r="W30" i="1" s="1"/>
  <c r="O15" i="14"/>
  <c r="N15" i="14"/>
  <c r="M15" i="14"/>
  <c r="L15" i="14"/>
  <c r="K15" i="14"/>
  <c r="J15" i="14"/>
  <c r="I15" i="14"/>
  <c r="H15" i="14"/>
  <c r="G15" i="14"/>
  <c r="F15" i="14"/>
  <c r="E15" i="14"/>
  <c r="Q13" i="14"/>
  <c r="O13" i="14"/>
  <c r="N13" i="14"/>
  <c r="M13" i="14"/>
  <c r="L13" i="14"/>
  <c r="K13" i="14"/>
  <c r="J13" i="14"/>
  <c r="I13" i="14"/>
  <c r="H13" i="14"/>
  <c r="G13" i="14"/>
  <c r="F13" i="14"/>
  <c r="E13" i="14"/>
  <c r="Q12" i="14"/>
  <c r="O12" i="14"/>
  <c r="N12" i="14"/>
  <c r="M12" i="14"/>
  <c r="L12" i="14"/>
  <c r="K12" i="14"/>
  <c r="J12" i="14"/>
  <c r="I12" i="14"/>
  <c r="H12" i="14"/>
  <c r="G12" i="14"/>
  <c r="F12" i="14"/>
  <c r="E12" i="14"/>
  <c r="Q11" i="14"/>
  <c r="O11" i="14"/>
  <c r="N11" i="14"/>
  <c r="M11" i="14"/>
  <c r="L11" i="14"/>
  <c r="K11" i="14"/>
  <c r="J11" i="14"/>
  <c r="I11" i="14"/>
  <c r="H11" i="14"/>
  <c r="G11" i="14"/>
  <c r="F11" i="14"/>
  <c r="E11" i="14"/>
  <c r="L6" i="14"/>
  <c r="L5" i="14"/>
  <c r="D5" i="14" s="1"/>
  <c r="D107" i="1"/>
  <c r="D92" i="16" s="1"/>
  <c r="S92" i="16" s="1"/>
  <c r="AD107" i="1" s="1"/>
  <c r="D108" i="1"/>
  <c r="D93" i="15" s="1"/>
  <c r="S93" i="15" s="1"/>
  <c r="AA108" i="1" s="1"/>
  <c r="D109" i="1"/>
  <c r="D94" i="16" s="1"/>
  <c r="S94" i="16" s="1"/>
  <c r="AD109" i="1" s="1"/>
  <c r="D110" i="1"/>
  <c r="D95" i="16" s="1"/>
  <c r="S95" i="16" s="1"/>
  <c r="AD110" i="1" s="1"/>
  <c r="D111" i="1"/>
  <c r="D96" i="15" s="1"/>
  <c r="S96" i="15" s="1"/>
  <c r="AA111" i="1" s="1"/>
  <c r="D112" i="1"/>
  <c r="D97" i="14" s="1"/>
  <c r="S97" i="14" s="1"/>
  <c r="X112" i="1" s="1"/>
  <c r="D113" i="1"/>
  <c r="D98" i="16" s="1"/>
  <c r="S98" i="16" s="1"/>
  <c r="AD113" i="1" s="1"/>
  <c r="D91" i="16"/>
  <c r="S91" i="16" s="1"/>
  <c r="AD106" i="1" s="1"/>
  <c r="D103" i="1"/>
  <c r="D88" i="15" s="1"/>
  <c r="S88" i="15" s="1"/>
  <c r="AA103" i="1" s="1"/>
  <c r="D75" i="1"/>
  <c r="D60" i="14" s="1"/>
  <c r="S60" i="14" s="1"/>
  <c r="X75" i="1" s="1"/>
  <c r="D74" i="1"/>
  <c r="D59" i="15"/>
  <c r="S59" i="15" s="1"/>
  <c r="AA74" i="1" s="1"/>
  <c r="D73" i="1"/>
  <c r="D58" i="15" s="1"/>
  <c r="S58" i="15" s="1"/>
  <c r="AA73" i="1" s="1"/>
  <c r="D72" i="1"/>
  <c r="D57" i="15" s="1"/>
  <c r="S57" i="15" s="1"/>
  <c r="AA72" i="1" s="1"/>
  <c r="D57" i="16"/>
  <c r="S57" i="16" s="1"/>
  <c r="AD72" i="1" s="1"/>
  <c r="D71" i="1"/>
  <c r="D56" i="15" s="1"/>
  <c r="S56" i="15" s="1"/>
  <c r="AA71" i="1" s="1"/>
  <c r="D70" i="1"/>
  <c r="D55" i="15" s="1"/>
  <c r="S55" i="15" s="1"/>
  <c r="AA70" i="1" s="1"/>
  <c r="D69" i="1"/>
  <c r="D54" i="14" s="1"/>
  <c r="S54" i="14" s="1"/>
  <c r="X69" i="1" s="1"/>
  <c r="D68" i="1"/>
  <c r="D53" i="16" s="1"/>
  <c r="S53" i="16" s="1"/>
  <c r="AD68" i="1" s="1"/>
  <c r="D53" i="15"/>
  <c r="S53" i="15" s="1"/>
  <c r="AA68" i="1" s="1"/>
  <c r="D67" i="1"/>
  <c r="D52" i="6" s="1"/>
  <c r="S52" i="6" s="1"/>
  <c r="U67" i="1" s="1"/>
  <c r="D52" i="16"/>
  <c r="S52" i="16" s="1"/>
  <c r="AD67" i="1" s="1"/>
  <c r="D66" i="1"/>
  <c r="D51" i="16" s="1"/>
  <c r="S51" i="16" s="1"/>
  <c r="AD66" i="1" s="1"/>
  <c r="D65" i="1"/>
  <c r="D50" i="16" s="1"/>
  <c r="S50" i="16" s="1"/>
  <c r="AD65" i="1" s="1"/>
  <c r="D64" i="1"/>
  <c r="D49" i="16" s="1"/>
  <c r="S49" i="16" s="1"/>
  <c r="AD64" i="1" s="1"/>
  <c r="D62" i="1"/>
  <c r="D47" i="15" s="1"/>
  <c r="S47" i="15" s="1"/>
  <c r="AA62" i="1" s="1"/>
  <c r="D47" i="16"/>
  <c r="S47" i="16" s="1"/>
  <c r="AD62" i="1" s="1"/>
  <c r="D61" i="1"/>
  <c r="D46" i="14" s="1"/>
  <c r="S46" i="14" s="1"/>
  <c r="X61" i="1" s="1"/>
  <c r="D46" i="16"/>
  <c r="S46" i="16" s="1"/>
  <c r="AD61" i="1" s="1"/>
  <c r="D60" i="1"/>
  <c r="D45" i="16" s="1"/>
  <c r="S45" i="16" s="1"/>
  <c r="AD60" i="1" s="1"/>
  <c r="D58" i="1"/>
  <c r="D43" i="16" s="1"/>
  <c r="S43" i="16" s="1"/>
  <c r="AD58" i="1" s="1"/>
  <c r="D57" i="1"/>
  <c r="D42" i="16" s="1"/>
  <c r="S42" i="16" s="1"/>
  <c r="AD57" i="1" s="1"/>
  <c r="D56" i="1"/>
  <c r="D41" i="15" s="1"/>
  <c r="S41" i="15" s="1"/>
  <c r="AA56" i="1" s="1"/>
  <c r="D55" i="1"/>
  <c r="D40" i="16" s="1"/>
  <c r="S40" i="16" s="1"/>
  <c r="AD55" i="1" s="1"/>
  <c r="D54" i="1"/>
  <c r="D39" i="15" s="1"/>
  <c r="S39" i="15" s="1"/>
  <c r="AA54" i="1" s="1"/>
  <c r="D39" i="16"/>
  <c r="S39" i="16" s="1"/>
  <c r="AD54" i="1" s="1"/>
  <c r="D53" i="1"/>
  <c r="D38" i="16" s="1"/>
  <c r="S38" i="16" s="1"/>
  <c r="AD53" i="1" s="1"/>
  <c r="D52" i="1"/>
  <c r="D37" i="15" s="1"/>
  <c r="S37" i="15" s="1"/>
  <c r="AA52" i="1" s="1"/>
  <c r="D51" i="1"/>
  <c r="D36" i="16" s="1"/>
  <c r="S36" i="16" s="1"/>
  <c r="AD51" i="1" s="1"/>
  <c r="D36" i="14"/>
  <c r="S36" i="14" s="1"/>
  <c r="X51" i="1" s="1"/>
  <c r="D50" i="1"/>
  <c r="D35" i="15" s="1"/>
  <c r="S35" i="15" s="1"/>
  <c r="AA50" i="1" s="1"/>
  <c r="D47" i="1"/>
  <c r="D32" i="16"/>
  <c r="S32" i="16" s="1"/>
  <c r="AD47" i="1" s="1"/>
  <c r="D46" i="1"/>
  <c r="D31" i="16" s="1"/>
  <c r="S31" i="16" s="1"/>
  <c r="AD46" i="1" s="1"/>
  <c r="D31" i="15"/>
  <c r="S31" i="15"/>
  <c r="AA46" i="1" s="1"/>
  <c r="D45" i="1"/>
  <c r="D30" i="6" s="1"/>
  <c r="S30" i="6" s="1"/>
  <c r="U45" i="1" s="1"/>
  <c r="D44" i="1"/>
  <c r="D29" i="6" s="1"/>
  <c r="S29" i="6" s="1"/>
  <c r="U44" i="1" s="1"/>
  <c r="D43" i="1"/>
  <c r="D28" i="15" s="1"/>
  <c r="S28" i="15" s="1"/>
  <c r="AA43" i="1" s="1"/>
  <c r="D42" i="1"/>
  <c r="D27" i="16" s="1"/>
  <c r="S27" i="16" s="1"/>
  <c r="AD42" i="1" s="1"/>
  <c r="D41" i="1"/>
  <c r="D26" i="16" s="1"/>
  <c r="D40" i="1"/>
  <c r="D25" i="14" s="1"/>
  <c r="S25" i="14" s="1"/>
  <c r="X40" i="1" s="1"/>
  <c r="D25" i="15"/>
  <c r="D39" i="1"/>
  <c r="D24" i="16" s="1"/>
  <c r="S24" i="16" s="1"/>
  <c r="AD39" i="1" s="1"/>
  <c r="D38" i="1"/>
  <c r="D23" i="16" s="1"/>
  <c r="D37" i="1"/>
  <c r="D22" i="15" s="1"/>
  <c r="D36" i="1"/>
  <c r="D21" i="15" s="1"/>
  <c r="S21" i="15" s="1"/>
  <c r="AA36" i="1" s="1"/>
  <c r="D21" i="14"/>
  <c r="S21" i="14" s="1"/>
  <c r="X36" i="1" s="1"/>
  <c r="D34" i="1"/>
  <c r="D19" i="16" s="1"/>
  <c r="S19" i="16" s="1"/>
  <c r="AD34" i="1" s="1"/>
  <c r="D33" i="1"/>
  <c r="D18" i="14" s="1"/>
  <c r="S18" i="14" s="1"/>
  <c r="X33" i="1" s="1"/>
  <c r="D18" i="15"/>
  <c r="S18" i="15" s="1"/>
  <c r="AA33" i="1" s="1"/>
  <c r="D32" i="1"/>
  <c r="D17" i="16" s="1"/>
  <c r="S17" i="16" s="1"/>
  <c r="AD32" i="1" s="1"/>
  <c r="D31" i="1"/>
  <c r="D16" i="16" s="1"/>
  <c r="S16" i="16" s="1"/>
  <c r="AD31" i="1" s="1"/>
  <c r="D30" i="1"/>
  <c r="D15" i="16" s="1"/>
  <c r="S15" i="16" s="1"/>
  <c r="AD30" i="1" s="1"/>
  <c r="D27" i="1"/>
  <c r="D12" i="15" s="1"/>
  <c r="D12" i="16"/>
  <c r="S12" i="16" s="1"/>
  <c r="AD27" i="1" s="1"/>
  <c r="D28" i="1"/>
  <c r="D13" i="16" s="1"/>
  <c r="AA90" i="1"/>
  <c r="AA97" i="1"/>
  <c r="AA99" i="1"/>
  <c r="AA100" i="1"/>
  <c r="W26" i="1"/>
  <c r="D44" i="15"/>
  <c r="S44" i="15" s="1"/>
  <c r="AA59" i="1" s="1"/>
  <c r="D22" i="16"/>
  <c r="S22" i="16" s="1"/>
  <c r="AD37" i="1" s="1"/>
  <c r="D54" i="16"/>
  <c r="S54" i="16" s="1"/>
  <c r="AD69" i="1" s="1"/>
  <c r="D51" i="14"/>
  <c r="S51" i="14" s="1"/>
  <c r="X66" i="1" s="1"/>
  <c r="D22" i="14"/>
  <c r="D41" i="14"/>
  <c r="S41" i="14" s="1"/>
  <c r="X56" i="1" s="1"/>
  <c r="D44" i="14"/>
  <c r="S44" i="14" s="1"/>
  <c r="X59" i="1" s="1"/>
  <c r="D25" i="16"/>
  <c r="D41" i="16"/>
  <c r="S41" i="16" s="1"/>
  <c r="AD56" i="1" s="1"/>
  <c r="D93" i="16"/>
  <c r="S93" i="16" s="1"/>
  <c r="AD108" i="1" s="1"/>
  <c r="D32" i="15"/>
  <c r="S32" i="15" s="1"/>
  <c r="AA47" i="1" s="1"/>
  <c r="D40" i="15"/>
  <c r="S40" i="15"/>
  <c r="AA55" i="1" s="1"/>
  <c r="D91" i="15"/>
  <c r="S91" i="15" s="1"/>
  <c r="AA106" i="1" s="1"/>
  <c r="D21" i="16"/>
  <c r="S21" i="16" s="1"/>
  <c r="AD36" i="1" s="1"/>
  <c r="D50" i="14"/>
  <c r="S50" i="14"/>
  <c r="X65" i="1" s="1"/>
  <c r="D53" i="14"/>
  <c r="S53" i="14" s="1"/>
  <c r="X68" i="1" s="1"/>
  <c r="D56" i="14"/>
  <c r="S56" i="14" s="1"/>
  <c r="X71" i="1" s="1"/>
  <c r="D59" i="14"/>
  <c r="S59" i="14" s="1"/>
  <c r="X74" i="1" s="1"/>
  <c r="D29" i="15"/>
  <c r="S29" i="15" s="1"/>
  <c r="AA44" i="1"/>
  <c r="D46" i="15"/>
  <c r="S46" i="15" s="1"/>
  <c r="AA61" i="1" s="1"/>
  <c r="D50" i="15"/>
  <c r="S50" i="15" s="1"/>
  <c r="AA65" i="1" s="1"/>
  <c r="D97" i="15"/>
  <c r="S97" i="15" s="1"/>
  <c r="AA112" i="1" s="1"/>
  <c r="D56" i="16"/>
  <c r="S56" i="16" s="1"/>
  <c r="AD71" i="1" s="1"/>
  <c r="D37" i="14"/>
  <c r="S37" i="14" s="1"/>
  <c r="X52" i="1" s="1"/>
  <c r="D36" i="15"/>
  <c r="S36" i="15"/>
  <c r="AA51" i="1" s="1"/>
  <c r="D59" i="16"/>
  <c r="S59" i="16" s="1"/>
  <c r="AD74" i="1" s="1"/>
  <c r="D55" i="14"/>
  <c r="S55" i="14" s="1"/>
  <c r="X70" i="1" s="1"/>
  <c r="D58" i="16"/>
  <c r="S58" i="16" s="1"/>
  <c r="AD73" i="1" s="1"/>
  <c r="D15" i="14"/>
  <c r="S15" i="14" s="1"/>
  <c r="X30" i="1" s="1"/>
  <c r="D45" i="14"/>
  <c r="S45" i="14" s="1"/>
  <c r="X60" i="1" s="1"/>
  <c r="D55" i="16"/>
  <c r="S55" i="16" s="1"/>
  <c r="AD70" i="1" s="1"/>
  <c r="D32" i="14"/>
  <c r="S32" i="14" s="1"/>
  <c r="X47" i="1" s="1"/>
  <c r="D39" i="14"/>
  <c r="S39" i="14" s="1"/>
  <c r="X54" i="1" s="1"/>
  <c r="L7" i="15"/>
  <c r="D7" i="15" s="1"/>
  <c r="AA24" i="1" s="1"/>
  <c r="D26" i="1"/>
  <c r="D11" i="15" s="1"/>
  <c r="E15" i="6"/>
  <c r="E92" i="6"/>
  <c r="E93" i="6"/>
  <c r="E94" i="6"/>
  <c r="E95" i="6"/>
  <c r="E96" i="6"/>
  <c r="E97" i="6"/>
  <c r="E98" i="6"/>
  <c r="E91" i="6"/>
  <c r="E81" i="6"/>
  <c r="E82" i="6"/>
  <c r="E83" i="6"/>
  <c r="E84" i="6"/>
  <c r="E85" i="6"/>
  <c r="E86" i="6"/>
  <c r="E88" i="6"/>
  <c r="E102" i="1"/>
  <c r="E87" i="14" s="1"/>
  <c r="D102" i="1"/>
  <c r="D87" i="6" s="1"/>
  <c r="E93" i="1"/>
  <c r="D93" i="1"/>
  <c r="D78" i="16" s="1"/>
  <c r="S78" i="16" s="1"/>
  <c r="AD93" i="1" s="1"/>
  <c r="E80" i="6"/>
  <c r="E73" i="6"/>
  <c r="E74" i="6"/>
  <c r="E75" i="6"/>
  <c r="E76" i="6"/>
  <c r="E77" i="6"/>
  <c r="E72" i="6"/>
  <c r="E50" i="6"/>
  <c r="E51" i="6"/>
  <c r="E52" i="6"/>
  <c r="E53" i="6"/>
  <c r="E54" i="6"/>
  <c r="E55" i="6"/>
  <c r="E56" i="6"/>
  <c r="E57" i="6"/>
  <c r="E58" i="6"/>
  <c r="E59" i="6"/>
  <c r="E60" i="6"/>
  <c r="E49" i="6"/>
  <c r="E35" i="6"/>
  <c r="E36" i="6"/>
  <c r="E37" i="6"/>
  <c r="E38" i="6"/>
  <c r="E39" i="6"/>
  <c r="E40" i="6"/>
  <c r="E41" i="6"/>
  <c r="E42" i="6"/>
  <c r="E43" i="6"/>
  <c r="E44" i="6"/>
  <c r="E45" i="6"/>
  <c r="E46" i="6"/>
  <c r="E47" i="6"/>
  <c r="E22" i="6"/>
  <c r="E23" i="6"/>
  <c r="E24" i="6"/>
  <c r="E25" i="6"/>
  <c r="E26" i="6"/>
  <c r="E27" i="6"/>
  <c r="E28" i="6"/>
  <c r="E29" i="6"/>
  <c r="E30" i="6"/>
  <c r="E31" i="6"/>
  <c r="E32" i="6"/>
  <c r="E21" i="6"/>
  <c r="E16" i="6"/>
  <c r="E17" i="6"/>
  <c r="E18" i="6"/>
  <c r="E19" i="6"/>
  <c r="E12" i="6"/>
  <c r="E13" i="6"/>
  <c r="E11" i="6"/>
  <c r="R87" i="6"/>
  <c r="R78" i="6"/>
  <c r="T93" i="1" s="1"/>
  <c r="U29" i="1"/>
  <c r="T90" i="1"/>
  <c r="T91" i="1"/>
  <c r="T92" i="1"/>
  <c r="D94" i="6"/>
  <c r="S94" i="6" s="1"/>
  <c r="U109" i="1" s="1"/>
  <c r="D97" i="6"/>
  <c r="S97" i="6" s="1"/>
  <c r="U112" i="1" s="1"/>
  <c r="D50" i="6"/>
  <c r="S50" i="6" s="1"/>
  <c r="U65" i="1" s="1"/>
  <c r="D53" i="6"/>
  <c r="S53" i="6" s="1"/>
  <c r="U68" i="1"/>
  <c r="D54" i="6"/>
  <c r="S54" i="6" s="1"/>
  <c r="U69" i="1" s="1"/>
  <c r="D55" i="6"/>
  <c r="S55" i="6" s="1"/>
  <c r="U70" i="1" s="1"/>
  <c r="D56" i="6"/>
  <c r="D59" i="6"/>
  <c r="S59" i="6" s="1"/>
  <c r="U74" i="1" s="1"/>
  <c r="F88" i="6"/>
  <c r="G88" i="6"/>
  <c r="H88" i="6"/>
  <c r="I88" i="6"/>
  <c r="J88" i="6"/>
  <c r="K88" i="6"/>
  <c r="L88" i="6"/>
  <c r="M88" i="6"/>
  <c r="N88" i="6"/>
  <c r="O88" i="6"/>
  <c r="D73" i="6"/>
  <c r="S73" i="6" s="1"/>
  <c r="U88" i="1" s="1"/>
  <c r="D74" i="6"/>
  <c r="S74" i="6" s="1"/>
  <c r="U89" i="1" s="1"/>
  <c r="D75" i="6"/>
  <c r="S75" i="6" s="1"/>
  <c r="U90" i="1" s="1"/>
  <c r="D76" i="6"/>
  <c r="S76" i="6" s="1"/>
  <c r="U91" i="1" s="1"/>
  <c r="D77" i="6"/>
  <c r="S77" i="6" s="1"/>
  <c r="U92" i="1" s="1"/>
  <c r="D72" i="6"/>
  <c r="S72" i="6" s="1"/>
  <c r="U87" i="1" s="1"/>
  <c r="D81" i="6"/>
  <c r="S81" i="6" s="1"/>
  <c r="U96" i="1" s="1"/>
  <c r="D82" i="6"/>
  <c r="S82" i="6" s="1"/>
  <c r="U97" i="1" s="1"/>
  <c r="D83" i="6"/>
  <c r="S83" i="6" s="1"/>
  <c r="U98" i="1" s="1"/>
  <c r="D84" i="6"/>
  <c r="S84" i="6" s="1"/>
  <c r="U99" i="1" s="1"/>
  <c r="D85" i="6"/>
  <c r="S85" i="6" s="1"/>
  <c r="U100" i="1" s="1"/>
  <c r="D86" i="6"/>
  <c r="S86" i="6" s="1"/>
  <c r="U101" i="1" s="1"/>
  <c r="D80" i="6"/>
  <c r="S80" i="6" s="1"/>
  <c r="U95" i="1" s="1"/>
  <c r="F92" i="6"/>
  <c r="G92" i="6"/>
  <c r="H92" i="6"/>
  <c r="I92" i="6"/>
  <c r="J92" i="6"/>
  <c r="K92" i="6"/>
  <c r="L92" i="6"/>
  <c r="M92" i="6"/>
  <c r="N92" i="6"/>
  <c r="O92" i="6"/>
  <c r="F93" i="6"/>
  <c r="G93" i="6"/>
  <c r="H93" i="6"/>
  <c r="I93" i="6"/>
  <c r="J93" i="6"/>
  <c r="K93" i="6"/>
  <c r="L93" i="6"/>
  <c r="M93" i="6"/>
  <c r="N93" i="6"/>
  <c r="O93" i="6"/>
  <c r="F94" i="6"/>
  <c r="G94" i="6"/>
  <c r="H94" i="6"/>
  <c r="I94" i="6"/>
  <c r="J94" i="6"/>
  <c r="K94" i="6"/>
  <c r="L94" i="6"/>
  <c r="M94" i="6"/>
  <c r="N94" i="6"/>
  <c r="O94" i="6"/>
  <c r="F95" i="6"/>
  <c r="G95" i="6"/>
  <c r="H95" i="6"/>
  <c r="I95" i="6"/>
  <c r="J95" i="6"/>
  <c r="K95" i="6"/>
  <c r="L95" i="6"/>
  <c r="M95" i="6"/>
  <c r="N95" i="6"/>
  <c r="O95" i="6"/>
  <c r="F96" i="6"/>
  <c r="G96" i="6"/>
  <c r="H96" i="6"/>
  <c r="I96" i="6"/>
  <c r="J96" i="6"/>
  <c r="K96" i="6"/>
  <c r="L96" i="6"/>
  <c r="M96" i="6"/>
  <c r="N96" i="6"/>
  <c r="O96" i="6"/>
  <c r="F97" i="6"/>
  <c r="G97" i="6"/>
  <c r="H97" i="6"/>
  <c r="I97" i="6"/>
  <c r="J97" i="6"/>
  <c r="K97" i="6"/>
  <c r="L97" i="6"/>
  <c r="M97" i="6"/>
  <c r="N97" i="6"/>
  <c r="O97" i="6"/>
  <c r="F98" i="6"/>
  <c r="G98" i="6"/>
  <c r="H98" i="6"/>
  <c r="I98" i="6"/>
  <c r="J98" i="6"/>
  <c r="K98" i="6"/>
  <c r="L98" i="6"/>
  <c r="M98" i="6"/>
  <c r="N98" i="6"/>
  <c r="O98" i="6"/>
  <c r="G91" i="6"/>
  <c r="H91" i="6"/>
  <c r="I91" i="6"/>
  <c r="J91" i="6"/>
  <c r="K91" i="6"/>
  <c r="L91" i="6"/>
  <c r="M91" i="6"/>
  <c r="N91" i="6"/>
  <c r="O91" i="6"/>
  <c r="F91" i="6"/>
  <c r="F50" i="6"/>
  <c r="G50" i="6"/>
  <c r="H50" i="6"/>
  <c r="I50" i="6"/>
  <c r="J50" i="6"/>
  <c r="K50" i="6"/>
  <c r="L50" i="6"/>
  <c r="M50" i="6"/>
  <c r="N50" i="6"/>
  <c r="O50" i="6"/>
  <c r="F51" i="6"/>
  <c r="G51" i="6"/>
  <c r="H51" i="6"/>
  <c r="I51" i="6"/>
  <c r="J51" i="6"/>
  <c r="K51" i="6"/>
  <c r="L51" i="6"/>
  <c r="M51" i="6"/>
  <c r="N51" i="6"/>
  <c r="O51" i="6"/>
  <c r="F52" i="6"/>
  <c r="G52" i="6"/>
  <c r="H52" i="6"/>
  <c r="I52" i="6"/>
  <c r="J52" i="6"/>
  <c r="K52" i="6"/>
  <c r="L52" i="6"/>
  <c r="M52" i="6"/>
  <c r="N52" i="6"/>
  <c r="O52" i="6"/>
  <c r="F53" i="6"/>
  <c r="G53" i="6"/>
  <c r="H53" i="6"/>
  <c r="I53" i="6"/>
  <c r="J53" i="6"/>
  <c r="K53" i="6"/>
  <c r="L53" i="6"/>
  <c r="M53" i="6"/>
  <c r="N53" i="6"/>
  <c r="O53" i="6"/>
  <c r="F54" i="6"/>
  <c r="G54" i="6"/>
  <c r="H54" i="6"/>
  <c r="I54" i="6"/>
  <c r="J54" i="6"/>
  <c r="K54" i="6"/>
  <c r="L54" i="6"/>
  <c r="M54" i="6"/>
  <c r="N54" i="6"/>
  <c r="O54" i="6"/>
  <c r="F55" i="6"/>
  <c r="G55" i="6"/>
  <c r="H55" i="6"/>
  <c r="I55" i="6"/>
  <c r="J55" i="6"/>
  <c r="K55" i="6"/>
  <c r="L55" i="6"/>
  <c r="M55" i="6"/>
  <c r="N55" i="6"/>
  <c r="O55" i="6"/>
  <c r="F56" i="6"/>
  <c r="G56" i="6"/>
  <c r="H56" i="6"/>
  <c r="I56" i="6"/>
  <c r="J56" i="6"/>
  <c r="K56" i="6"/>
  <c r="L56" i="6"/>
  <c r="M56" i="6"/>
  <c r="N56" i="6"/>
  <c r="O56" i="6"/>
  <c r="F57" i="6"/>
  <c r="G57" i="6"/>
  <c r="H57" i="6"/>
  <c r="I57" i="6"/>
  <c r="J57" i="6"/>
  <c r="K57" i="6"/>
  <c r="L57" i="6"/>
  <c r="M57" i="6"/>
  <c r="N57" i="6"/>
  <c r="O57" i="6"/>
  <c r="F58" i="6"/>
  <c r="G58" i="6"/>
  <c r="H58" i="6"/>
  <c r="I58" i="6"/>
  <c r="J58" i="6"/>
  <c r="K58" i="6"/>
  <c r="L58" i="6"/>
  <c r="M58" i="6"/>
  <c r="N58" i="6"/>
  <c r="O58" i="6"/>
  <c r="F59" i="6"/>
  <c r="G59" i="6"/>
  <c r="H59" i="6"/>
  <c r="I59" i="6"/>
  <c r="J59" i="6"/>
  <c r="K59" i="6"/>
  <c r="L59" i="6"/>
  <c r="M59" i="6"/>
  <c r="N59" i="6"/>
  <c r="O59" i="6"/>
  <c r="F60" i="6"/>
  <c r="G60" i="6"/>
  <c r="H60" i="6"/>
  <c r="I60" i="6"/>
  <c r="J60" i="6"/>
  <c r="K60" i="6"/>
  <c r="L60" i="6"/>
  <c r="M60" i="6"/>
  <c r="N60" i="6"/>
  <c r="O60" i="6"/>
  <c r="G49" i="6"/>
  <c r="H49" i="6"/>
  <c r="I49" i="6"/>
  <c r="J49" i="6"/>
  <c r="K49" i="6"/>
  <c r="L49" i="6"/>
  <c r="M49" i="6"/>
  <c r="N49" i="6"/>
  <c r="O49" i="6"/>
  <c r="F49" i="6"/>
  <c r="F35" i="6"/>
  <c r="G35" i="6"/>
  <c r="H35" i="6"/>
  <c r="I35" i="6"/>
  <c r="J35" i="6"/>
  <c r="K35" i="6"/>
  <c r="L35" i="6"/>
  <c r="M35" i="6"/>
  <c r="N35" i="6"/>
  <c r="O35" i="6"/>
  <c r="F36" i="6"/>
  <c r="G36" i="6"/>
  <c r="H36" i="6"/>
  <c r="I36" i="6"/>
  <c r="J36" i="6"/>
  <c r="K36" i="6"/>
  <c r="L36" i="6"/>
  <c r="M36" i="6"/>
  <c r="N36" i="6"/>
  <c r="O36" i="6"/>
  <c r="F37" i="6"/>
  <c r="G37" i="6"/>
  <c r="H37" i="6"/>
  <c r="I37" i="6"/>
  <c r="J37" i="6"/>
  <c r="K37" i="6"/>
  <c r="L37" i="6"/>
  <c r="M37" i="6"/>
  <c r="N37" i="6"/>
  <c r="O37" i="6"/>
  <c r="F38" i="6"/>
  <c r="G38" i="6"/>
  <c r="H38" i="6"/>
  <c r="I38" i="6"/>
  <c r="J38" i="6"/>
  <c r="K38" i="6"/>
  <c r="L38" i="6"/>
  <c r="M38" i="6"/>
  <c r="N38" i="6"/>
  <c r="O38" i="6"/>
  <c r="F39" i="6"/>
  <c r="G39" i="6"/>
  <c r="H39" i="6"/>
  <c r="I39" i="6"/>
  <c r="J39" i="6"/>
  <c r="K39" i="6"/>
  <c r="L39" i="6"/>
  <c r="M39" i="6"/>
  <c r="N39" i="6"/>
  <c r="O39" i="6"/>
  <c r="F40" i="6"/>
  <c r="G40" i="6"/>
  <c r="H40" i="6"/>
  <c r="I40" i="6"/>
  <c r="J40" i="6"/>
  <c r="K40" i="6"/>
  <c r="L40" i="6"/>
  <c r="M40" i="6"/>
  <c r="N40" i="6"/>
  <c r="O40" i="6"/>
  <c r="F41" i="6"/>
  <c r="G41" i="6"/>
  <c r="H41" i="6"/>
  <c r="I41" i="6"/>
  <c r="J41" i="6"/>
  <c r="K41" i="6"/>
  <c r="L41" i="6"/>
  <c r="M41" i="6"/>
  <c r="N41" i="6"/>
  <c r="O41" i="6"/>
  <c r="F42" i="6"/>
  <c r="G42" i="6"/>
  <c r="H42" i="6"/>
  <c r="I42" i="6"/>
  <c r="J42" i="6"/>
  <c r="K42" i="6"/>
  <c r="L42" i="6"/>
  <c r="M42" i="6"/>
  <c r="N42" i="6"/>
  <c r="O42" i="6"/>
  <c r="F43" i="6"/>
  <c r="G43" i="6"/>
  <c r="H43" i="6"/>
  <c r="I43" i="6"/>
  <c r="J43" i="6"/>
  <c r="K43" i="6"/>
  <c r="L43" i="6"/>
  <c r="M43" i="6"/>
  <c r="N43" i="6"/>
  <c r="O43" i="6"/>
  <c r="F44" i="6"/>
  <c r="G44" i="6"/>
  <c r="H44" i="6"/>
  <c r="I44" i="6"/>
  <c r="J44" i="6"/>
  <c r="K44" i="6"/>
  <c r="L44" i="6"/>
  <c r="M44" i="6"/>
  <c r="N44" i="6"/>
  <c r="O44" i="6"/>
  <c r="F45" i="6"/>
  <c r="G45" i="6"/>
  <c r="H45" i="6"/>
  <c r="I45" i="6"/>
  <c r="J45" i="6"/>
  <c r="K45" i="6"/>
  <c r="L45" i="6"/>
  <c r="M45" i="6"/>
  <c r="N45" i="6"/>
  <c r="O45" i="6"/>
  <c r="F46" i="6"/>
  <c r="G46" i="6"/>
  <c r="H46" i="6"/>
  <c r="I46" i="6"/>
  <c r="J46" i="6"/>
  <c r="K46" i="6"/>
  <c r="L46" i="6"/>
  <c r="M46" i="6"/>
  <c r="N46" i="6"/>
  <c r="O46" i="6"/>
  <c r="F47" i="6"/>
  <c r="G47" i="6"/>
  <c r="H47" i="6"/>
  <c r="I47" i="6"/>
  <c r="J47" i="6"/>
  <c r="K47" i="6"/>
  <c r="L47" i="6"/>
  <c r="M47" i="6"/>
  <c r="N47" i="6"/>
  <c r="O47" i="6"/>
  <c r="G34" i="6"/>
  <c r="I34" i="6"/>
  <c r="J34" i="6"/>
  <c r="K34" i="6"/>
  <c r="M34" i="6"/>
  <c r="O34" i="6"/>
  <c r="F22" i="6"/>
  <c r="G22" i="6"/>
  <c r="H22" i="6"/>
  <c r="I22" i="6"/>
  <c r="J22" i="6"/>
  <c r="K22" i="6"/>
  <c r="L22" i="6"/>
  <c r="M22" i="6"/>
  <c r="N22" i="6"/>
  <c r="O22" i="6"/>
  <c r="F23" i="6"/>
  <c r="G23" i="6"/>
  <c r="H23" i="6"/>
  <c r="I23" i="6"/>
  <c r="J23" i="6"/>
  <c r="K23" i="6"/>
  <c r="L23" i="6"/>
  <c r="M23" i="6"/>
  <c r="N23" i="6"/>
  <c r="O23" i="6"/>
  <c r="F24" i="6"/>
  <c r="G24" i="6"/>
  <c r="H24" i="6"/>
  <c r="I24" i="6"/>
  <c r="J24" i="6"/>
  <c r="K24" i="6"/>
  <c r="L24" i="6"/>
  <c r="M24" i="6"/>
  <c r="N24" i="6"/>
  <c r="O24" i="6"/>
  <c r="F25" i="6"/>
  <c r="G25" i="6"/>
  <c r="H25" i="6"/>
  <c r="I25" i="6"/>
  <c r="J25" i="6"/>
  <c r="K25" i="6"/>
  <c r="L25" i="6"/>
  <c r="M25" i="6"/>
  <c r="N25" i="6"/>
  <c r="O25" i="6"/>
  <c r="F26" i="6"/>
  <c r="G26" i="6"/>
  <c r="H26" i="6"/>
  <c r="I26" i="6"/>
  <c r="J26" i="6"/>
  <c r="K26" i="6"/>
  <c r="L26" i="6"/>
  <c r="M26" i="6"/>
  <c r="N26" i="6"/>
  <c r="O26" i="6"/>
  <c r="F27" i="6"/>
  <c r="G27" i="6"/>
  <c r="H27" i="6"/>
  <c r="I27" i="6"/>
  <c r="J27" i="6"/>
  <c r="K27" i="6"/>
  <c r="L27" i="6"/>
  <c r="M27" i="6"/>
  <c r="N27" i="6"/>
  <c r="O27" i="6"/>
  <c r="F28" i="6"/>
  <c r="G28" i="6"/>
  <c r="H28" i="6"/>
  <c r="I28" i="6"/>
  <c r="J28" i="6"/>
  <c r="K28" i="6"/>
  <c r="L28" i="6"/>
  <c r="M28" i="6"/>
  <c r="N28" i="6"/>
  <c r="O28" i="6"/>
  <c r="F29" i="6"/>
  <c r="G29" i="6"/>
  <c r="H29" i="6"/>
  <c r="I29" i="6"/>
  <c r="J29" i="6"/>
  <c r="K29" i="6"/>
  <c r="L29" i="6"/>
  <c r="M29" i="6"/>
  <c r="N29" i="6"/>
  <c r="O29" i="6"/>
  <c r="F30" i="6"/>
  <c r="G30" i="6"/>
  <c r="H30" i="6"/>
  <c r="I30" i="6"/>
  <c r="J30" i="6"/>
  <c r="K30" i="6"/>
  <c r="L30" i="6"/>
  <c r="M30" i="6"/>
  <c r="N30" i="6"/>
  <c r="O30" i="6"/>
  <c r="F31" i="6"/>
  <c r="G31" i="6"/>
  <c r="H31" i="6"/>
  <c r="I31" i="6"/>
  <c r="J31" i="6"/>
  <c r="K31" i="6"/>
  <c r="L31" i="6"/>
  <c r="M31" i="6"/>
  <c r="N31" i="6"/>
  <c r="O31" i="6"/>
  <c r="F32" i="6"/>
  <c r="G32" i="6"/>
  <c r="H32" i="6"/>
  <c r="I32" i="6"/>
  <c r="J32" i="6"/>
  <c r="K32" i="6"/>
  <c r="L32" i="6"/>
  <c r="M32" i="6"/>
  <c r="N32" i="6"/>
  <c r="O32" i="6"/>
  <c r="G21" i="6"/>
  <c r="H21" i="6"/>
  <c r="I21" i="6"/>
  <c r="J21" i="6"/>
  <c r="K21" i="6"/>
  <c r="L21" i="6"/>
  <c r="M21" i="6"/>
  <c r="N21" i="6"/>
  <c r="O21" i="6"/>
  <c r="F21" i="6"/>
  <c r="F16" i="6"/>
  <c r="G16" i="6"/>
  <c r="H16" i="6"/>
  <c r="I16" i="6"/>
  <c r="J16" i="6"/>
  <c r="K16" i="6"/>
  <c r="L16" i="6"/>
  <c r="M16" i="6"/>
  <c r="N16" i="6"/>
  <c r="O16" i="6"/>
  <c r="F17" i="6"/>
  <c r="G17" i="6"/>
  <c r="H17" i="6"/>
  <c r="I17" i="6"/>
  <c r="J17" i="6"/>
  <c r="K17" i="6"/>
  <c r="L17" i="6"/>
  <c r="M17" i="6"/>
  <c r="N17" i="6"/>
  <c r="O17" i="6"/>
  <c r="F18" i="6"/>
  <c r="G18" i="6"/>
  <c r="H18" i="6"/>
  <c r="I18" i="6"/>
  <c r="J18" i="6"/>
  <c r="K18" i="6"/>
  <c r="L18" i="6"/>
  <c r="M18" i="6"/>
  <c r="N18" i="6"/>
  <c r="O18" i="6"/>
  <c r="F19" i="6"/>
  <c r="G19" i="6"/>
  <c r="H19" i="6"/>
  <c r="I19" i="6"/>
  <c r="J19" i="6"/>
  <c r="K19" i="6"/>
  <c r="L19" i="6"/>
  <c r="M19" i="6"/>
  <c r="N19" i="6"/>
  <c r="O19" i="6"/>
  <c r="G15" i="6"/>
  <c r="H15" i="6"/>
  <c r="I15" i="6"/>
  <c r="J15" i="6"/>
  <c r="K15" i="6"/>
  <c r="L15" i="6"/>
  <c r="M15" i="6"/>
  <c r="N15" i="6"/>
  <c r="O15" i="6"/>
  <c r="F15" i="6"/>
  <c r="F12" i="6"/>
  <c r="G12" i="6"/>
  <c r="H12" i="6"/>
  <c r="I12" i="6"/>
  <c r="J12" i="6"/>
  <c r="K12" i="6"/>
  <c r="L12" i="6"/>
  <c r="M12" i="6"/>
  <c r="N12" i="6"/>
  <c r="O12" i="6"/>
  <c r="F13" i="6"/>
  <c r="G13" i="6"/>
  <c r="H13" i="6"/>
  <c r="I13" i="6"/>
  <c r="J13" i="6"/>
  <c r="K13" i="6"/>
  <c r="L13" i="6"/>
  <c r="M13" i="6"/>
  <c r="N13" i="6"/>
  <c r="O13" i="6"/>
  <c r="G11" i="6"/>
  <c r="H11" i="6"/>
  <c r="I11" i="6"/>
  <c r="J11" i="6"/>
  <c r="K11" i="6"/>
  <c r="L11" i="6"/>
  <c r="M11" i="6"/>
  <c r="N11" i="6"/>
  <c r="O11" i="6"/>
  <c r="F11" i="6"/>
  <c r="Q92" i="6"/>
  <c r="T107" i="1" s="1"/>
  <c r="Q93" i="6"/>
  <c r="T108" i="1" s="1"/>
  <c r="Q94" i="6"/>
  <c r="T109" i="1" s="1"/>
  <c r="Q95" i="6"/>
  <c r="T110" i="1" s="1"/>
  <c r="Q96" i="6"/>
  <c r="T111" i="1" s="1"/>
  <c r="Q97" i="6"/>
  <c r="T112" i="1" s="1"/>
  <c r="Q98" i="6"/>
  <c r="T113" i="1" s="1"/>
  <c r="Q91" i="6"/>
  <c r="T106" i="1" s="1"/>
  <c r="T80" i="1"/>
  <c r="T81" i="1"/>
  <c r="T82" i="1"/>
  <c r="T83" i="1"/>
  <c r="T84" i="1"/>
  <c r="T87" i="1"/>
  <c r="T88" i="1"/>
  <c r="T89" i="1"/>
  <c r="T96" i="1"/>
  <c r="T97" i="1"/>
  <c r="T99" i="1"/>
  <c r="T100" i="1"/>
  <c r="T101" i="1"/>
  <c r="Q88" i="6"/>
  <c r="T103" i="1" s="1"/>
  <c r="Q50" i="6"/>
  <c r="T65" i="1" s="1"/>
  <c r="Q51" i="6"/>
  <c r="T66" i="1" s="1"/>
  <c r="Q52" i="6"/>
  <c r="T67" i="1" s="1"/>
  <c r="Q53" i="6"/>
  <c r="T68" i="1" s="1"/>
  <c r="Q54" i="6"/>
  <c r="T69" i="1" s="1"/>
  <c r="Q55" i="6"/>
  <c r="T70" i="1" s="1"/>
  <c r="Q56" i="6"/>
  <c r="T71" i="1"/>
  <c r="Q57" i="6"/>
  <c r="T72" i="1" s="1"/>
  <c r="Q58" i="6"/>
  <c r="T73" i="1" s="1"/>
  <c r="Q59" i="6"/>
  <c r="T74" i="1" s="1"/>
  <c r="Q60" i="6"/>
  <c r="T75" i="1" s="1"/>
  <c r="Q49" i="6"/>
  <c r="T64" i="1" s="1"/>
  <c r="Q36" i="6"/>
  <c r="T51" i="1"/>
  <c r="Q37" i="6"/>
  <c r="T52" i="1"/>
  <c r="Q38" i="6"/>
  <c r="T53" i="1" s="1"/>
  <c r="Q39" i="6"/>
  <c r="T54" i="1" s="1"/>
  <c r="Q40" i="6"/>
  <c r="T55" i="1" s="1"/>
  <c r="Q41" i="6"/>
  <c r="T56" i="1"/>
  <c r="Q42" i="6"/>
  <c r="T57" i="1" s="1"/>
  <c r="Q43" i="6"/>
  <c r="T58" i="1" s="1"/>
  <c r="Q44" i="6"/>
  <c r="T59" i="1" s="1"/>
  <c r="Q45" i="6"/>
  <c r="T60" i="1" s="1"/>
  <c r="Q46" i="6"/>
  <c r="T61" i="1" s="1"/>
  <c r="Q47" i="6"/>
  <c r="T62" i="1" s="1"/>
  <c r="Q35" i="6"/>
  <c r="T50" i="1" s="1"/>
  <c r="Q22" i="6"/>
  <c r="T37" i="1" s="1"/>
  <c r="Q23" i="6"/>
  <c r="T38" i="1" s="1"/>
  <c r="Q24" i="6"/>
  <c r="T39" i="1" s="1"/>
  <c r="Q25" i="6"/>
  <c r="T40" i="1" s="1"/>
  <c r="Q26" i="6"/>
  <c r="T41" i="1"/>
  <c r="Q27" i="6"/>
  <c r="T42" i="1" s="1"/>
  <c r="Q28" i="6"/>
  <c r="T43" i="1" s="1"/>
  <c r="Q29" i="6"/>
  <c r="T44" i="1" s="1"/>
  <c r="Q30" i="6"/>
  <c r="T45" i="1" s="1"/>
  <c r="Q31" i="6"/>
  <c r="T46" i="1" s="1"/>
  <c r="Q32" i="6"/>
  <c r="T47" i="1" s="1"/>
  <c r="Q21" i="6"/>
  <c r="T36" i="1" s="1"/>
  <c r="Q16" i="6"/>
  <c r="T31" i="1" s="1"/>
  <c r="Q17" i="6"/>
  <c r="T32" i="1" s="1"/>
  <c r="Q18" i="6"/>
  <c r="T33" i="1" s="1"/>
  <c r="Q19" i="6"/>
  <c r="T34" i="1" s="1"/>
  <c r="Q15" i="6"/>
  <c r="T30" i="1" s="1"/>
  <c r="Q12" i="6"/>
  <c r="Q13" i="6"/>
  <c r="Q11" i="6"/>
  <c r="T26" i="1" s="1"/>
  <c r="C98" i="6"/>
  <c r="C60" i="6"/>
  <c r="C59" i="6"/>
  <c r="D12" i="6"/>
  <c r="S56" i="6"/>
  <c r="U71" i="1" s="1"/>
  <c r="T28" i="1"/>
  <c r="T27" i="1"/>
  <c r="T98" i="1"/>
  <c r="E22" i="1"/>
  <c r="D37" i="6"/>
  <c r="S37" i="6" s="1"/>
  <c r="U52" i="1" s="1"/>
  <c r="D40" i="6"/>
  <c r="S40" i="6"/>
  <c r="U55" i="1" s="1"/>
  <c r="D41" i="6"/>
  <c r="S41" i="6" s="1"/>
  <c r="U56" i="1" s="1"/>
  <c r="D44" i="6"/>
  <c r="S44" i="6" s="1"/>
  <c r="U59" i="1" s="1"/>
  <c r="D22" i="6"/>
  <c r="D25" i="6"/>
  <c r="D27" i="6"/>
  <c r="S27" i="6" s="1"/>
  <c r="U42" i="1" s="1"/>
  <c r="D28" i="6"/>
  <c r="S28" i="6" s="1"/>
  <c r="U43" i="1" s="1"/>
  <c r="D32" i="6"/>
  <c r="S32" i="6" s="1"/>
  <c r="U47" i="1" s="1"/>
  <c r="D21" i="6"/>
  <c r="S21" i="6" s="1"/>
  <c r="U36" i="1" s="1"/>
  <c r="D18" i="6"/>
  <c r="S18" i="6" s="1"/>
  <c r="U33" i="1" s="1"/>
  <c r="D15" i="6"/>
  <c r="S15" i="6" s="1"/>
  <c r="U30" i="1" s="1"/>
  <c r="L6" i="6"/>
  <c r="L5" i="6"/>
  <c r="D5" i="6" s="1"/>
  <c r="D60" i="6" l="1"/>
  <c r="S60" i="6" s="1"/>
  <c r="U75" i="1" s="1"/>
  <c r="D51" i="6"/>
  <c r="S51" i="6" s="1"/>
  <c r="U66" i="1" s="1"/>
  <c r="D92" i="6"/>
  <c r="S92" i="6" s="1"/>
  <c r="U107" i="1" s="1"/>
  <c r="Q34" i="6"/>
  <c r="T49" i="1" s="1"/>
  <c r="D17" i="6"/>
  <c r="S17" i="6" s="1"/>
  <c r="U32" i="1" s="1"/>
  <c r="D46" i="6"/>
  <c r="S46" i="6" s="1"/>
  <c r="U61" i="1" s="1"/>
  <c r="D39" i="6"/>
  <c r="S39" i="6" s="1"/>
  <c r="U54" i="1" s="1"/>
  <c r="D78" i="15"/>
  <c r="S78" i="15" s="1"/>
  <c r="AA93" i="1" s="1"/>
  <c r="D91" i="14"/>
  <c r="S91" i="14" s="1"/>
  <c r="X106" i="1" s="1"/>
  <c r="D38" i="14"/>
  <c r="S38" i="14" s="1"/>
  <c r="X53" i="1" s="1"/>
  <c r="S26" i="16"/>
  <c r="AD41" i="1" s="1"/>
  <c r="D37" i="16"/>
  <c r="S37" i="16" s="1"/>
  <c r="AD52" i="1" s="1"/>
  <c r="D97" i="16"/>
  <c r="S97" i="16" s="1"/>
  <c r="AD112" i="1" s="1"/>
  <c r="L34" i="16"/>
  <c r="D49" i="1"/>
  <c r="D34" i="14" s="1"/>
  <c r="S34" i="14" s="1"/>
  <c r="X49" i="1" s="1"/>
  <c r="D45" i="6"/>
  <c r="S45" i="6" s="1"/>
  <c r="U60" i="1" s="1"/>
  <c r="D36" i="6"/>
  <c r="S36" i="6" s="1"/>
  <c r="U51" i="1" s="1"/>
  <c r="D49" i="6"/>
  <c r="S49" i="6" s="1"/>
  <c r="U64" i="1" s="1"/>
  <c r="E87" i="15"/>
  <c r="D15" i="15"/>
  <c r="S15" i="15" s="1"/>
  <c r="AA30" i="1" s="1"/>
  <c r="D57" i="14"/>
  <c r="S57" i="14" s="1"/>
  <c r="X72" i="1" s="1"/>
  <c r="D31" i="14"/>
  <c r="S31" i="14" s="1"/>
  <c r="X46" i="1" s="1"/>
  <c r="D93" i="14"/>
  <c r="S93" i="14" s="1"/>
  <c r="X108" i="1" s="1"/>
  <c r="D18" i="16"/>
  <c r="S18" i="16" s="1"/>
  <c r="AD33" i="1" s="1"/>
  <c r="L34" i="15"/>
  <c r="D93" i="6"/>
  <c r="S93" i="6" s="1"/>
  <c r="U108" i="1" s="1"/>
  <c r="L34" i="14"/>
  <c r="D88" i="6"/>
  <c r="S88" i="6" s="1"/>
  <c r="U103" i="1" s="1"/>
  <c r="D45" i="15"/>
  <c r="S45" i="15" s="1"/>
  <c r="AA60" i="1" s="1"/>
  <c r="D58" i="6"/>
  <c r="S58" i="6" s="1"/>
  <c r="U73" i="1" s="1"/>
  <c r="D78" i="14"/>
  <c r="S78" i="14" s="1"/>
  <c r="X93" i="1" s="1"/>
  <c r="S25" i="6"/>
  <c r="U40" i="1" s="1"/>
  <c r="D58" i="14"/>
  <c r="S58" i="14" s="1"/>
  <c r="X73" i="1" s="1"/>
  <c r="D30" i="14"/>
  <c r="S30" i="14" s="1"/>
  <c r="X45" i="1" s="1"/>
  <c r="D92" i="14"/>
  <c r="S92" i="14" s="1"/>
  <c r="X107" i="1" s="1"/>
  <c r="D51" i="15"/>
  <c r="S51" i="15" s="1"/>
  <c r="AA66" i="1" s="1"/>
  <c r="M34" i="16"/>
  <c r="D31" i="6"/>
  <c r="S31" i="6" s="1"/>
  <c r="U46" i="1" s="1"/>
  <c r="Q34" i="16"/>
  <c r="S22" i="14"/>
  <c r="X37" i="1" s="1"/>
  <c r="D88" i="14"/>
  <c r="S88" i="14" s="1"/>
  <c r="X103" i="1" s="1"/>
  <c r="D38" i="15"/>
  <c r="S38" i="15" s="1"/>
  <c r="AA53" i="1" s="1"/>
  <c r="D60" i="15"/>
  <c r="S60" i="15" s="1"/>
  <c r="AA75" i="1" s="1"/>
  <c r="F34" i="16"/>
  <c r="D17" i="14"/>
  <c r="S17" i="14" s="1"/>
  <c r="X32" i="1" s="1"/>
  <c r="D17" i="15"/>
  <c r="S17" i="15" s="1"/>
  <c r="AA32" i="1" s="1"/>
  <c r="D92" i="15"/>
  <c r="S92" i="15" s="1"/>
  <c r="AA107" i="1" s="1"/>
  <c r="D30" i="16"/>
  <c r="S30" i="16" s="1"/>
  <c r="AD45" i="1" s="1"/>
  <c r="L7" i="6"/>
  <c r="D7" i="6" s="1"/>
  <c r="U24" i="1" s="1"/>
  <c r="D42" i="14"/>
  <c r="S42" i="14" s="1"/>
  <c r="X57" i="1" s="1"/>
  <c r="W49" i="1"/>
  <c r="D87" i="15"/>
  <c r="S87" i="15" s="1"/>
  <c r="AA102" i="1" s="1"/>
  <c r="E87" i="16"/>
  <c r="L7" i="16"/>
  <c r="D7" i="16" s="1"/>
  <c r="AD24" i="1" s="1"/>
  <c r="D29" i="16"/>
  <c r="S29" i="16" s="1"/>
  <c r="AD44" i="1" s="1"/>
  <c r="D94" i="14"/>
  <c r="S94" i="14" s="1"/>
  <c r="X109" i="1" s="1"/>
  <c r="D26" i="14"/>
  <c r="S26" i="14" s="1"/>
  <c r="X41" i="1" s="1"/>
  <c r="D98" i="14"/>
  <c r="S98" i="14" s="1"/>
  <c r="X113" i="1" s="1"/>
  <c r="D16" i="15"/>
  <c r="S16" i="15" s="1"/>
  <c r="AA31" i="1" s="1"/>
  <c r="D27" i="14"/>
  <c r="S27" i="14" s="1"/>
  <c r="X42" i="1" s="1"/>
  <c r="D98" i="15"/>
  <c r="S98" i="15" s="1"/>
  <c r="AA113" i="1" s="1"/>
  <c r="D28" i="16"/>
  <c r="S28" i="16" s="1"/>
  <c r="AD43" i="1" s="1"/>
  <c r="D96" i="14"/>
  <c r="S96" i="14" s="1"/>
  <c r="X111" i="1" s="1"/>
  <c r="D30" i="15"/>
  <c r="S30" i="15" s="1"/>
  <c r="AA45" i="1" s="1"/>
  <c r="S22" i="15"/>
  <c r="AA37" i="1" s="1"/>
  <c r="D35" i="16"/>
  <c r="S35" i="16" s="1"/>
  <c r="AD50" i="1" s="1"/>
  <c r="D42" i="15"/>
  <c r="S42" i="15" s="1"/>
  <c r="AA57" i="1" s="1"/>
  <c r="D96" i="16"/>
  <c r="S96" i="16" s="1"/>
  <c r="AD111" i="1" s="1"/>
  <c r="H34" i="14"/>
  <c r="H34" i="16"/>
  <c r="D16" i="6"/>
  <c r="S16" i="6" s="1"/>
  <c r="U31" i="1" s="1"/>
  <c r="D43" i="6"/>
  <c r="S43" i="6" s="1"/>
  <c r="U58" i="1" s="1"/>
  <c r="D38" i="6"/>
  <c r="S38" i="6" s="1"/>
  <c r="U53" i="1" s="1"/>
  <c r="F34" i="6"/>
  <c r="D98" i="6"/>
  <c r="S98" i="6" s="1"/>
  <c r="U113" i="1" s="1"/>
  <c r="D52" i="14"/>
  <c r="S52" i="14" s="1"/>
  <c r="X67" i="1" s="1"/>
  <c r="D43" i="14"/>
  <c r="S43" i="14" s="1"/>
  <c r="X58" i="1" s="1"/>
  <c r="D94" i="15"/>
  <c r="S94" i="15" s="1"/>
  <c r="AA109" i="1" s="1"/>
  <c r="D19" i="15"/>
  <c r="S19" i="15" s="1"/>
  <c r="AA34" i="1" s="1"/>
  <c r="D60" i="16"/>
  <c r="S60" i="16" s="1"/>
  <c r="AD75" i="1" s="1"/>
  <c r="S25" i="16"/>
  <c r="AD40" i="1" s="1"/>
  <c r="D28" i="14"/>
  <c r="S28" i="14" s="1"/>
  <c r="X43" i="1" s="1"/>
  <c r="D27" i="15"/>
  <c r="S27" i="15" s="1"/>
  <c r="AA42" i="1" s="1"/>
  <c r="S13" i="16"/>
  <c r="AD28" i="1" s="1"/>
  <c r="S23" i="16"/>
  <c r="AD38" i="1" s="1"/>
  <c r="D29" i="14"/>
  <c r="S29" i="14" s="1"/>
  <c r="X44" i="1" s="1"/>
  <c r="D54" i="15"/>
  <c r="S54" i="15" s="1"/>
  <c r="AA69" i="1" s="1"/>
  <c r="D26" i="6"/>
  <c r="S26" i="6" s="1"/>
  <c r="U41" i="1" s="1"/>
  <c r="D35" i="6"/>
  <c r="S35" i="6" s="1"/>
  <c r="U50" i="1" s="1"/>
  <c r="D52" i="15"/>
  <c r="S52" i="15" s="1"/>
  <c r="AA67" i="1" s="1"/>
  <c r="D88" i="16"/>
  <c r="S88" i="16" s="1"/>
  <c r="AD103" i="1" s="1"/>
  <c r="D19" i="6"/>
  <c r="S19" i="6" s="1"/>
  <c r="U34" i="1" s="1"/>
  <c r="D26" i="15"/>
  <c r="S26" i="15" s="1"/>
  <c r="AA41" i="1" s="1"/>
  <c r="D16" i="14"/>
  <c r="S16" i="14" s="1"/>
  <c r="X31" i="1" s="1"/>
  <c r="D95" i="14"/>
  <c r="S95" i="14" s="1"/>
  <c r="X110" i="1" s="1"/>
  <c r="D47" i="14"/>
  <c r="S47" i="14" s="1"/>
  <c r="X62" i="1" s="1"/>
  <c r="N34" i="6"/>
  <c r="D57" i="6"/>
  <c r="S57" i="6" s="1"/>
  <c r="U72" i="1" s="1"/>
  <c r="D96" i="6"/>
  <c r="S96" i="6" s="1"/>
  <c r="U111" i="1" s="1"/>
  <c r="D87" i="16"/>
  <c r="S87" i="16" s="1"/>
  <c r="AD102" i="1" s="1"/>
  <c r="E34" i="6"/>
  <c r="Q34" i="14"/>
  <c r="D49" i="15"/>
  <c r="S49" i="15" s="1"/>
  <c r="AA64" i="1" s="1"/>
  <c r="D49" i="14"/>
  <c r="S49" i="14" s="1"/>
  <c r="X64" i="1" s="1"/>
  <c r="D40" i="14"/>
  <c r="S40" i="14" s="1"/>
  <c r="X55" i="1" s="1"/>
  <c r="D35" i="14"/>
  <c r="S35" i="14" s="1"/>
  <c r="X50" i="1" s="1"/>
  <c r="D95" i="15"/>
  <c r="S95" i="15" s="1"/>
  <c r="AA110" i="1" s="1"/>
  <c r="S12" i="15"/>
  <c r="AA27" i="1" s="1"/>
  <c r="S25" i="15"/>
  <c r="AA40" i="1" s="1"/>
  <c r="F34" i="15"/>
  <c r="D19" i="14"/>
  <c r="S19" i="14" s="1"/>
  <c r="X34" i="1" s="1"/>
  <c r="Q34" i="15"/>
  <c r="Z49" i="1" s="1"/>
  <c r="D47" i="6"/>
  <c r="S47" i="6" s="1"/>
  <c r="U62" i="1" s="1"/>
  <c r="D42" i="6"/>
  <c r="S42" i="6" s="1"/>
  <c r="U57" i="1" s="1"/>
  <c r="D87" i="14"/>
  <c r="S87" i="14" s="1"/>
  <c r="X102" i="1" s="1"/>
  <c r="D95" i="6"/>
  <c r="S95" i="6" s="1"/>
  <c r="U110" i="1" s="1"/>
  <c r="D43" i="15"/>
  <c r="S43" i="15" s="1"/>
  <c r="AA58" i="1" s="1"/>
  <c r="E34" i="14"/>
  <c r="S22" i="6"/>
  <c r="U37" i="1" s="1"/>
  <c r="S12" i="6"/>
  <c r="U27" i="1" s="1"/>
  <c r="S11" i="15"/>
  <c r="AA26" i="1" s="1"/>
  <c r="AB26" i="1" s="1"/>
  <c r="D24" i="6"/>
  <c r="S24" i="6" s="1"/>
  <c r="U39" i="1" s="1"/>
  <c r="D24" i="15"/>
  <c r="S24" i="15" s="1"/>
  <c r="AA39" i="1" s="1"/>
  <c r="D24" i="14"/>
  <c r="S24" i="14" s="1"/>
  <c r="X39" i="1" s="1"/>
  <c r="D13" i="6"/>
  <c r="S13" i="6" s="1"/>
  <c r="U28" i="1" s="1"/>
  <c r="D13" i="15"/>
  <c r="S13" i="15" s="1"/>
  <c r="AA28" i="1" s="1"/>
  <c r="D13" i="14"/>
  <c r="S13" i="14" s="1"/>
  <c r="X28" i="1" s="1"/>
  <c r="D12" i="14"/>
  <c r="S12" i="14" s="1"/>
  <c r="X27" i="1" s="1"/>
  <c r="D23" i="6"/>
  <c r="S23" i="6" s="1"/>
  <c r="U38" i="1" s="1"/>
  <c r="D23" i="14"/>
  <c r="S23" i="14" s="1"/>
  <c r="X38" i="1" s="1"/>
  <c r="D23" i="15"/>
  <c r="S23" i="15" s="1"/>
  <c r="AA38" i="1" s="1"/>
  <c r="L7" i="14"/>
  <c r="D7" i="14" s="1"/>
  <c r="X24" i="1" s="1"/>
  <c r="E78" i="6"/>
  <c r="E78" i="16"/>
  <c r="E78" i="14"/>
  <c r="E78" i="15"/>
  <c r="S87" i="6"/>
  <c r="U102" i="1" s="1"/>
  <c r="T102" i="1"/>
  <c r="D11" i="14"/>
  <c r="S11" i="14" s="1"/>
  <c r="X26" i="1" s="1"/>
  <c r="D11" i="6"/>
  <c r="S11" i="6" s="1"/>
  <c r="U26" i="1" s="1"/>
  <c r="D11" i="16"/>
  <c r="S11" i="16" s="1"/>
  <c r="AD26" i="1" s="1"/>
  <c r="D78" i="6"/>
  <c r="S78" i="6" s="1"/>
  <c r="U93" i="1" s="1"/>
  <c r="E87" i="6"/>
  <c r="AC49" i="1"/>
  <c r="D34" i="6" l="1"/>
  <c r="S34" i="6" s="1"/>
  <c r="U49" i="1" s="1"/>
  <c r="D34" i="16"/>
  <c r="S34" i="16" s="1"/>
  <c r="AD49" i="1" s="1"/>
  <c r="D34" i="15"/>
  <c r="S34" i="15" s="1"/>
  <c r="AA49" i="1" s="1"/>
</calcChain>
</file>

<file path=xl/sharedStrings.xml><?xml version="1.0" encoding="utf-8"?>
<sst xmlns="http://schemas.openxmlformats.org/spreadsheetml/2006/main" count="1452" uniqueCount="173">
  <si>
    <t xml:space="preserve"> </t>
  </si>
  <si>
    <t>Frauen</t>
  </si>
  <si>
    <t>Deutsch</t>
  </si>
  <si>
    <t>Wohnen und die regionale Dimension der Integration</t>
  </si>
  <si>
    <t>Sport und Freizeit</t>
  </si>
  <si>
    <t>Rechtsstaat und Werte</t>
  </si>
  <si>
    <t>Arbeit und Beruf</t>
  </si>
  <si>
    <t>Sprache und Bildung</t>
  </si>
  <si>
    <t>Erfüllt in %</t>
  </si>
  <si>
    <t>Projekttitel</t>
  </si>
  <si>
    <t>Projektnummer</t>
  </si>
  <si>
    <t>Anzahl der Hausbesuche</t>
  </si>
  <si>
    <t>Laufzeit Beginn</t>
  </si>
  <si>
    <t>Laufzeit Ende</t>
  </si>
  <si>
    <t>Burgenland</t>
  </si>
  <si>
    <t>Wien</t>
  </si>
  <si>
    <t>Vorarlberg</t>
  </si>
  <si>
    <t>Tirol</t>
  </si>
  <si>
    <t>Steiermark</t>
  </si>
  <si>
    <t>Salzburg</t>
  </si>
  <si>
    <t>Kärnten</t>
  </si>
  <si>
    <t>Niederösterreich</t>
  </si>
  <si>
    <t>Oberösterreich</t>
  </si>
  <si>
    <t>x</t>
  </si>
  <si>
    <t>Bitte auswählen!</t>
  </si>
  <si>
    <t>Anzahl der Unterrichtseinheiten gesamt</t>
  </si>
  <si>
    <t>Kinder, Jugendliche und Elternarbeit</t>
  </si>
  <si>
    <t>Projektträger/-in</t>
  </si>
  <si>
    <t>Anteil an Laufzeit</t>
  </si>
  <si>
    <t>IST</t>
  </si>
  <si>
    <t>Evaluierungsindikatoren</t>
  </si>
  <si>
    <t>Anzahl der erstmalig am Projekt teilnehmenden Personen</t>
  </si>
  <si>
    <t>Anzahl der Frauen</t>
  </si>
  <si>
    <t>Anzahl der Männer</t>
  </si>
  <si>
    <t>Zielindikatoren</t>
  </si>
  <si>
    <t>Anzahl der Asyl- und subsidiär Schutzberechtigten</t>
  </si>
  <si>
    <t>Anzahl der Drittstaatsangehörigen</t>
  </si>
  <si>
    <t>Anzahl der Personen aus der Mehrheitsbevölkerung</t>
  </si>
  <si>
    <t>Wirkungsindikatoren</t>
  </si>
  <si>
    <t>davon Alphabetisierung</t>
  </si>
  <si>
    <t>davon A1</t>
  </si>
  <si>
    <t>davon A2</t>
  </si>
  <si>
    <t>davon B1</t>
  </si>
  <si>
    <t>davon B2</t>
  </si>
  <si>
    <t>Anzahl der niederschwelligen Sprachlerntreffen</t>
  </si>
  <si>
    <t>Bereich Beratung</t>
  </si>
  <si>
    <t>Anzahl der Gruppenberatungs-/Betreuungsstunden</t>
  </si>
  <si>
    <t>Anzahl der in Einzelberatung beratenen, betreuten oder gecoachten Personen</t>
  </si>
  <si>
    <t>Anzahl der in Gruppenberatung beratenen oder betreuten Personen</t>
  </si>
  <si>
    <t>Anzahl der Familienberatungen (pro Familie)</t>
  </si>
  <si>
    <t>Anzahl der Beratungs-/Betreuungsstunden für Familien</t>
  </si>
  <si>
    <t>Anzahl der familienberatenen oder betreuten Personen</t>
  </si>
  <si>
    <t>Bereich Sprache</t>
  </si>
  <si>
    <t>Anzahl der Kursangebote mit Kinderbetreuung</t>
  </si>
  <si>
    <t>Anzahl der Teilnehmenden an Kursen/Workshops/ Trainings</t>
  </si>
  <si>
    <t xml:space="preserve">Anzahl der Veranstaltungen </t>
  </si>
  <si>
    <t>Anzahl der Kurse/Workshops/Trainings</t>
  </si>
  <si>
    <t>davon ÖIF zertifiziert</t>
  </si>
  <si>
    <t>Anzahl der Kurs-, Workshop- bzw. Trainingsstunden</t>
  </si>
  <si>
    <t xml:space="preserve">Anzahl der Einzelberatungs-/Betreuungs-/ Coachingstunden </t>
  </si>
  <si>
    <t>Projektdauer in Monaten</t>
  </si>
  <si>
    <t>Anmerkungen</t>
  </si>
  <si>
    <t>Anzahl besuchter Haushalte</t>
  </si>
  <si>
    <t>Anzahl besuchter Personen</t>
  </si>
  <si>
    <t>von diesen geleistete Gesamtstunden</t>
  </si>
  <si>
    <t>Anzahl der betreuten Kinder</t>
  </si>
  <si>
    <t>Anzahl der Fachsprach- bzw. Sprachkurse gesamt</t>
  </si>
  <si>
    <t>Anzahl der Fachsprach- bzw. Sprachkursplätze gesamt</t>
  </si>
  <si>
    <t>Anzahl der Fachsprach- bzw. Sprachkursteilnehmenden gesamt</t>
  </si>
  <si>
    <t>Anzahl der Ehrenamtlichen</t>
  </si>
  <si>
    <t>Anzahl der Einzelberatungen bzw. -betreuung</t>
  </si>
  <si>
    <t>Anzahl der Gruppenberatungen bzw. -betreuung  
(min 3 Personen)</t>
  </si>
  <si>
    <t>Anzahl SOLL</t>
  </si>
  <si>
    <t>Bereich Veranstaltungen</t>
  </si>
  <si>
    <t>Anzahl der erreichten Teilnehmenden durch Medien</t>
  </si>
  <si>
    <t>davon erreichte Teilnehmende durch digitale Medien</t>
  </si>
  <si>
    <t>davon erreichte Teilnehmende durch Printmedien</t>
  </si>
  <si>
    <t>Anzahl der Teilnehmenden in weiterführenden externen Bildungsmaßnahmen, auf die im Projekt vorbereitet wurde, bis zwei Monate nach Projektteilnahme</t>
  </si>
  <si>
    <t>Anzahl der Teilnehmenden mit erfolgreicher Arbeitsmarktintegration bis zwei Monate nach Projektteilnahme</t>
  </si>
  <si>
    <t>Anzahl der Teilnehmenden mit Praktikumsplatz bis zwei Monate nach Projektteilnahme</t>
  </si>
  <si>
    <t>Anzahl der Teilnehmenden, die innerhalb von zwei Monaten nach Projektteilnahme ein Zertifikat erwerben</t>
  </si>
  <si>
    <t>Anzahl der Teilnehmenden an niederschwelligem Sprachlernangebot</t>
  </si>
  <si>
    <t>Anzahl der Personen über 30 Jahre</t>
  </si>
  <si>
    <t>Anzahl der Personen - divers</t>
  </si>
  <si>
    <t>Anzahl der Personen - offen</t>
  </si>
  <si>
    <t>Anzahl der Personen - eigene Angaben</t>
  </si>
  <si>
    <t>Anzahl der Personen - keine Angaben</t>
  </si>
  <si>
    <t>Anzahl der Österreicher*innen mit Migrationshintergrund</t>
  </si>
  <si>
    <t>Anzahl der EU-Bürger*innen</t>
  </si>
  <si>
    <t>Zeitraum des Indikatorenberichts</t>
  </si>
  <si>
    <t>von</t>
  </si>
  <si>
    <t>bis</t>
  </si>
  <si>
    <t>Projektteilnehmende nach Alter</t>
  </si>
  <si>
    <t xml:space="preserve">Projektteilnehmende nach Geschlecht </t>
  </si>
  <si>
    <t>Angaben zum Projekt</t>
  </si>
  <si>
    <t>Anzahl der Projektteilnehmenden gesamt</t>
  </si>
  <si>
    <t>Anzahl der Veranstaltungsteilnehmenden gesamt</t>
  </si>
  <si>
    <t>Anzahl der Teilnehmenden, die Elternteil betreuter Kinder sind</t>
  </si>
  <si>
    <t>Anzahl der Gruppenberatungen bzw. -betreuung  
(min. 3 Personen)</t>
  </si>
  <si>
    <t xml:space="preserve">Projektteilnehmende nach Zielgruppe </t>
  </si>
  <si>
    <t>Anzahl der Teilnehmenden an einer zertifizierten Abschlussprüfung</t>
  </si>
  <si>
    <t>Anzahl der Teilnehmenden mit einer vermittelten Lehrstelle bis zwei Monate nach Projektteilnahme</t>
  </si>
  <si>
    <t>Anzahl der Vertriebenen gemäß § 62 AsylG 2005</t>
  </si>
  <si>
    <t>gesamt</t>
  </si>
  <si>
    <t>Bundesländeraufteilung in %</t>
  </si>
  <si>
    <t>Wählen Sie ein Bundesland aus:</t>
  </si>
  <si>
    <t>Anzahl der verfügbaren Plätze im Projekt</t>
  </si>
  <si>
    <t>Anzahl der Standorte, an denen die Maßnahmen durchgeführt werden</t>
  </si>
  <si>
    <t>Anzahl SOLL lt. Vertrag</t>
  </si>
  <si>
    <t>Anzahl der durchgeführten wissenschaftlichen Studien bzw. begleitenden Berichte oder Evaluierungen</t>
  </si>
  <si>
    <t>Anzahl an auszubildenden Multiplikatorinnen und Multiplikatoren</t>
  </si>
  <si>
    <t>Anzahl der Personen von  0 - 6 Jahre</t>
  </si>
  <si>
    <t>Anzahl der Personen von 6 - 10 Jahre</t>
  </si>
  <si>
    <t>Anzahl der Personen von 10 - 14 Jahre</t>
  </si>
  <si>
    <t>Anzahl der Personen von 14 -18 Jahre</t>
  </si>
  <si>
    <t>Anzahl der Personen von 18 -30 Jahre</t>
  </si>
  <si>
    <t>Anzahl der Personen - inter</t>
  </si>
  <si>
    <t>Anzahl  der Teilnehmenden an einer zertifizierten Abschlussprüfung</t>
  </si>
  <si>
    <t>Anteil der Teilnehmenden mit positiv absolvierter, zertifizierter Abschlussprüfung</t>
  </si>
  <si>
    <t>Maßnahmen Soll lt. Vertrag</t>
  </si>
  <si>
    <t>Anzahl IST - gesamt</t>
  </si>
  <si>
    <t>Maßnahmen IST lt. Vertrag</t>
  </si>
  <si>
    <t>allgemeine Anmerkungen zu den IST-Indikatoren</t>
  </si>
  <si>
    <t>Anzahl IST - gesamt - berichtigt</t>
  </si>
  <si>
    <t>IST berichtigt</t>
  </si>
  <si>
    <t>Anzahl SOLL berichtigt</t>
  </si>
  <si>
    <t>Anzahl SOLL berichtigt lt. Vertrag</t>
  </si>
  <si>
    <t>Sonstiger Indikator - frei wählbar lt. Indikatorenblatt</t>
  </si>
  <si>
    <r>
      <t xml:space="preserve">Indikatorenbericht
</t>
    </r>
    <r>
      <rPr>
        <b/>
        <sz val="11"/>
        <color indexed="9"/>
        <rFont val="Calibri"/>
        <family val="2"/>
        <scheme val="minor"/>
      </rPr>
      <t>Nationale Integrationsförderung 2024 und 2025</t>
    </r>
  </si>
  <si>
    <t>M 1</t>
  </si>
  <si>
    <t>M 2</t>
  </si>
  <si>
    <t>M 3</t>
  </si>
  <si>
    <t>M 4</t>
  </si>
  <si>
    <t>M 5</t>
  </si>
  <si>
    <t>M 6</t>
  </si>
  <si>
    <t>M 7</t>
  </si>
  <si>
    <t>M 8</t>
  </si>
  <si>
    <t>M 9</t>
  </si>
  <si>
    <t>M 10</t>
  </si>
  <si>
    <t>IST
bis 2. ZWB</t>
  </si>
  <si>
    <t>IST 
bis 1. ZWB</t>
  </si>
  <si>
    <t>IST 
bis 2. ZWB</t>
  </si>
  <si>
    <t>IST 
bis 3. ZWB</t>
  </si>
  <si>
    <t>IST 
bis EB</t>
  </si>
  <si>
    <t>Standort Projektmanagement</t>
  </si>
  <si>
    <t>Hauptprojektstandort</t>
  </si>
  <si>
    <t>Anmerkungen
(lt. Projektbeschreibung)</t>
  </si>
  <si>
    <t>Bereich Sonstige Indikatoren</t>
  </si>
  <si>
    <t>Anzahl der MultiplikatorInnen mit konkreter Aktivität bis zwei Monate nach Projektteilnahme</t>
  </si>
  <si>
    <t>für diese Indikatoren ist nur Spalte R zu befüllen</t>
  </si>
  <si>
    <t>Bitte hier nur ganze Zahlen angeben!</t>
  </si>
  <si>
    <t>Diese Indikatoren sind nur bei IST berichtigt zu erfassen.</t>
  </si>
  <si>
    <t>Für diese Indikatoren ist nur Spalte D und ggf. E zu befüllen.</t>
  </si>
  <si>
    <t>Anzahl der Teilnehmenden mit einer Verbesserung um eine Schulnote oder mit Aufstieg in die nächste Schulstufe</t>
  </si>
  <si>
    <t>Innsbruck</t>
  </si>
  <si>
    <t>131-2024/25</t>
  </si>
  <si>
    <t>"Individuelle LAP-Beratung" &amp; "Fachspezifische Lernbegleitung im Einzelsetting" (1-2 Personen)</t>
  </si>
  <si>
    <t>"Fachspezifische Lernbegleitung im Gruppensetting" (ab 3 Personen)</t>
  </si>
  <si>
    <t xml:space="preserve">Anzahl der Teilnehmenden, die Teilziele auf ihrem Weg zur LAP (gemäß individuellem Bildungsplan) erreicht haben. </t>
  </si>
  <si>
    <t>Multiplikator*innen sind nicht die Zielgruppe unseres Projekts. Im Rahmen der Akquise und Arbeit mit den TN sind wir in Kontakt mit Berufsschulen, Lehrbetrieben, Arbeitgebern und Lehrlings/-Jugendcoaches unterschiedlicher Organisationen. Eine genaue Anzahl der Case-Manager, mit der wir zu tun haben, wurde nicht erhoben.</t>
  </si>
  <si>
    <t>Schulnoten sind nicht Fokus unseres Projekts. Wir arbeiten mit den TN daran, dass sie ein gesamtes Berufsschuljahr positiv abschließen. Siehe dazu Wirkungsindikator 2 (Zertifikat).
Viele haben keine Schulnoten, da sie eine Lehre auf dem zweiten Bildungsweg absolvieren. Wir motivieren unsere TN, sich bereits vor dem Berufsschuljahr vorzubereiten. Sie verbessern sich bereits vor dem Schuljahr/vor dem LAP-Kurs in den für sie problematischen Kompetenzfeldern.</t>
  </si>
  <si>
    <t>Im Rahmen des Projekts suchen wir nicht aktiv Praktikumsplätze mit den TN. 
Im Rahmen der Lernbegleitung werden Kompetenzen dahingehend gesteigert, dass eine Praktikumssuche erleichtert wird. 
Die angegebene Zahl basiert auf freiwillige Rückmeldungen der TN während der Lernbegleitung.</t>
  </si>
  <si>
    <t>Die Arbeitsmarktintegration ist den TN im Rahmen des Projekts selbst überlassen. Arbeitslosigkeit ist kein Aufnahmekriterium des Projekts. Manche TN arbeiten bereits bei Projekteintritt.
Im Rahmen der Lernbegleitung werden Kompetenzen dahingehend gesteigert, dass eine Arbeitsmarktintegration erleichtert wird. 
Wir arbeiten mit den TN an ihren Lernerfolgen, die die Basis legt, um am Arbeitsmarkt eine Chance zu haben. 
Durch das dadurch gewonnene Selbstvertrauen und den Rückhalt werden sie ermutigt sich selbstständig in den Arbeitsmarkt zu integrieren.
Die angegebene Zahl basiert auf freiwillige Rückmeldungen der TN während der Lernbegleitung.</t>
  </si>
  <si>
    <t xml:space="preserve">Da der Weg zur LAP für unsere Zielgruppe meist ein längerer ist, ist die Erreichung ihrer festgesetzten Teilziele gemäß individuellem Bildungsplan bereits ein wesentlicher Erfolgsindikator. </t>
  </si>
  <si>
    <t xml:space="preserve">Die Zahl beinhaltet von den Teilnehmenden erlangte "Zertifikate" in Bezug auf die LAP.
(Berufsschulzeugnis (E3) /LAP-Prüfung abgelegt (E6) /Teilprüfungen der LAP abgelegt (E7)
</t>
  </si>
  <si>
    <t>Die Zahlt ergibt sich aus TN, die eine Berufsschule oder einen LAP-Vorbereitungskurs begannen im Zeitraum des Projekts.
(Eintritt in Berufsschule (E1) oder LAP-Vorbereitungskurs (E4)</t>
  </si>
  <si>
    <t>Fokus des Projekts ist eine längerfristige Lernbegleitung, bei der sich der Erfolg einer vermittelten Lehrstelle einstellen kann, aber nicht Fokus der Projektarbeit ist. Es wird nicht aktiv Lehrstellensuche betrieben (siehe Projektbeschreibung S. 12).
siehe Eintritt in Berufsschule (E1)</t>
  </si>
  <si>
    <t>Die Zahl beinhaltet von den Teilnehmenden erlangte "Zertifikate" in Bezug auf die LAP.
(Berufsschulzeugnis (E3) /LAP-Prüfung abgelegt (E6) /Teilprüfungen der LAP abgelegt (E7)</t>
  </si>
  <si>
    <t>Schulnoten sind nicht Fokus unseres Projekts. Wir arbeiten mit den TN daran, dass sie ein gesamtes Berufsschuljahr positiv abschließen. Siehe dazu Wirkungsindikator 2 (Zertifikat).
Viele haben keine Schulnoten, da sie eine Lehre auf dem zweiten Bildungsweg absolvieren. Wir motivieren unsere TN, sich bereits vor dem Berufsschuljahr vorzubereiten. Sie verbessern sich bereits vor dem Schuljahr/vor dem LAP-Kurs in den für sie problematischen Kompetenzfeldern.</t>
  </si>
  <si>
    <t>'Multiplikator*innen sind nicht die Zielgruppe unseres Projekts. Im Rahmen der Akquise und Arbeit mit den TN sind wir in Kontakt mit Berufsschulen, Lehrbetrieben, Arbeitgebern und Lehrlings/-Jugendcoaches unterschiedlicher Organisationen. Eine genaue Anzahl der Case-Manager, mit der wir zu tun haben, wurde nicht erhoben.</t>
  </si>
  <si>
    <t xml:space="preserve">
Im Rahmen der Lernbegleitung werden Kompetenzen dahingehend gesteigert, dass eine Arbeitsmarktintegration erleichtert wird. 
Wir arbeiten mit den TN an ihren Lernerfolgen, die die Basis legt, um am Arbeitsmarkt eine Chance zu haben. 
Durch das dadurch gewonnene Selbstvertrauen und den Rückhalt werden sie ermutigt sich selbstständig in den Arbeitsmarkt zu integrieren.
Die angegebene Zahl basiert auf freiwillige Rückmeldungen der TN während der Lernbegleitung.</t>
  </si>
  <si>
    <t>Finish Strong – Prüfungsvorbereitung und Begleitung für Lehrling</t>
  </si>
  <si>
    <t>Qualifizierung &amp; Karriere GmbH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</si>
</sst>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 #,##0.00_-;\-&quot;€&quot;\ * #,##0.00_-;_-&quot;€&quot;\ * &quot;-&quot;??_-;_-@_-"/>
  </numFmts>
  <fonts count="14" x14ac:knownFonts="1">
    <font>
      <sz val="10"/>
      <name val="arial"/>
    </font>
    <font>
      <sz val="10"/>
      <name val="Arial"/>
      <family val="2"/>
    </font>
    <font>
      <sz val="10"/>
      <name val="Arial"/>
      <family val="2"/>
    </font>
    <font>
      <sz val="11"/>
      <color indexed="8"/>
      <name val="Calibri"/>
      <family val="2"/>
    </font>
    <font>
      <sz val="11"/>
      <color indexed="9"/>
      <name val="Calibri"/>
      <family val="2"/>
    </font>
    <font>
      <sz val="11"/>
      <color theme="1"/>
      <name val="Calibri"/>
      <family val="2"/>
      <scheme val="minor"/>
    </font>
    <font>
      <sz val="11"/>
      <color theme="0"/>
      <name val="Calibri"/>
      <family val="2"/>
      <scheme val="minor"/>
    </font>
    <font>
      <b/>
      <sz val="11"/>
      <color theme="0"/>
      <name val="Calibri"/>
      <family val="2"/>
      <scheme val="minor"/>
    </font>
    <font>
      <sz val="11"/>
      <name val="Calibri"/>
      <family val="2"/>
      <scheme val="minor"/>
    </font>
    <font>
      <b/>
      <sz val="11"/>
      <name val="Calibri"/>
      <family val="2"/>
      <scheme val="minor"/>
    </font>
    <font>
      <sz val="11"/>
      <color theme="0" tint="-0.14999847407452621"/>
      <name val="Calibri"/>
      <family val="2"/>
      <scheme val="minor"/>
    </font>
    <font>
      <b/>
      <sz val="11"/>
      <color theme="0" tint="-0.14999847407452621"/>
      <name val="Calibri"/>
      <family val="2"/>
      <scheme val="minor"/>
    </font>
    <font>
      <b/>
      <sz val="11"/>
      <color indexed="9"/>
      <name val="Calibri"/>
      <family val="2"/>
      <scheme val="minor"/>
    </font>
    <font>
      <sz val="11"/>
      <color rgb="FFFF0000"/>
      <name val="Calibri"/>
      <family val="2"/>
      <scheme val="minor"/>
    </font>
  </fonts>
  <fills count="22">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rgb="FFDDDDDD"/>
        <bgColor indexed="64"/>
      </patternFill>
    </fill>
    <fill>
      <patternFill patternType="solid">
        <fgColor theme="4" tint="-0.249977111117893"/>
        <bgColor indexed="64"/>
      </patternFill>
    </fill>
    <fill>
      <patternFill patternType="solid">
        <fgColor theme="0"/>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6" tint="0.79998168889431442"/>
        <bgColor indexed="64"/>
      </patternFill>
    </fill>
  </fills>
  <borders count="16">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4">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5" borderId="0" applyNumberFormat="0" applyBorder="0" applyAlignment="0" applyProtection="0"/>
    <xf numFmtId="0" fontId="3" fillId="8" borderId="0" applyNumberFormat="0" applyBorder="0" applyAlignment="0" applyProtection="0"/>
    <xf numFmtId="0" fontId="3" fillId="11" borderId="0" applyNumberFormat="0" applyBorder="0" applyAlignment="0" applyProtection="0"/>
    <xf numFmtId="0" fontId="4" fillId="12"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44" fontId="2" fillId="0" borderId="0" applyFont="0" applyFill="0" applyBorder="0" applyAlignment="0" applyProtection="0"/>
    <xf numFmtId="9" fontId="5" fillId="0" borderId="0" applyFont="0" applyFill="0" applyBorder="0" applyAlignment="0" applyProtection="0"/>
    <xf numFmtId="9" fontId="2" fillId="0" borderId="0" applyFont="0" applyFill="0" applyBorder="0" applyAlignment="0" applyProtection="0"/>
    <xf numFmtId="0" fontId="2" fillId="0" borderId="0"/>
    <xf numFmtId="44" fontId="1" fillId="0" borderId="0" applyFont="0" applyFill="0" applyBorder="0" applyAlignment="0" applyProtection="0"/>
  </cellStyleXfs>
  <cellXfs count="290">
    <xf numFmtId="0" fontId="0" fillId="0" borderId="0" xfId="0"/>
    <xf numFmtId="0" fontId="8" fillId="0" borderId="1" xfId="0" applyFont="1" applyBorder="1"/>
    <xf numFmtId="0" fontId="8" fillId="0" borderId="2" xfId="0" applyFont="1" applyBorder="1"/>
    <xf numFmtId="0" fontId="8" fillId="0" borderId="3" xfId="0" applyFont="1" applyBorder="1"/>
    <xf numFmtId="0" fontId="8" fillId="16" borderId="0" xfId="0" applyFont="1" applyFill="1"/>
    <xf numFmtId="0" fontId="8" fillId="0" borderId="4" xfId="0" applyFont="1" applyBorder="1"/>
    <xf numFmtId="0" fontId="6" fillId="0" borderId="5" xfId="0" applyFont="1" applyBorder="1"/>
    <xf numFmtId="0" fontId="8" fillId="0" borderId="6" xfId="0" applyFont="1" applyBorder="1"/>
    <xf numFmtId="0" fontId="7" fillId="17" borderId="7" xfId="0" applyFont="1" applyFill="1" applyBorder="1" applyAlignment="1">
      <alignment vertical="center" wrapText="1"/>
    </xf>
    <xf numFmtId="0" fontId="8" fillId="16" borderId="0" xfId="0" applyFont="1" applyFill="1" applyAlignment="1">
      <alignment vertical="center"/>
    </xf>
    <xf numFmtId="0" fontId="8" fillId="0" borderId="2" xfId="0" applyFont="1" applyBorder="1" applyAlignment="1">
      <alignment horizontal="center" wrapText="1"/>
    </xf>
    <xf numFmtId="0" fontId="8" fillId="18" borderId="8" xfId="0" applyFont="1" applyFill="1" applyBorder="1" applyAlignment="1">
      <alignment horizontal="center" vertical="center" wrapText="1"/>
    </xf>
    <xf numFmtId="0" fontId="8" fillId="16" borderId="0" xfId="0" applyFont="1" applyFill="1" applyAlignment="1">
      <alignment horizontal="center" wrapText="1"/>
    </xf>
    <xf numFmtId="0" fontId="6" fillId="0" borderId="2" xfId="0" applyFont="1" applyBorder="1"/>
    <xf numFmtId="0" fontId="6" fillId="18" borderId="8" xfId="0" applyFont="1" applyFill="1" applyBorder="1" applyAlignment="1">
      <alignment vertical="center"/>
    </xf>
    <xf numFmtId="0" fontId="6" fillId="16" borderId="0" xfId="0" applyFont="1" applyFill="1"/>
    <xf numFmtId="0" fontId="8" fillId="0" borderId="4" xfId="0" applyFont="1" applyBorder="1" applyAlignment="1">
      <alignment horizontal="center" vertical="center"/>
    </xf>
    <xf numFmtId="0" fontId="8" fillId="0" borderId="6" xfId="0" applyFont="1" applyBorder="1" applyAlignment="1">
      <alignment horizontal="center" vertical="center"/>
    </xf>
    <xf numFmtId="0" fontId="8" fillId="16" borderId="0" xfId="0" applyFont="1" applyFill="1" applyAlignment="1">
      <alignment horizontal="center" vertical="center"/>
    </xf>
    <xf numFmtId="0" fontId="8" fillId="0" borderId="4" xfId="0" applyFont="1" applyBorder="1" applyAlignment="1">
      <alignment horizontal="left" vertical="center"/>
    </xf>
    <xf numFmtId="0" fontId="8" fillId="0" borderId="6" xfId="0" applyFont="1" applyBorder="1" applyAlignment="1">
      <alignment horizontal="left" vertical="center"/>
    </xf>
    <xf numFmtId="0" fontId="8" fillId="16" borderId="0" xfId="0" applyFont="1" applyFill="1" applyAlignment="1">
      <alignment horizontal="left" vertical="center"/>
    </xf>
    <xf numFmtId="9" fontId="6" fillId="18" borderId="0" xfId="0" applyNumberFormat="1" applyFont="1" applyFill="1" applyAlignment="1">
      <alignment horizontal="center" vertical="center"/>
    </xf>
    <xf numFmtId="0" fontId="6" fillId="18" borderId="5" xfId="0" applyFont="1" applyFill="1" applyBorder="1"/>
    <xf numFmtId="3" fontId="9" fillId="18" borderId="5" xfId="0" applyNumberFormat="1" applyFont="1" applyFill="1" applyBorder="1" applyAlignment="1">
      <alignment horizontal="center" vertical="center"/>
    </xf>
    <xf numFmtId="0" fontId="7" fillId="18" borderId="5" xfId="0" applyFont="1" applyFill="1" applyBorder="1" applyAlignment="1">
      <alignment horizontal="left" vertical="center" wrapText="1"/>
    </xf>
    <xf numFmtId="9" fontId="7" fillId="18" borderId="5" xfId="0" applyNumberFormat="1" applyFont="1" applyFill="1" applyBorder="1" applyAlignment="1">
      <alignment horizontal="center" vertical="center"/>
    </xf>
    <xf numFmtId="9" fontId="6" fillId="18" borderId="5" xfId="0" applyNumberFormat="1" applyFont="1" applyFill="1" applyBorder="1" applyAlignment="1">
      <alignment horizontal="center" vertical="center"/>
    </xf>
    <xf numFmtId="9" fontId="9" fillId="18" borderId="5" xfId="0" applyNumberFormat="1" applyFont="1" applyFill="1" applyBorder="1" applyAlignment="1">
      <alignment horizontal="center" vertical="center"/>
    </xf>
    <xf numFmtId="9" fontId="8" fillId="18" borderId="5" xfId="0" applyNumberFormat="1" applyFont="1" applyFill="1" applyBorder="1" applyAlignment="1">
      <alignment horizontal="center" vertical="center"/>
    </xf>
    <xf numFmtId="0" fontId="8" fillId="18" borderId="0" xfId="0" applyFont="1" applyFill="1"/>
    <xf numFmtId="0" fontId="8" fillId="18" borderId="6" xfId="0" applyFont="1" applyFill="1" applyBorder="1"/>
    <xf numFmtId="0" fontId="9" fillId="18" borderId="5" xfId="0" applyFont="1" applyFill="1" applyBorder="1" applyAlignment="1">
      <alignment horizontal="center" vertical="center"/>
    </xf>
    <xf numFmtId="0" fontId="6" fillId="0" borderId="6" xfId="0" applyFont="1" applyBorder="1"/>
    <xf numFmtId="0" fontId="8" fillId="18" borderId="8" xfId="0" applyFont="1" applyFill="1" applyBorder="1" applyAlignment="1">
      <alignment vertical="center"/>
    </xf>
    <xf numFmtId="0" fontId="8" fillId="0" borderId="0" xfId="0" applyFont="1"/>
    <xf numFmtId="0" fontId="8" fillId="0" borderId="5" xfId="0" applyFont="1" applyBorder="1" applyAlignment="1">
      <alignment horizontal="left" vertical="center"/>
    </xf>
    <xf numFmtId="0" fontId="8" fillId="0" borderId="0" xfId="0" applyFont="1" applyAlignment="1">
      <alignment horizontal="left" vertical="center"/>
    </xf>
    <xf numFmtId="0" fontId="8" fillId="18" borderId="12" xfId="0" applyFont="1" applyFill="1" applyBorder="1" applyAlignment="1">
      <alignment vertical="center"/>
    </xf>
    <xf numFmtId="0" fontId="9" fillId="0" borderId="4" xfId="0" applyFont="1" applyBorder="1" applyAlignment="1">
      <alignment horizontal="center" vertical="center"/>
    </xf>
    <xf numFmtId="0" fontId="9" fillId="0" borderId="6" xfId="0" applyFont="1" applyBorder="1" applyAlignment="1">
      <alignment horizontal="center" vertical="center"/>
    </xf>
    <xf numFmtId="0" fontId="9" fillId="16" borderId="0" xfId="0" applyFont="1" applyFill="1"/>
    <xf numFmtId="0" fontId="9" fillId="16" borderId="0" xfId="0" applyFont="1" applyFill="1" applyAlignment="1">
      <alignment horizontal="center" vertical="center"/>
    </xf>
    <xf numFmtId="0" fontId="9" fillId="0" borderId="4" xfId="0" applyFont="1" applyBorder="1"/>
    <xf numFmtId="0" fontId="9" fillId="0" borderId="6" xfId="0" applyFont="1" applyBorder="1"/>
    <xf numFmtId="0" fontId="8" fillId="20" borderId="0" xfId="0" applyFont="1" applyFill="1"/>
    <xf numFmtId="0" fontId="10" fillId="16" borderId="0" xfId="0" applyFont="1" applyFill="1"/>
    <xf numFmtId="0" fontId="11" fillId="16" borderId="0" xfId="0" applyFont="1" applyFill="1"/>
    <xf numFmtId="0" fontId="8" fillId="0" borderId="0" xfId="0" applyFont="1" applyAlignment="1">
      <alignment horizontal="center" vertical="center"/>
    </xf>
    <xf numFmtId="0" fontId="9" fillId="21" borderId="7" xfId="0" quotePrefix="1" applyFont="1" applyFill="1" applyBorder="1" applyAlignment="1">
      <alignment horizontal="left" vertical="center" wrapText="1"/>
    </xf>
    <xf numFmtId="0" fontId="9" fillId="21" borderId="7" xfId="0" applyFont="1" applyFill="1" applyBorder="1" applyAlignment="1">
      <alignment horizontal="left" vertical="center" wrapText="1"/>
    </xf>
    <xf numFmtId="0" fontId="8" fillId="21" borderId="7" xfId="0" applyFont="1" applyFill="1" applyBorder="1" applyAlignment="1">
      <alignment horizontal="left" vertical="center" wrapText="1" indent="1"/>
    </xf>
    <xf numFmtId="0" fontId="8" fillId="21" borderId="7" xfId="0" quotePrefix="1" applyFont="1" applyFill="1" applyBorder="1" applyAlignment="1">
      <alignment horizontal="left" vertical="center" wrapText="1" indent="1"/>
    </xf>
    <xf numFmtId="0" fontId="9" fillId="21" borderId="13" xfId="0" quotePrefix="1" applyFont="1" applyFill="1" applyBorder="1" applyAlignment="1">
      <alignment vertical="center" wrapText="1"/>
    </xf>
    <xf numFmtId="0" fontId="9" fillId="21" borderId="1" xfId="0" applyFont="1" applyFill="1" applyBorder="1" applyAlignment="1">
      <alignment horizontal="left" vertical="center" wrapText="1"/>
    </xf>
    <xf numFmtId="0" fontId="10" fillId="16" borderId="4" xfId="0" applyFont="1" applyFill="1" applyBorder="1"/>
    <xf numFmtId="0" fontId="8" fillId="0" borderId="11" xfId="0" applyFont="1" applyBorder="1"/>
    <xf numFmtId="9" fontId="6" fillId="18" borderId="4" xfId="0" applyNumberFormat="1" applyFont="1" applyFill="1" applyBorder="1" applyAlignment="1">
      <alignment horizontal="center" vertical="center"/>
    </xf>
    <xf numFmtId="0" fontId="9" fillId="21" borderId="7" xfId="0" applyFont="1" applyFill="1" applyBorder="1" applyAlignment="1">
      <alignment vertical="center" wrapText="1"/>
    </xf>
    <xf numFmtId="3" fontId="8" fillId="18" borderId="5" xfId="0" applyNumberFormat="1" applyFont="1" applyFill="1" applyBorder="1" applyAlignment="1">
      <alignment horizontal="center" vertical="center"/>
    </xf>
    <xf numFmtId="0" fontId="9" fillId="18" borderId="5" xfId="0" applyFont="1" applyFill="1" applyBorder="1" applyAlignment="1">
      <alignment horizontal="center" vertical="center" wrapText="1"/>
    </xf>
    <xf numFmtId="3" fontId="7" fillId="18" borderId="4" xfId="0" applyNumberFormat="1" applyFont="1" applyFill="1" applyBorder="1" applyAlignment="1">
      <alignment horizontal="center" vertical="center"/>
    </xf>
    <xf numFmtId="3" fontId="7" fillId="18" borderId="0" xfId="0" applyNumberFormat="1" applyFont="1" applyFill="1" applyAlignment="1">
      <alignment horizontal="center" vertical="center"/>
    </xf>
    <xf numFmtId="3" fontId="6" fillId="18" borderId="10" xfId="0" applyNumberFormat="1" applyFont="1" applyFill="1" applyBorder="1" applyAlignment="1">
      <alignment horizontal="center" vertical="center"/>
    </xf>
    <xf numFmtId="1" fontId="9" fillId="21" borderId="7" xfId="0" applyNumberFormat="1" applyFont="1" applyFill="1" applyBorder="1" applyAlignment="1">
      <alignment horizontal="center" vertical="center" wrapText="1"/>
    </xf>
    <xf numFmtId="3" fontId="9" fillId="21" borderId="7" xfId="0" applyNumberFormat="1" applyFont="1" applyFill="1" applyBorder="1" applyAlignment="1">
      <alignment horizontal="center" vertical="center"/>
    </xf>
    <xf numFmtId="1" fontId="9" fillId="0" borderId="7" xfId="0" applyNumberFormat="1" applyFont="1" applyBorder="1" applyAlignment="1" applyProtection="1">
      <alignment horizontal="center" vertical="center" wrapText="1"/>
      <protection locked="0"/>
    </xf>
    <xf numFmtId="1" fontId="9" fillId="18" borderId="7" xfId="0" applyNumberFormat="1" applyFont="1" applyFill="1" applyBorder="1" applyAlignment="1" applyProtection="1">
      <alignment horizontal="center" vertical="center" wrapText="1"/>
      <protection locked="0"/>
    </xf>
    <xf numFmtId="1" fontId="8" fillId="18" borderId="7" xfId="0" applyNumberFormat="1" applyFont="1" applyFill="1" applyBorder="1" applyAlignment="1" applyProtection="1">
      <alignment horizontal="center" vertical="center" wrapText="1"/>
      <protection locked="0"/>
    </xf>
    <xf numFmtId="0" fontId="9" fillId="21" borderId="13" xfId="0" applyFont="1" applyFill="1" applyBorder="1" applyAlignment="1">
      <alignment horizontal="left" vertical="center" wrapText="1"/>
    </xf>
    <xf numFmtId="1" fontId="6" fillId="18" borderId="5" xfId="0" applyNumberFormat="1" applyFont="1" applyFill="1" applyBorder="1" applyAlignment="1">
      <alignment horizontal="center" vertical="center"/>
    </xf>
    <xf numFmtId="0" fontId="9" fillId="0" borderId="0" xfId="0" applyFont="1" applyAlignment="1">
      <alignment horizontal="left" vertical="center" wrapText="1"/>
    </xf>
    <xf numFmtId="1" fontId="9" fillId="0" borderId="0" xfId="0" applyNumberFormat="1" applyFont="1" applyAlignment="1" applyProtection="1">
      <alignment horizontal="left" vertical="center"/>
      <protection hidden="1"/>
    </xf>
    <xf numFmtId="1" fontId="9" fillId="0" borderId="0" xfId="0" applyNumberFormat="1" applyFont="1" applyAlignment="1" applyProtection="1">
      <alignment vertical="center" wrapText="1"/>
      <protection hidden="1"/>
    </xf>
    <xf numFmtId="1" fontId="9" fillId="0" borderId="0" xfId="0" applyNumberFormat="1" applyFont="1" applyAlignment="1">
      <alignment vertical="center" wrapText="1"/>
    </xf>
    <xf numFmtId="0" fontId="8" fillId="21" borderId="13" xfId="0" quotePrefix="1" applyFont="1" applyFill="1" applyBorder="1" applyAlignment="1">
      <alignment horizontal="left" vertical="center" wrapText="1" indent="1"/>
    </xf>
    <xf numFmtId="0" fontId="7" fillId="17" borderId="7" xfId="0" applyFont="1" applyFill="1" applyBorder="1" applyAlignment="1">
      <alignment horizontal="left" vertical="center" wrapText="1"/>
    </xf>
    <xf numFmtId="0" fontId="1" fillId="0" borderId="0" xfId="0" applyFont="1"/>
    <xf numFmtId="1" fontId="9" fillId="0" borderId="14" xfId="0" applyNumberFormat="1" applyFont="1" applyBorder="1" applyAlignment="1" applyProtection="1">
      <alignment horizontal="center" vertical="center" wrapText="1"/>
      <protection locked="0"/>
    </xf>
    <xf numFmtId="1" fontId="9" fillId="21" borderId="14" xfId="0" applyNumberFormat="1" applyFont="1" applyFill="1" applyBorder="1" applyAlignment="1">
      <alignment horizontal="center" vertical="center" wrapText="1"/>
    </xf>
    <xf numFmtId="0" fontId="9" fillId="0" borderId="7" xfId="0" quotePrefix="1" applyFont="1" applyBorder="1" applyAlignment="1" applyProtection="1">
      <alignment vertical="center" wrapText="1"/>
      <protection locked="0"/>
    </xf>
    <xf numFmtId="0" fontId="8" fillId="18" borderId="4" xfId="0" applyFont="1" applyFill="1" applyBorder="1"/>
    <xf numFmtId="0" fontId="9" fillId="21" borderId="7" xfId="0" quotePrefix="1" applyFont="1" applyFill="1" applyBorder="1" applyAlignment="1">
      <alignment vertical="center" wrapText="1"/>
    </xf>
    <xf numFmtId="1" fontId="6" fillId="18" borderId="0" xfId="0" applyNumberFormat="1" applyFont="1" applyFill="1" applyAlignment="1">
      <alignment horizontal="center" vertical="center"/>
    </xf>
    <xf numFmtId="0" fontId="9" fillId="21" borderId="14" xfId="0" quotePrefix="1" applyFont="1" applyFill="1" applyBorder="1" applyAlignment="1">
      <alignment horizontal="left" vertical="center" wrapText="1"/>
    </xf>
    <xf numFmtId="0" fontId="7" fillId="17" borderId="7" xfId="0" applyFont="1" applyFill="1" applyBorder="1" applyAlignment="1">
      <alignment horizontal="center" vertical="center" wrapText="1"/>
    </xf>
    <xf numFmtId="0" fontId="7" fillId="17" borderId="7" xfId="0" applyFont="1" applyFill="1" applyBorder="1" applyAlignment="1">
      <alignment horizontal="center" vertical="center"/>
    </xf>
    <xf numFmtId="1" fontId="9" fillId="21" borderId="13" xfId="0" quotePrefix="1" applyNumberFormat="1" applyFont="1" applyFill="1" applyBorder="1" applyAlignment="1">
      <alignment vertical="center" wrapText="1"/>
    </xf>
    <xf numFmtId="0" fontId="8" fillId="20" borderId="0" xfId="0" applyFont="1" applyFill="1" applyAlignment="1">
      <alignment horizontal="center" vertical="center"/>
    </xf>
    <xf numFmtId="0" fontId="8" fillId="18" borderId="4" xfId="0" applyFont="1" applyFill="1" applyBorder="1" applyAlignment="1">
      <alignment horizontal="center" vertical="center"/>
    </xf>
    <xf numFmtId="0" fontId="6" fillId="18" borderId="0" xfId="0" applyFont="1" applyFill="1"/>
    <xf numFmtId="0" fontId="9" fillId="18" borderId="0" xfId="0" applyFont="1" applyFill="1" applyAlignment="1">
      <alignment horizontal="center" vertical="center"/>
    </xf>
    <xf numFmtId="0" fontId="8" fillId="20" borderId="0" xfId="0" applyFont="1" applyFill="1" applyAlignment="1">
      <alignment horizontal="center" wrapText="1"/>
    </xf>
    <xf numFmtId="0" fontId="6" fillId="20" borderId="0" xfId="0" applyFont="1" applyFill="1"/>
    <xf numFmtId="0" fontId="9" fillId="20" borderId="0" xfId="0" applyFont="1" applyFill="1" applyAlignment="1">
      <alignment horizontal="center" vertical="center"/>
    </xf>
    <xf numFmtId="0" fontId="8" fillId="18" borderId="1" xfId="0" applyFont="1" applyFill="1" applyBorder="1" applyAlignment="1">
      <alignment horizontal="center" vertical="center"/>
    </xf>
    <xf numFmtId="0" fontId="8" fillId="18" borderId="2" xfId="0" applyFont="1" applyFill="1" applyBorder="1"/>
    <xf numFmtId="0" fontId="8" fillId="18" borderId="2" xfId="0" applyFont="1" applyFill="1" applyBorder="1" applyAlignment="1">
      <alignment horizontal="center" wrapText="1"/>
    </xf>
    <xf numFmtId="0" fontId="6" fillId="18" borderId="2" xfId="0" applyFont="1" applyFill="1" applyBorder="1"/>
    <xf numFmtId="0" fontId="8" fillId="18" borderId="3" xfId="0" applyFont="1" applyFill="1" applyBorder="1"/>
    <xf numFmtId="0" fontId="8" fillId="18" borderId="0" xfId="0" applyFont="1" applyFill="1" applyAlignment="1">
      <alignment horizontal="center" vertical="center"/>
    </xf>
    <xf numFmtId="0" fontId="6" fillId="18" borderId="0" xfId="0" applyFont="1" applyFill="1" applyAlignment="1">
      <alignment horizontal="left"/>
    </xf>
    <xf numFmtId="0" fontId="8" fillId="18" borderId="6" xfId="0" applyFont="1" applyFill="1" applyBorder="1" applyAlignment="1">
      <alignment horizontal="center" vertical="center"/>
    </xf>
    <xf numFmtId="3" fontId="8" fillId="0" borderId="7" xfId="0" applyNumberFormat="1" applyFont="1" applyBorder="1" applyAlignment="1" applyProtection="1">
      <alignment horizontal="center" vertical="center"/>
      <protection locked="0"/>
    </xf>
    <xf numFmtId="0" fontId="9" fillId="18" borderId="6" xfId="0" applyFont="1" applyFill="1" applyBorder="1" applyAlignment="1">
      <alignment horizontal="center" vertical="center"/>
    </xf>
    <xf numFmtId="0" fontId="9" fillId="18" borderId="10" xfId="0" quotePrefix="1" applyFont="1" applyFill="1" applyBorder="1" applyAlignment="1">
      <alignment vertical="center" wrapText="1"/>
    </xf>
    <xf numFmtId="3" fontId="7" fillId="18" borderId="0" xfId="0" applyNumberFormat="1" applyFont="1" applyFill="1" applyAlignment="1" applyProtection="1">
      <alignment horizontal="center" vertical="center"/>
      <protection locked="0"/>
    </xf>
    <xf numFmtId="3" fontId="6" fillId="18" borderId="10" xfId="0" applyNumberFormat="1" applyFont="1" applyFill="1" applyBorder="1" applyAlignment="1" applyProtection="1">
      <alignment horizontal="center" vertical="center"/>
      <protection locked="0"/>
    </xf>
    <xf numFmtId="9" fontId="6" fillId="18" borderId="10" xfId="0" applyNumberFormat="1" applyFont="1" applyFill="1" applyBorder="1" applyAlignment="1">
      <alignment horizontal="center" vertical="center"/>
    </xf>
    <xf numFmtId="0" fontId="8" fillId="20" borderId="0" xfId="0" applyFont="1" applyFill="1" applyAlignment="1">
      <alignment vertical="center"/>
    </xf>
    <xf numFmtId="0" fontId="8" fillId="18" borderId="12" xfId="0" applyFont="1" applyFill="1" applyBorder="1"/>
    <xf numFmtId="0" fontId="8" fillId="18" borderId="11" xfId="0" applyFont="1" applyFill="1" applyBorder="1"/>
    <xf numFmtId="0" fontId="8" fillId="20" borderId="0" xfId="0" applyFont="1" applyFill="1" applyAlignment="1">
      <alignment horizontal="center" vertical="center" wrapText="1"/>
    </xf>
    <xf numFmtId="0" fontId="6" fillId="20" borderId="0" xfId="0" applyFont="1" applyFill="1" applyAlignment="1">
      <alignment vertical="center"/>
    </xf>
    <xf numFmtId="1" fontId="6" fillId="20" borderId="0" xfId="0" applyNumberFormat="1" applyFont="1" applyFill="1" applyAlignment="1">
      <alignment vertical="center"/>
    </xf>
    <xf numFmtId="44" fontId="6" fillId="20" borderId="0" xfId="0" applyNumberFormat="1" applyFont="1" applyFill="1" applyAlignment="1">
      <alignment vertical="center"/>
    </xf>
    <xf numFmtId="0" fontId="6" fillId="20" borderId="5" xfId="0" applyFont="1" applyFill="1" applyBorder="1"/>
    <xf numFmtId="0" fontId="8" fillId="16" borderId="0" xfId="0" applyFont="1" applyFill="1" applyAlignment="1">
      <alignment vertical="center" wrapText="1"/>
    </xf>
    <xf numFmtId="0" fontId="6" fillId="20" borderId="0" xfId="0" applyFont="1" applyFill="1" applyAlignment="1">
      <alignment wrapText="1"/>
    </xf>
    <xf numFmtId="0" fontId="6" fillId="18" borderId="2" xfId="0" applyFont="1" applyFill="1" applyBorder="1" applyAlignment="1">
      <alignment wrapText="1"/>
    </xf>
    <xf numFmtId="0" fontId="8" fillId="18" borderId="0" xfId="0" applyFont="1" applyFill="1" applyAlignment="1">
      <alignment horizontal="center" vertical="center" wrapText="1"/>
    </xf>
    <xf numFmtId="9" fontId="6" fillId="18" borderId="0" xfId="0" applyNumberFormat="1" applyFont="1" applyFill="1" applyAlignment="1">
      <alignment horizontal="center" vertical="center" wrapText="1"/>
    </xf>
    <xf numFmtId="0" fontId="8" fillId="18" borderId="8" xfId="0" applyFont="1" applyFill="1" applyBorder="1" applyAlignment="1">
      <alignment vertical="center" wrapText="1"/>
    </xf>
    <xf numFmtId="0" fontId="6" fillId="20" borderId="0" xfId="0" applyFont="1" applyFill="1" applyAlignment="1">
      <alignment vertical="center" wrapText="1"/>
    </xf>
    <xf numFmtId="0" fontId="6" fillId="20" borderId="5" xfId="0" applyFont="1" applyFill="1" applyBorder="1" applyAlignment="1">
      <alignment wrapText="1"/>
    </xf>
    <xf numFmtId="0" fontId="9" fillId="0" borderId="6"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8" fillId="18" borderId="8" xfId="0" applyFont="1" applyFill="1" applyBorder="1"/>
    <xf numFmtId="1" fontId="9" fillId="18" borderId="0" xfId="0" applyNumberFormat="1" applyFont="1" applyFill="1" applyAlignment="1" applyProtection="1">
      <alignment horizontal="left" vertical="center"/>
      <protection hidden="1"/>
    </xf>
    <xf numFmtId="0" fontId="9" fillId="18" borderId="0" xfId="0" applyFont="1" applyFill="1" applyAlignment="1">
      <alignment horizontal="center" vertical="center" wrapText="1"/>
    </xf>
    <xf numFmtId="0" fontId="9" fillId="18" borderId="0" xfId="0" applyFont="1" applyFill="1" applyAlignment="1">
      <alignment horizontal="left" vertical="center" wrapText="1"/>
    </xf>
    <xf numFmtId="0" fontId="7" fillId="18" borderId="0" xfId="0" applyFont="1" applyFill="1" applyAlignment="1">
      <alignment horizontal="center" vertical="center" wrapText="1"/>
    </xf>
    <xf numFmtId="1" fontId="8" fillId="21" borderId="7" xfId="0" applyNumberFormat="1" applyFont="1" applyFill="1" applyBorder="1" applyAlignment="1">
      <alignment horizontal="center" vertical="center" wrapText="1"/>
    </xf>
    <xf numFmtId="1" fontId="8" fillId="0" borderId="7" xfId="0" applyNumberFormat="1" applyFont="1" applyBorder="1" applyAlignment="1" applyProtection="1">
      <alignment horizontal="center" vertical="center" wrapText="1"/>
      <protection locked="0"/>
    </xf>
    <xf numFmtId="0" fontId="9" fillId="0" borderId="7" xfId="0" applyFont="1" applyBorder="1" applyAlignment="1" applyProtection="1">
      <alignment horizontal="center" vertical="center" wrapText="1"/>
      <protection locked="0"/>
    </xf>
    <xf numFmtId="1" fontId="8" fillId="0" borderId="14" xfId="0" applyNumberFormat="1" applyFont="1" applyBorder="1" applyAlignment="1" applyProtection="1">
      <alignment horizontal="center" vertical="center" wrapText="1"/>
      <protection locked="0"/>
    </xf>
    <xf numFmtId="0" fontId="9" fillId="21" borderId="13" xfId="0" quotePrefix="1" applyFont="1" applyFill="1" applyBorder="1" applyAlignment="1">
      <alignment horizontal="center" vertical="center" wrapText="1"/>
    </xf>
    <xf numFmtId="0" fontId="8" fillId="21" borderId="13" xfId="0" quotePrefix="1" applyFont="1" applyFill="1" applyBorder="1" applyAlignment="1">
      <alignment horizontal="center" vertical="center" wrapText="1"/>
    </xf>
    <xf numFmtId="0" fontId="9" fillId="21" borderId="7" xfId="0" quotePrefix="1" applyFont="1" applyFill="1" applyBorder="1" applyAlignment="1">
      <alignment horizontal="center" vertical="center" wrapText="1"/>
    </xf>
    <xf numFmtId="1" fontId="9" fillId="0" borderId="13" xfId="0" applyNumberFormat="1" applyFont="1" applyBorder="1" applyAlignment="1" applyProtection="1">
      <alignment horizontal="center" vertical="center" wrapText="1"/>
      <protection locked="0"/>
    </xf>
    <xf numFmtId="1" fontId="9" fillId="0" borderId="12" xfId="0" applyNumberFormat="1" applyFont="1" applyBorder="1" applyAlignment="1" applyProtection="1">
      <alignment horizontal="center" vertical="center" wrapText="1"/>
      <protection locked="0"/>
    </xf>
    <xf numFmtId="1" fontId="9" fillId="18" borderId="13" xfId="0" applyNumberFormat="1" applyFont="1" applyFill="1" applyBorder="1" applyAlignment="1" applyProtection="1">
      <alignment horizontal="center" vertical="center" wrapText="1"/>
      <protection locked="0"/>
    </xf>
    <xf numFmtId="1" fontId="8" fillId="18" borderId="13" xfId="0" applyNumberFormat="1" applyFont="1" applyFill="1" applyBorder="1" applyAlignment="1" applyProtection="1">
      <alignment horizontal="center" vertical="center" wrapText="1"/>
      <protection locked="0"/>
    </xf>
    <xf numFmtId="0" fontId="6" fillId="16" borderId="0" xfId="0" applyFont="1" applyFill="1" applyAlignment="1">
      <alignment wrapText="1"/>
    </xf>
    <xf numFmtId="0" fontId="6" fillId="0" borderId="2" xfId="0" applyFont="1" applyBorder="1" applyAlignment="1">
      <alignment wrapText="1"/>
    </xf>
    <xf numFmtId="1" fontId="9" fillId="0" borderId="0" xfId="0" applyNumberFormat="1" applyFont="1" applyAlignment="1" applyProtection="1">
      <alignment horizontal="left" vertical="center" wrapText="1"/>
      <protection hidden="1"/>
    </xf>
    <xf numFmtId="0" fontId="8" fillId="0" borderId="0" xfId="0" applyFont="1" applyAlignment="1">
      <alignment horizontal="left" vertical="center" wrapText="1"/>
    </xf>
    <xf numFmtId="0" fontId="8" fillId="18" borderId="0" xfId="0" applyFont="1" applyFill="1" applyAlignment="1">
      <alignment wrapText="1"/>
    </xf>
    <xf numFmtId="0" fontId="6" fillId="18" borderId="8" xfId="0" applyFont="1" applyFill="1" applyBorder="1" applyAlignment="1">
      <alignment vertical="center" wrapText="1"/>
    </xf>
    <xf numFmtId="0" fontId="10" fillId="16" borderId="0" xfId="0" applyFont="1" applyFill="1" applyAlignment="1">
      <alignment wrapText="1"/>
    </xf>
    <xf numFmtId="1" fontId="9" fillId="21" borderId="7" xfId="0" applyNumberFormat="1" applyFont="1" applyFill="1" applyBorder="1" applyAlignment="1" applyProtection="1">
      <alignment horizontal="left" vertical="center" wrapText="1"/>
      <protection hidden="1"/>
    </xf>
    <xf numFmtId="1" fontId="7" fillId="18" borderId="0" xfId="0" applyNumberFormat="1" applyFont="1" applyFill="1" applyAlignment="1" applyProtection="1">
      <alignment horizontal="left" vertical="center" wrapText="1"/>
      <protection hidden="1"/>
    </xf>
    <xf numFmtId="0" fontId="7" fillId="17" borderId="14" xfId="0" applyFont="1" applyFill="1" applyBorder="1" applyAlignment="1">
      <alignment horizontal="center" vertical="center" wrapText="1"/>
    </xf>
    <xf numFmtId="0" fontId="8" fillId="18" borderId="0" xfId="0" applyFont="1" applyFill="1" applyAlignment="1">
      <alignment horizontal="center" wrapText="1"/>
    </xf>
    <xf numFmtId="0" fontId="7" fillId="17" borderId="13" xfId="0" applyFont="1" applyFill="1" applyBorder="1" applyAlignment="1">
      <alignment vertical="center" wrapText="1"/>
    </xf>
    <xf numFmtId="3" fontId="7" fillId="18" borderId="2" xfId="0" applyNumberFormat="1" applyFont="1" applyFill="1" applyBorder="1" applyAlignment="1">
      <alignment horizontal="center" vertical="center" wrapText="1"/>
    </xf>
    <xf numFmtId="0" fontId="8" fillId="18" borderId="5" xfId="0" applyFont="1" applyFill="1" applyBorder="1" applyAlignment="1">
      <alignment horizontal="center" vertical="center"/>
    </xf>
    <xf numFmtId="9" fontId="8" fillId="19" borderId="7" xfId="20" applyFont="1" applyFill="1" applyBorder="1" applyAlignment="1" applyProtection="1">
      <alignment horizontal="center" vertical="center"/>
    </xf>
    <xf numFmtId="0" fontId="9" fillId="18" borderId="0" xfId="0" quotePrefix="1" applyFont="1" applyFill="1" applyAlignment="1">
      <alignment vertical="center" wrapText="1"/>
    </xf>
    <xf numFmtId="0" fontId="8" fillId="0" borderId="0" xfId="0" applyFont="1" applyAlignment="1">
      <alignment horizontal="left" wrapText="1"/>
    </xf>
    <xf numFmtId="9" fontId="8" fillId="0" borderId="0" xfId="0" applyNumberFormat="1" applyFont="1" applyAlignment="1">
      <alignment horizontal="right"/>
    </xf>
    <xf numFmtId="0" fontId="6" fillId="17" borderId="12" xfId="0" applyFont="1" applyFill="1" applyBorder="1" applyAlignment="1">
      <alignment horizontal="center" vertical="center" wrapText="1"/>
    </xf>
    <xf numFmtId="9" fontId="8" fillId="21" borderId="7" xfId="21" applyFont="1" applyFill="1" applyBorder="1" applyAlignment="1" applyProtection="1">
      <alignment vertical="center" wrapText="1"/>
    </xf>
    <xf numFmtId="0" fontId="6" fillId="16" borderId="0" xfId="0" applyFont="1" applyFill="1" applyAlignment="1">
      <alignment horizontal="center" vertical="center"/>
    </xf>
    <xf numFmtId="0" fontId="6" fillId="0" borderId="2" xfId="0" applyFont="1" applyBorder="1" applyAlignment="1">
      <alignment horizontal="center" vertical="center"/>
    </xf>
    <xf numFmtId="1" fontId="9" fillId="0" borderId="0" xfId="0" applyNumberFormat="1" applyFont="1" applyAlignment="1" applyProtection="1">
      <alignment horizontal="center" vertical="center"/>
      <protection hidden="1"/>
    </xf>
    <xf numFmtId="0" fontId="6" fillId="18" borderId="8" xfId="0" applyFont="1" applyFill="1" applyBorder="1" applyAlignment="1">
      <alignment horizontal="center" vertical="center"/>
    </xf>
    <xf numFmtId="0" fontId="10" fillId="16" borderId="0" xfId="0" applyFont="1" applyFill="1" applyAlignment="1">
      <alignment horizontal="center" vertical="center"/>
    </xf>
    <xf numFmtId="49" fontId="8" fillId="18" borderId="7" xfId="0" applyNumberFormat="1" applyFont="1" applyFill="1" applyBorder="1" applyAlignment="1" applyProtection="1">
      <alignment vertical="center" wrapText="1"/>
      <protection locked="0"/>
    </xf>
    <xf numFmtId="1" fontId="9" fillId="21" borderId="13" xfId="0" applyNumberFormat="1" applyFont="1" applyFill="1" applyBorder="1" applyAlignment="1" applyProtection="1">
      <alignment horizontal="center" vertical="center"/>
      <protection hidden="1"/>
    </xf>
    <xf numFmtId="1" fontId="9" fillId="21" borderId="7" xfId="0" applyNumberFormat="1" applyFont="1" applyFill="1" applyBorder="1" applyAlignment="1" applyProtection="1">
      <alignment horizontal="center" vertical="center" wrapText="1"/>
      <protection hidden="1"/>
    </xf>
    <xf numFmtId="1" fontId="9" fillId="21" borderId="7" xfId="0" applyNumberFormat="1" applyFont="1" applyFill="1" applyBorder="1" applyAlignment="1" applyProtection="1">
      <alignment horizontal="center" vertical="center"/>
      <protection hidden="1"/>
    </xf>
    <xf numFmtId="49" fontId="8" fillId="18" borderId="7" xfId="0" applyNumberFormat="1" applyFont="1" applyFill="1" applyBorder="1" applyAlignment="1" applyProtection="1">
      <alignment horizontal="center" vertical="center" wrapText="1"/>
      <protection locked="0"/>
    </xf>
    <xf numFmtId="3" fontId="13" fillId="0" borderId="7" xfId="0" applyNumberFormat="1" applyFont="1" applyBorder="1" applyAlignment="1" applyProtection="1">
      <alignment horizontal="center" vertical="center"/>
      <protection locked="0"/>
    </xf>
    <xf numFmtId="1" fontId="9" fillId="18" borderId="7" xfId="0" quotePrefix="1" applyNumberFormat="1" applyFont="1" applyFill="1" applyBorder="1" applyAlignment="1" applyProtection="1">
      <alignment horizontal="left" vertical="center" wrapText="1"/>
      <protection locked="0"/>
    </xf>
    <xf numFmtId="49" fontId="8" fillId="18" borderId="7" xfId="0" quotePrefix="1" applyNumberFormat="1" applyFont="1" applyFill="1" applyBorder="1" applyAlignment="1" applyProtection="1">
      <alignment vertical="top" wrapText="1"/>
      <protection locked="0"/>
    </xf>
    <xf numFmtId="49" fontId="8" fillId="18" borderId="7" xfId="0" applyNumberFormat="1" applyFont="1" applyFill="1" applyBorder="1" applyAlignment="1" applyProtection="1">
      <alignment vertical="top" wrapText="1"/>
      <protection locked="0"/>
    </xf>
    <xf numFmtId="49" fontId="8" fillId="18" borderId="7" xfId="0" quotePrefix="1" applyNumberFormat="1" applyFont="1" applyFill="1" applyBorder="1" applyAlignment="1" applyProtection="1">
      <alignment vertical="center" wrapText="1"/>
      <protection locked="0"/>
    </xf>
    <xf numFmtId="0" fontId="9" fillId="21" borderId="10" xfId="0" quotePrefix="1" applyFont="1" applyFill="1" applyBorder="1" applyAlignment="1">
      <alignment horizontal="center" vertical="center" wrapText="1"/>
    </xf>
    <xf numFmtId="0" fontId="9" fillId="21" borderId="9" xfId="0" quotePrefix="1" applyFont="1" applyFill="1" applyBorder="1" applyAlignment="1">
      <alignment horizontal="center" vertical="center" wrapText="1"/>
    </xf>
    <xf numFmtId="0" fontId="7" fillId="17" borderId="7" xfId="0" applyFont="1" applyFill="1" applyBorder="1" applyAlignment="1">
      <alignment horizontal="center" vertical="center" wrapText="1"/>
    </xf>
    <xf numFmtId="0" fontId="8" fillId="0" borderId="13" xfId="0" applyFont="1" applyBorder="1" applyAlignment="1" applyProtection="1">
      <alignment horizontal="left" vertical="center" wrapText="1"/>
      <protection locked="0"/>
    </xf>
    <xf numFmtId="0" fontId="8" fillId="0" borderId="9" xfId="0" applyFont="1" applyBorder="1" applyAlignment="1" applyProtection="1">
      <alignment horizontal="left" vertical="center" wrapText="1"/>
      <protection locked="0"/>
    </xf>
    <xf numFmtId="0" fontId="7" fillId="17" borderId="13" xfId="0" applyFont="1" applyFill="1" applyBorder="1" applyAlignment="1">
      <alignment horizontal="left" vertical="center"/>
    </xf>
    <xf numFmtId="0" fontId="7" fillId="17" borderId="10" xfId="0" applyFont="1" applyFill="1" applyBorder="1" applyAlignment="1">
      <alignment horizontal="left" vertical="center"/>
    </xf>
    <xf numFmtId="0" fontId="7" fillId="17" borderId="9" xfId="0" applyFont="1" applyFill="1" applyBorder="1" applyAlignment="1">
      <alignment horizontal="left" vertical="center"/>
    </xf>
    <xf numFmtId="0" fontId="8" fillId="0" borderId="7" xfId="0" applyFont="1" applyBorder="1" applyAlignment="1" applyProtection="1">
      <alignment horizontal="left" vertical="center" wrapText="1"/>
      <protection locked="0" hidden="1"/>
    </xf>
    <xf numFmtId="0" fontId="8" fillId="18" borderId="1" xfId="0" quotePrefix="1" applyFont="1" applyFill="1" applyBorder="1" applyAlignment="1" applyProtection="1">
      <alignment horizontal="left" vertical="center" wrapText="1"/>
      <protection locked="0"/>
    </xf>
    <xf numFmtId="0" fontId="8" fillId="18" borderId="3" xfId="0" quotePrefix="1" applyFont="1" applyFill="1" applyBorder="1" applyAlignment="1" applyProtection="1">
      <alignment horizontal="left" vertical="center" wrapText="1"/>
      <protection locked="0"/>
    </xf>
    <xf numFmtId="0" fontId="8" fillId="18" borderId="4" xfId="0" quotePrefix="1" applyFont="1" applyFill="1" applyBorder="1" applyAlignment="1" applyProtection="1">
      <alignment horizontal="left" vertical="center" wrapText="1"/>
      <protection locked="0"/>
    </xf>
    <xf numFmtId="0" fontId="8" fillId="18" borderId="6" xfId="0" quotePrefix="1" applyFont="1" applyFill="1" applyBorder="1" applyAlignment="1" applyProtection="1">
      <alignment horizontal="left" vertical="center" wrapText="1"/>
      <protection locked="0"/>
    </xf>
    <xf numFmtId="0" fontId="8" fillId="18" borderId="12" xfId="0" quotePrefix="1" applyFont="1" applyFill="1" applyBorder="1" applyAlignment="1" applyProtection="1">
      <alignment horizontal="left" vertical="center" wrapText="1"/>
      <protection locked="0"/>
    </xf>
    <xf numFmtId="0" fontId="8" fillId="18" borderId="11" xfId="0" quotePrefix="1" applyFont="1" applyFill="1" applyBorder="1" applyAlignment="1" applyProtection="1">
      <alignment horizontal="left" vertical="center" wrapText="1"/>
      <protection locked="0"/>
    </xf>
    <xf numFmtId="0" fontId="8" fillId="18" borderId="1" xfId="0" applyFont="1" applyFill="1" applyBorder="1" applyAlignment="1" applyProtection="1">
      <alignment horizontal="left" vertical="center" wrapText="1"/>
      <protection locked="0"/>
    </xf>
    <xf numFmtId="0" fontId="8" fillId="18" borderId="3" xfId="0" applyFont="1" applyFill="1" applyBorder="1" applyAlignment="1" applyProtection="1">
      <alignment horizontal="left" vertical="center" wrapText="1"/>
      <protection locked="0"/>
    </xf>
    <xf numFmtId="0" fontId="8" fillId="18" borderId="4" xfId="0" applyFont="1" applyFill="1" applyBorder="1" applyAlignment="1" applyProtection="1">
      <alignment horizontal="left" vertical="center" wrapText="1"/>
      <protection locked="0"/>
    </xf>
    <xf numFmtId="0" fontId="8" fillId="18" borderId="6" xfId="0" applyFont="1" applyFill="1" applyBorder="1" applyAlignment="1" applyProtection="1">
      <alignment horizontal="left" vertical="center" wrapText="1"/>
      <protection locked="0"/>
    </xf>
    <xf numFmtId="0" fontId="8" fillId="18" borderId="12" xfId="0" applyFont="1" applyFill="1" applyBorder="1" applyAlignment="1" applyProtection="1">
      <alignment horizontal="left" vertical="center" wrapText="1"/>
      <protection locked="0"/>
    </xf>
    <xf numFmtId="0" fontId="8" fillId="18" borderId="11" xfId="0" applyFont="1" applyFill="1" applyBorder="1" applyAlignment="1" applyProtection="1">
      <alignment horizontal="left" vertical="center" wrapText="1"/>
      <protection locked="0"/>
    </xf>
    <xf numFmtId="0" fontId="8" fillId="18" borderId="7" xfId="0" applyFont="1" applyFill="1" applyBorder="1" applyAlignment="1" applyProtection="1">
      <alignment horizontal="left" vertical="center" wrapText="1"/>
      <protection locked="0"/>
    </xf>
    <xf numFmtId="0" fontId="8" fillId="21" borderId="13" xfId="0" quotePrefix="1" applyFont="1" applyFill="1" applyBorder="1" applyAlignment="1">
      <alignment horizontal="center" vertical="center" wrapText="1"/>
    </xf>
    <xf numFmtId="0" fontId="8" fillId="21" borderId="10" xfId="0" quotePrefix="1" applyFont="1" applyFill="1" applyBorder="1" applyAlignment="1">
      <alignment horizontal="center" vertical="center" wrapText="1"/>
    </xf>
    <xf numFmtId="0" fontId="8" fillId="21" borderId="9" xfId="0" quotePrefix="1" applyFont="1" applyFill="1" applyBorder="1" applyAlignment="1">
      <alignment horizontal="center" vertical="center" wrapText="1"/>
    </xf>
    <xf numFmtId="1" fontId="8" fillId="21" borderId="13" xfId="0" applyNumberFormat="1" applyFont="1" applyFill="1" applyBorder="1" applyAlignment="1">
      <alignment horizontal="center" vertical="center"/>
    </xf>
    <xf numFmtId="1" fontId="8" fillId="21" borderId="9" xfId="0" applyNumberFormat="1" applyFont="1" applyFill="1" applyBorder="1" applyAlignment="1">
      <alignment horizontal="center" vertical="center"/>
    </xf>
    <xf numFmtId="0" fontId="9" fillId="21" borderId="13" xfId="0" quotePrefix="1" applyFont="1" applyFill="1" applyBorder="1" applyAlignment="1">
      <alignment horizontal="center" vertical="center" wrapText="1"/>
    </xf>
    <xf numFmtId="0" fontId="7" fillId="17" borderId="1" xfId="0" applyFont="1" applyFill="1" applyBorder="1" applyAlignment="1">
      <alignment horizontal="center" vertical="center" wrapText="1"/>
    </xf>
    <xf numFmtId="0" fontId="7" fillId="17" borderId="2"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9" fillId="21" borderId="15" xfId="0" applyFont="1" applyFill="1" applyBorder="1" applyAlignment="1">
      <alignment horizontal="left" vertical="center" wrapText="1"/>
    </xf>
    <xf numFmtId="0" fontId="9" fillId="21" borderId="5" xfId="0" applyFont="1" applyFill="1" applyBorder="1" applyAlignment="1">
      <alignment horizontal="left" vertical="center" wrapText="1"/>
    </xf>
    <xf numFmtId="0" fontId="9" fillId="21" borderId="14" xfId="0" applyFont="1" applyFill="1" applyBorder="1" applyAlignment="1">
      <alignment horizontal="left" vertical="center" wrapText="1"/>
    </xf>
    <xf numFmtId="0" fontId="9" fillId="18" borderId="7" xfId="0" applyFont="1" applyFill="1" applyBorder="1" applyAlignment="1" applyProtection="1">
      <alignment horizontal="left" vertical="center" wrapText="1"/>
      <protection locked="0"/>
    </xf>
    <xf numFmtId="0" fontId="8" fillId="0" borderId="1" xfId="0" applyFont="1" applyBorder="1" applyAlignment="1" applyProtection="1">
      <alignment horizontal="left" vertical="center" wrapText="1"/>
      <protection locked="0"/>
    </xf>
    <xf numFmtId="0" fontId="8" fillId="0" borderId="15" xfId="0" applyFont="1" applyBorder="1" applyAlignment="1" applyProtection="1">
      <alignment horizontal="left" vertical="center" wrapText="1"/>
      <protection locked="0"/>
    </xf>
    <xf numFmtId="0" fontId="8" fillId="0" borderId="12" xfId="0" applyFont="1" applyBorder="1" applyAlignment="1" applyProtection="1">
      <alignment horizontal="left" vertical="center" wrapText="1"/>
      <protection locked="0"/>
    </xf>
    <xf numFmtId="0" fontId="8" fillId="0" borderId="14" xfId="0" applyFont="1" applyBorder="1" applyAlignment="1" applyProtection="1">
      <alignment horizontal="left" vertical="center" wrapText="1"/>
      <protection locked="0"/>
    </xf>
    <xf numFmtId="0" fontId="8" fillId="0" borderId="4" xfId="0" applyFont="1" applyBorder="1" applyAlignment="1" applyProtection="1">
      <alignment horizontal="left" vertical="center" wrapText="1"/>
      <protection locked="0"/>
    </xf>
    <xf numFmtId="0" fontId="8" fillId="0" borderId="5" xfId="0" applyFont="1" applyBorder="1" applyAlignment="1" applyProtection="1">
      <alignment horizontal="left" vertical="center" wrapText="1"/>
      <protection locked="0"/>
    </xf>
    <xf numFmtId="14" fontId="9" fillId="18" borderId="13" xfId="0" applyNumberFormat="1" applyFont="1" applyFill="1" applyBorder="1" applyAlignment="1" applyProtection="1">
      <alignment horizontal="left" vertical="center" wrapText="1"/>
      <protection locked="0" hidden="1"/>
    </xf>
    <xf numFmtId="14" fontId="9" fillId="18" borderId="10" xfId="0" applyNumberFormat="1" applyFont="1" applyFill="1" applyBorder="1" applyAlignment="1" applyProtection="1">
      <alignment horizontal="left" vertical="center" wrapText="1"/>
      <protection locked="0" hidden="1"/>
    </xf>
    <xf numFmtId="14" fontId="9" fillId="18" borderId="9" xfId="0" applyNumberFormat="1" applyFont="1" applyFill="1" applyBorder="1" applyAlignment="1" applyProtection="1">
      <alignment horizontal="left" vertical="center" wrapText="1"/>
      <protection locked="0" hidden="1"/>
    </xf>
    <xf numFmtId="0" fontId="9" fillId="18" borderId="13" xfId="0" applyFont="1" applyFill="1" applyBorder="1" applyAlignment="1" applyProtection="1">
      <alignment horizontal="left" vertical="center" wrapText="1"/>
      <protection locked="0" hidden="1"/>
    </xf>
    <xf numFmtId="0" fontId="9" fillId="18" borderId="10" xfId="0" applyFont="1" applyFill="1" applyBorder="1" applyAlignment="1" applyProtection="1">
      <alignment horizontal="left" vertical="center" wrapText="1"/>
      <protection locked="0" hidden="1"/>
    </xf>
    <xf numFmtId="0" fontId="9" fillId="18" borderId="9" xfId="0" applyFont="1" applyFill="1" applyBorder="1" applyAlignment="1" applyProtection="1">
      <alignment horizontal="left" vertical="center" wrapText="1"/>
      <protection locked="0" hidden="1"/>
    </xf>
    <xf numFmtId="0" fontId="8" fillId="0" borderId="13" xfId="0" applyFont="1" applyBorder="1" applyAlignment="1" applyProtection="1">
      <alignment horizontal="left" vertical="center" wrapText="1"/>
      <protection locked="0" hidden="1"/>
    </xf>
    <xf numFmtId="0" fontId="8" fillId="0" borderId="10" xfId="0" applyFont="1" applyBorder="1" applyAlignment="1" applyProtection="1">
      <alignment horizontal="left" vertical="center" wrapText="1"/>
      <protection locked="0" hidden="1"/>
    </xf>
    <xf numFmtId="0" fontId="8" fillId="0" borderId="9" xfId="0" applyFont="1" applyBorder="1" applyAlignment="1" applyProtection="1">
      <alignment horizontal="left" vertical="center" wrapText="1"/>
      <protection locked="0" hidden="1"/>
    </xf>
    <xf numFmtId="0" fontId="9" fillId="21" borderId="1" xfId="0" applyFont="1" applyFill="1" applyBorder="1" applyAlignment="1">
      <alignment horizontal="left" vertical="center" wrapText="1"/>
    </xf>
    <xf numFmtId="0" fontId="9" fillId="21" borderId="2" xfId="0" applyFont="1" applyFill="1" applyBorder="1" applyAlignment="1">
      <alignment horizontal="left" vertical="center" wrapText="1"/>
    </xf>
    <xf numFmtId="0" fontId="9" fillId="21" borderId="3" xfId="0" applyFont="1" applyFill="1" applyBorder="1" applyAlignment="1">
      <alignment horizontal="left" vertical="center" wrapText="1"/>
    </xf>
    <xf numFmtId="0" fontId="9" fillId="21" borderId="4" xfId="0" applyFont="1" applyFill="1" applyBorder="1" applyAlignment="1">
      <alignment horizontal="left" vertical="center" wrapText="1"/>
    </xf>
    <xf numFmtId="0" fontId="9" fillId="21" borderId="0" xfId="0" applyFont="1" applyFill="1" applyAlignment="1">
      <alignment horizontal="left" vertical="center" wrapText="1"/>
    </xf>
    <xf numFmtId="0" fontId="9" fillId="21" borderId="6" xfId="0" applyFont="1" applyFill="1" applyBorder="1" applyAlignment="1">
      <alignment horizontal="left" vertical="center" wrapText="1"/>
    </xf>
    <xf numFmtId="0" fontId="9" fillId="21" borderId="12" xfId="0" applyFont="1" applyFill="1" applyBorder="1" applyAlignment="1">
      <alignment horizontal="left" vertical="center" wrapText="1"/>
    </xf>
    <xf numFmtId="0" fontId="9" fillId="21" borderId="8" xfId="0" applyFont="1" applyFill="1" applyBorder="1" applyAlignment="1">
      <alignment horizontal="left" vertical="center" wrapText="1"/>
    </xf>
    <xf numFmtId="0" fontId="9" fillId="21" borderId="11" xfId="0" applyFont="1" applyFill="1" applyBorder="1" applyAlignment="1">
      <alignment horizontal="left" vertical="center" wrapText="1"/>
    </xf>
    <xf numFmtId="1" fontId="8" fillId="21" borderId="15" xfId="0" applyNumberFormat="1" applyFont="1" applyFill="1" applyBorder="1" applyAlignment="1">
      <alignment horizontal="center" vertical="center"/>
    </xf>
    <xf numFmtId="1" fontId="8" fillId="21" borderId="5" xfId="0" applyNumberFormat="1" applyFont="1" applyFill="1" applyBorder="1" applyAlignment="1">
      <alignment horizontal="center" vertical="center"/>
    </xf>
    <xf numFmtId="1" fontId="8" fillId="21" borderId="14" xfId="0" applyNumberFormat="1" applyFont="1" applyFill="1" applyBorder="1" applyAlignment="1">
      <alignment horizontal="center" vertical="center"/>
    </xf>
    <xf numFmtId="1" fontId="9" fillId="21" borderId="13" xfId="0" applyNumberFormat="1" applyFont="1" applyFill="1" applyBorder="1" applyAlignment="1" applyProtection="1">
      <alignment horizontal="left" vertical="center"/>
      <protection hidden="1"/>
    </xf>
    <xf numFmtId="1" fontId="9" fillId="21" borderId="10" xfId="0" applyNumberFormat="1" applyFont="1" applyFill="1" applyBorder="1" applyAlignment="1" applyProtection="1">
      <alignment horizontal="left" vertical="center"/>
      <protection hidden="1"/>
    </xf>
    <xf numFmtId="1" fontId="9" fillId="21" borderId="9" xfId="0" applyNumberFormat="1" applyFont="1" applyFill="1" applyBorder="1" applyAlignment="1" applyProtection="1">
      <alignment horizontal="left" vertical="center"/>
      <protection hidden="1"/>
    </xf>
    <xf numFmtId="0" fontId="8" fillId="21" borderId="7" xfId="0" quotePrefix="1" applyFont="1" applyFill="1" applyBorder="1" applyAlignment="1">
      <alignment horizontal="center" vertical="center" wrapText="1"/>
    </xf>
    <xf numFmtId="0" fontId="9" fillId="21" borderId="1" xfId="0" quotePrefix="1" applyFont="1" applyFill="1" applyBorder="1" applyAlignment="1">
      <alignment horizontal="center" vertical="center" wrapText="1"/>
    </xf>
    <xf numFmtId="0" fontId="8" fillId="21" borderId="2" xfId="0" quotePrefix="1" applyFont="1" applyFill="1" applyBorder="1" applyAlignment="1">
      <alignment horizontal="center" vertical="center" wrapText="1"/>
    </xf>
    <xf numFmtId="0" fontId="8" fillId="21" borderId="3" xfId="0" quotePrefix="1" applyFont="1" applyFill="1" applyBorder="1" applyAlignment="1">
      <alignment horizontal="center" vertical="center" wrapText="1"/>
    </xf>
    <xf numFmtId="0" fontId="8" fillId="21" borderId="4" xfId="0" quotePrefix="1" applyFont="1" applyFill="1" applyBorder="1" applyAlignment="1">
      <alignment horizontal="center" vertical="center" wrapText="1"/>
    </xf>
    <xf numFmtId="0" fontId="8" fillId="21" borderId="0" xfId="0" quotePrefix="1" applyFont="1" applyFill="1" applyAlignment="1">
      <alignment horizontal="center" vertical="center" wrapText="1"/>
    </xf>
    <xf numFmtId="0" fontId="8" fillId="21" borderId="6" xfId="0" quotePrefix="1" applyFont="1" applyFill="1" applyBorder="1" applyAlignment="1">
      <alignment horizontal="center" vertical="center" wrapText="1"/>
    </xf>
    <xf numFmtId="0" fontId="8" fillId="21" borderId="12" xfId="0" quotePrefix="1" applyFont="1" applyFill="1" applyBorder="1" applyAlignment="1">
      <alignment horizontal="center" vertical="center" wrapText="1"/>
    </xf>
    <xf numFmtId="0" fontId="8" fillId="21" borderId="8" xfId="0" quotePrefix="1" applyFont="1" applyFill="1" applyBorder="1" applyAlignment="1">
      <alignment horizontal="center" vertical="center" wrapText="1"/>
    </xf>
    <xf numFmtId="0" fontId="8" fillId="21" borderId="11" xfId="0" quotePrefix="1" applyFont="1" applyFill="1" applyBorder="1" applyAlignment="1">
      <alignment horizontal="center" vertical="center" wrapText="1"/>
    </xf>
    <xf numFmtId="0" fontId="8" fillId="18" borderId="4" xfId="0" applyFont="1" applyFill="1" applyBorder="1" applyAlignment="1">
      <alignment horizontal="center"/>
    </xf>
    <xf numFmtId="0" fontId="8" fillId="18" borderId="0" xfId="0" applyFont="1" applyFill="1" applyAlignment="1">
      <alignment horizontal="center"/>
    </xf>
    <xf numFmtId="1" fontId="9" fillId="21" borderId="7" xfId="0" applyNumberFormat="1" applyFont="1" applyFill="1" applyBorder="1" applyAlignment="1">
      <alignment horizontal="center" vertical="center" wrapText="1"/>
    </xf>
    <xf numFmtId="1" fontId="8" fillId="21" borderId="15" xfId="0" applyNumberFormat="1" applyFont="1" applyFill="1" applyBorder="1" applyAlignment="1">
      <alignment horizontal="center" vertical="center" wrapText="1"/>
    </xf>
    <xf numFmtId="1" fontId="8" fillId="21" borderId="5" xfId="0" applyNumberFormat="1" applyFont="1" applyFill="1" applyBorder="1" applyAlignment="1">
      <alignment horizontal="center" vertical="center" wrapText="1"/>
    </xf>
    <xf numFmtId="1" fontId="8" fillId="21" borderId="14" xfId="0" applyNumberFormat="1" applyFont="1" applyFill="1" applyBorder="1" applyAlignment="1">
      <alignment horizontal="center" vertical="center" wrapText="1"/>
    </xf>
    <xf numFmtId="0" fontId="8" fillId="21" borderId="15" xfId="0" quotePrefix="1" applyFont="1" applyFill="1" applyBorder="1" applyAlignment="1">
      <alignment horizontal="center" vertical="center" wrapText="1"/>
    </xf>
    <xf numFmtId="0" fontId="8" fillId="21" borderId="5" xfId="0" quotePrefix="1" applyFont="1" applyFill="1" applyBorder="1" applyAlignment="1">
      <alignment horizontal="center" vertical="center" wrapText="1"/>
    </xf>
    <xf numFmtId="0" fontId="8" fillId="21" borderId="14" xfId="0" quotePrefix="1" applyFont="1" applyFill="1" applyBorder="1" applyAlignment="1">
      <alignment horizontal="center" vertical="center" wrapText="1"/>
    </xf>
    <xf numFmtId="0" fontId="7" fillId="17" borderId="7" xfId="0" applyFont="1" applyFill="1" applyBorder="1" applyAlignment="1">
      <alignment horizontal="left" vertical="center" wrapText="1"/>
    </xf>
    <xf numFmtId="1" fontId="8" fillId="21" borderId="1" xfId="0" applyNumberFormat="1" applyFont="1" applyFill="1" applyBorder="1" applyAlignment="1">
      <alignment horizontal="center" vertical="center" wrapText="1"/>
    </xf>
    <xf numFmtId="1" fontId="8" fillId="21" borderId="2" xfId="0" applyNumberFormat="1" applyFont="1" applyFill="1" applyBorder="1" applyAlignment="1">
      <alignment horizontal="center" vertical="center" wrapText="1"/>
    </xf>
    <xf numFmtId="1" fontId="8" fillId="21" borderId="3" xfId="0" applyNumberFormat="1" applyFont="1" applyFill="1" applyBorder="1" applyAlignment="1">
      <alignment horizontal="center" vertical="center" wrapText="1"/>
    </xf>
    <xf numFmtId="1" fontId="8" fillId="21" borderId="4" xfId="0" applyNumberFormat="1" applyFont="1" applyFill="1" applyBorder="1" applyAlignment="1">
      <alignment horizontal="center" vertical="center" wrapText="1"/>
    </xf>
    <xf numFmtId="1" fontId="8" fillId="21" borderId="0" xfId="0" applyNumberFormat="1" applyFont="1" applyFill="1" applyAlignment="1">
      <alignment horizontal="center" vertical="center" wrapText="1"/>
    </xf>
    <xf numFmtId="1" fontId="8" fillId="21" borderId="6" xfId="0" applyNumberFormat="1" applyFont="1" applyFill="1" applyBorder="1" applyAlignment="1">
      <alignment horizontal="center" vertical="center" wrapText="1"/>
    </xf>
    <xf numFmtId="1" fontId="8" fillId="21" borderId="12" xfId="0" applyNumberFormat="1" applyFont="1" applyFill="1" applyBorder="1" applyAlignment="1">
      <alignment horizontal="center" vertical="center" wrapText="1"/>
    </xf>
    <xf numFmtId="1" fontId="8" fillId="21" borderId="8" xfId="0" applyNumberFormat="1" applyFont="1" applyFill="1" applyBorder="1" applyAlignment="1">
      <alignment horizontal="center" vertical="center" wrapText="1"/>
    </xf>
    <xf numFmtId="1" fontId="8" fillId="21" borderId="11" xfId="0" applyNumberFormat="1" applyFont="1" applyFill="1" applyBorder="1" applyAlignment="1">
      <alignment horizontal="center" vertical="center" wrapText="1"/>
    </xf>
    <xf numFmtId="0" fontId="9" fillId="21" borderId="2" xfId="0" quotePrefix="1" applyFont="1" applyFill="1" applyBorder="1" applyAlignment="1">
      <alignment horizontal="center" vertical="center" wrapText="1"/>
    </xf>
    <xf numFmtId="0" fontId="9" fillId="21" borderId="3" xfId="0" quotePrefix="1" applyFont="1" applyFill="1" applyBorder="1" applyAlignment="1">
      <alignment horizontal="center" vertical="center" wrapText="1"/>
    </xf>
    <xf numFmtId="0" fontId="9" fillId="21" borderId="4" xfId="0" quotePrefix="1" applyFont="1" applyFill="1" applyBorder="1" applyAlignment="1">
      <alignment horizontal="center" vertical="center" wrapText="1"/>
    </xf>
    <xf numFmtId="0" fontId="9" fillId="21" borderId="0" xfId="0" quotePrefix="1" applyFont="1" applyFill="1" applyAlignment="1">
      <alignment horizontal="center" vertical="center" wrapText="1"/>
    </xf>
    <xf numFmtId="0" fontId="9" fillId="21" borderId="6" xfId="0" quotePrefix="1" applyFont="1" applyFill="1" applyBorder="1" applyAlignment="1">
      <alignment horizontal="center" vertical="center" wrapText="1"/>
    </xf>
    <xf numFmtId="0" fontId="9" fillId="21" borderId="12" xfId="0" quotePrefix="1" applyFont="1" applyFill="1" applyBorder="1" applyAlignment="1">
      <alignment horizontal="center" vertical="center" wrapText="1"/>
    </xf>
    <xf numFmtId="0" fontId="9" fillId="21" borderId="8" xfId="0" quotePrefix="1" applyFont="1" applyFill="1" applyBorder="1" applyAlignment="1">
      <alignment horizontal="center" vertical="center" wrapText="1"/>
    </xf>
    <xf numFmtId="0" fontId="9" fillId="21" borderId="11" xfId="0" quotePrefix="1" applyFont="1" applyFill="1" applyBorder="1" applyAlignment="1">
      <alignment horizontal="center" vertical="center" wrapText="1"/>
    </xf>
    <xf numFmtId="9" fontId="9" fillId="21" borderId="7" xfId="20" applyFont="1" applyFill="1" applyBorder="1" applyAlignment="1" applyProtection="1">
      <alignment horizontal="center" vertical="center" wrapText="1"/>
    </xf>
    <xf numFmtId="0" fontId="7" fillId="17" borderId="7" xfId="0" applyFont="1" applyFill="1" applyBorder="1" applyAlignment="1">
      <alignment horizontal="left" vertical="center"/>
    </xf>
    <xf numFmtId="14" fontId="9" fillId="21" borderId="13" xfId="0" applyNumberFormat="1" applyFont="1" applyFill="1" applyBorder="1" applyAlignment="1">
      <alignment horizontal="left" vertical="center" wrapText="1"/>
    </xf>
    <xf numFmtId="14" fontId="9" fillId="21" borderId="10" xfId="0" applyNumberFormat="1" applyFont="1" applyFill="1" applyBorder="1" applyAlignment="1">
      <alignment horizontal="left" vertical="center" wrapText="1"/>
    </xf>
    <xf numFmtId="14" fontId="9" fillId="21" borderId="9" xfId="0" applyNumberFormat="1" applyFont="1" applyFill="1" applyBorder="1" applyAlignment="1">
      <alignment horizontal="left" vertical="center" wrapText="1"/>
    </xf>
    <xf numFmtId="14" fontId="9" fillId="18" borderId="7" xfId="0" applyNumberFormat="1" applyFont="1" applyFill="1" applyBorder="1" applyAlignment="1" applyProtection="1">
      <alignment horizontal="left" vertical="center" wrapText="1"/>
      <protection locked="0"/>
    </xf>
    <xf numFmtId="9" fontId="9" fillId="21" borderId="7" xfId="20" applyFont="1" applyFill="1" applyBorder="1" applyAlignment="1" applyProtection="1">
      <alignment horizontal="left" vertical="center" wrapText="1"/>
    </xf>
    <xf numFmtId="0" fontId="8" fillId="21" borderId="7" xfId="0" applyFont="1" applyFill="1" applyBorder="1" applyAlignment="1">
      <alignment horizontal="left" vertical="center" wrapText="1"/>
    </xf>
    <xf numFmtId="14" fontId="8" fillId="21" borderId="7" xfId="0" applyNumberFormat="1" applyFont="1" applyFill="1" applyBorder="1" applyAlignment="1">
      <alignment horizontal="left" vertical="center" wrapText="1"/>
    </xf>
    <xf numFmtId="1" fontId="8" fillId="21" borderId="7" xfId="20" applyNumberFormat="1" applyFont="1" applyFill="1" applyBorder="1" applyAlignment="1" applyProtection="1">
      <alignment horizontal="left" vertical="center" wrapText="1"/>
    </xf>
  </cellXfs>
  <cellStyles count="24">
    <cellStyle name="20% - Akzent1" xfId="1" xr:uid="{00000000-0005-0000-0000-000000000000}"/>
    <cellStyle name="20% - Akzent2" xfId="2" xr:uid="{00000000-0005-0000-0000-000001000000}"/>
    <cellStyle name="20% - Akzent3" xfId="3" xr:uid="{00000000-0005-0000-0000-000002000000}"/>
    <cellStyle name="20% - Akzent4" xfId="4" xr:uid="{00000000-0005-0000-0000-000003000000}"/>
    <cellStyle name="20% - Akzent5" xfId="5" xr:uid="{00000000-0005-0000-0000-000004000000}"/>
    <cellStyle name="20% - Akzent6" xfId="6" xr:uid="{00000000-0005-0000-0000-000005000000}"/>
    <cellStyle name="40% - Akzent1" xfId="7" xr:uid="{00000000-0005-0000-0000-000006000000}"/>
    <cellStyle name="40% - Akzent2" xfId="8" xr:uid="{00000000-0005-0000-0000-000007000000}"/>
    <cellStyle name="40% - Akzent3" xfId="9" xr:uid="{00000000-0005-0000-0000-000008000000}"/>
    <cellStyle name="40% - Akzent4" xfId="10" xr:uid="{00000000-0005-0000-0000-000009000000}"/>
    <cellStyle name="40% - Akzent5" xfId="11" xr:uid="{00000000-0005-0000-0000-00000A000000}"/>
    <cellStyle name="40% - Akzent6" xfId="12" xr:uid="{00000000-0005-0000-0000-00000B000000}"/>
    <cellStyle name="60% - Akzent1" xfId="13" xr:uid="{00000000-0005-0000-0000-00000C000000}"/>
    <cellStyle name="60% - Akzent2" xfId="14" xr:uid="{00000000-0005-0000-0000-00000D000000}"/>
    <cellStyle name="60% - Akzent3" xfId="15" xr:uid="{00000000-0005-0000-0000-00000E000000}"/>
    <cellStyle name="60% - Akzent4" xfId="16" xr:uid="{00000000-0005-0000-0000-00000F000000}"/>
    <cellStyle name="60% - Akzent5" xfId="17" xr:uid="{00000000-0005-0000-0000-000010000000}"/>
    <cellStyle name="60% - Akzent6" xfId="18" xr:uid="{00000000-0005-0000-0000-000011000000}"/>
    <cellStyle name="Euro" xfId="19" xr:uid="{00000000-0005-0000-0000-000012000000}"/>
    <cellStyle name="Prozent" xfId="20" builtinId="5"/>
    <cellStyle name="Prozent 2" xfId="21" xr:uid="{00000000-0005-0000-0000-000014000000}"/>
    <cellStyle name="Standard" xfId="0" builtinId="0"/>
    <cellStyle name="Standard 2" xfId="22" xr:uid="{00000000-0005-0000-0000-000016000000}"/>
    <cellStyle name="Währung 2" xfId="23" xr:uid="{00000000-0005-0000-0000-000017000000}"/>
  </cellStyles>
  <dxfs count="72">
    <dxf>
      <font>
        <color theme="6" tint="0.79998168889431442"/>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6" tint="0.79998168889431442"/>
      </font>
    </dxf>
    <dxf>
      <font>
        <color theme="6" tint="0.79998168889431442"/>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6" tint="0.79998168889431442"/>
      </font>
    </dxf>
    <dxf>
      <font>
        <color theme="6" tint="0.79998168889431442"/>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6" tint="0.79998168889431442"/>
      </font>
    </dxf>
    <dxf>
      <font>
        <color theme="6" tint="0.79998168889431442"/>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theme="6" tint="0.79998168889431442"/>
      </font>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ill>
        <patternFill>
          <bgColor theme="5" tint="0.59996337778862885"/>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integrationsfonds.local\Pers&#246;nliche%20Dateien\Dokumente%20und%20Einstellungen\haitze1\Lokale%20Einstellungen\Temporary%20Internet%20Files\OLKC4\Anlage_2__Projekteinreichung_zum_EFF_201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vie-hq-fs04\shared$\SEKTION%20VIII\VIII.3\3_NATIONAL\4_AUFRUF\Aufruf_2017\1_Aufruf\finale_Unterlagen\2_Antragsformular.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Navigation"/>
      <sheetName val="Hinweise"/>
      <sheetName val="Eingabe_1_bis_4"/>
      <sheetName val="Eingabe_5"/>
      <sheetName val="Eingabe_6"/>
      <sheetName val="Druck0"/>
      <sheetName val="Druck1"/>
      <sheetName val="Druck2"/>
      <sheetName val="sysHilfe"/>
      <sheetName val="sysAuswahl"/>
      <sheetName val="sysTextGen"/>
      <sheetName val="sysGUI"/>
      <sheetName val="Version"/>
      <sheetName val="HT"/>
      <sheetName val="Cockpit"/>
      <sheetName val="Datenquelle"/>
      <sheetName val="Tabelle1"/>
    </sheetNames>
    <sheetDataSet>
      <sheetData sheetId="0"/>
      <sheetData sheetId="1"/>
      <sheetData sheetId="2"/>
      <sheetData sheetId="3" refreshError="1">
        <row r="15">
          <cell r="F15" t="str">
            <v>EFF 2010</v>
          </cell>
        </row>
      </sheetData>
      <sheetData sheetId="4"/>
      <sheetData sheetId="5"/>
      <sheetData sheetId="6"/>
      <sheetData sheetId="7"/>
      <sheetData sheetId="8"/>
      <sheetData sheetId="9"/>
      <sheetData sheetId="10" refreshError="1">
        <row r="5">
          <cell r="A5" t="str">
            <v>JA</v>
          </cell>
          <cell r="C5" t="str">
            <v>JA</v>
          </cell>
          <cell r="D5">
            <v>1</v>
          </cell>
          <cell r="F5">
            <v>1</v>
          </cell>
          <cell r="G5" t="str">
            <v>JA</v>
          </cell>
        </row>
        <row r="6">
          <cell r="A6" t="str">
            <v>NEIN</v>
          </cell>
          <cell r="C6" t="str">
            <v>NEIN</v>
          </cell>
          <cell r="D6">
            <v>0</v>
          </cell>
          <cell r="F6">
            <v>0</v>
          </cell>
          <cell r="G6" t="str">
            <v>NEIN</v>
          </cell>
        </row>
        <row r="7">
          <cell r="C7">
            <v>0</v>
          </cell>
        </row>
        <row r="14">
          <cell r="A14" t="str">
            <v>Fortsetzungsprojekt</v>
          </cell>
        </row>
        <row r="15">
          <cell r="A15" t="str">
            <v>Erweiterung einer üblichen Aktivität</v>
          </cell>
        </row>
        <row r="16">
          <cell r="A16" t="str">
            <v>neue Aktivität/innovativer Charakter</v>
          </cell>
        </row>
        <row r="23">
          <cell r="A23" t="str">
            <v>Maßnahme zu 1.0: Psychologische und psychotherapeutische Betreuung</v>
          </cell>
          <cell r="C23" t="str">
            <v>Maßnahme zu 1.0: Psychologische und psychotherapeutische Betreuung</v>
          </cell>
          <cell r="D23" t="str">
            <v>M_EFF_1.1.1</v>
          </cell>
          <cell r="F23" t="str">
            <v>M_EFF_1.1.1</v>
          </cell>
          <cell r="G23" t="str">
            <v>Maßnahme zu 1.0: Psychologische und psychotherapeutische Betreuung</v>
          </cell>
        </row>
        <row r="24">
          <cell r="A24" t="str">
            <v>Maßnahme zu 1.0: Unterstützung zur Durchführung von Überstellungen nach der Dublinverordnung</v>
          </cell>
          <cell r="C24" t="str">
            <v>Maßnahme zu 1.0: Unterstützung zur Durchführung von Überstellungen nach der Dublinverordnung</v>
          </cell>
          <cell r="D24" t="str">
            <v>M_EFF_1.1.2</v>
          </cell>
          <cell r="F24" t="str">
            <v>M_EFF_1.1.2</v>
          </cell>
          <cell r="G24" t="str">
            <v>Maßnahme zu 1.0: Unterstützung zur Durchführung von Überstellungen nach der Dublinverordnung</v>
          </cell>
        </row>
        <row r="25">
          <cell r="A25" t="str">
            <v>Maßnahme zu 1.0: Information der ortsansässigen Bevölkerung</v>
          </cell>
          <cell r="C25" t="str">
            <v>Maßnahme zu 1.0: Information der ortsansässigen Bevölkerung</v>
          </cell>
          <cell r="D25" t="str">
            <v>M_EFF_1.1.3</v>
          </cell>
          <cell r="F25" t="str">
            <v>M_EFF_1.1.3</v>
          </cell>
          <cell r="G25" t="str">
            <v>Maßnahme zu 1.0: Information der ortsansässigen Bevölkerung</v>
          </cell>
        </row>
        <row r="26">
          <cell r="A26" t="str">
            <v>Maßnahme zu 1.0: Beratung im asylrechtlichen Verfahren</v>
          </cell>
          <cell r="C26" t="str">
            <v>Maßnahme zu 1.0: Beratung im asylrechtlichen Verfahren</v>
          </cell>
          <cell r="D26" t="str">
            <v>M_EFF_1.1.4</v>
          </cell>
          <cell r="F26" t="str">
            <v>M_EFF_1.1.4</v>
          </cell>
          <cell r="G26" t="str">
            <v>Maßnahme zu 1.0: Beratung im asylrechtlichen Verfahren</v>
          </cell>
        </row>
        <row r="27">
          <cell r="A27" t="str">
            <v>Maßnahme zu 1.0: Starthilfe zur Integration</v>
          </cell>
          <cell r="C27" t="str">
            <v>Maßnahme zu 1.0: Starthilfe zur Integration</v>
          </cell>
          <cell r="D27" t="str">
            <v>M_EFF_1.1.5</v>
          </cell>
          <cell r="F27" t="str">
            <v>M_EFF_1.1.5</v>
          </cell>
          <cell r="G27" t="str">
            <v>Maßnahme zu 1.0: Starthilfe zur Integration</v>
          </cell>
        </row>
        <row r="28">
          <cell r="A28" t="str">
            <v>Maßnahme zu 1.0: Ausbau der sprachlichen Kompetenz</v>
          </cell>
          <cell r="C28" t="str">
            <v>Maßnahme zu 1.0: Ausbau der sprachlichen Kompetenz</v>
          </cell>
          <cell r="D28" t="str">
            <v>M_EFF_1.1.6</v>
          </cell>
          <cell r="F28" t="str">
            <v>M_EFF_1.1.6</v>
          </cell>
          <cell r="G28" t="str">
            <v>Maßnahme zu 1.0: Ausbau der sprachlichen Kompetenz</v>
          </cell>
        </row>
        <row r="29">
          <cell r="A29" t="str">
            <v>Maßnahme zu 1.0: Arbeitsmarktintegration</v>
          </cell>
          <cell r="C29" t="str">
            <v>Maßnahme zu 1.0: Arbeitsmarktintegration</v>
          </cell>
          <cell r="D29" t="str">
            <v>M_EFF_1.1.7</v>
          </cell>
          <cell r="F29" t="str">
            <v>M_EFF_1.1.7</v>
          </cell>
          <cell r="G29" t="str">
            <v>Maßnahme zu 1.0: Arbeitsmarktintegration</v>
          </cell>
        </row>
        <row r="30">
          <cell r="A30" t="str">
            <v>Maßnahme zu 2.0: Qualitätssicherung und Strukturverbesserung der Asylverwaltung</v>
          </cell>
          <cell r="C30" t="str">
            <v>Maßnahme zu 2.0: Qualitätssicherung und Strukturverbesserung der Asylverwaltung</v>
          </cell>
          <cell r="D30" t="str">
            <v>M_EFF_2.1.1</v>
          </cell>
          <cell r="F30" t="str">
            <v>M_EFF_2.1.1</v>
          </cell>
          <cell r="G30" t="str">
            <v>Maßnahme zu 2.0: Qualitätssicherung und Strukturverbesserung der Asylverwaltung</v>
          </cell>
        </row>
        <row r="31">
          <cell r="A31" t="str">
            <v>Maßnahme zu 2.3: Länderdokumentation und Länderinformation zur Unterstützung im Asylverfahren</v>
          </cell>
          <cell r="C31" t="str">
            <v>Maßnahme zu 2.3: Länderdokumentation und Länderinformation zur Unterstützung im Asylverfahren</v>
          </cell>
          <cell r="D31" t="str">
            <v>M_EFF_2.4.1</v>
          </cell>
          <cell r="F31" t="str">
            <v>M_EFF_2.4.1</v>
          </cell>
          <cell r="G31" t="str">
            <v>Maßnahme zu 2.3: Länderdokumentation und Länderinformation zur Unterstützung im Asylverfahren</v>
          </cell>
        </row>
        <row r="32">
          <cell r="C32">
            <v>0</v>
          </cell>
        </row>
      </sheetData>
      <sheetData sheetId="11"/>
      <sheetData sheetId="12"/>
      <sheetData sheetId="13" refreshError="1">
        <row r="1">
          <cell r="B1" t="str">
            <v>Version EFF 1.04 (B 73), 03.03.2010</v>
          </cell>
        </row>
      </sheetData>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kblatt"/>
      <sheetName val="Angaben zum Förderungswerber"/>
      <sheetName val="Angaben zu Projektpartnern"/>
      <sheetName val="Angaben zum Projekt"/>
      <sheetName val="Stammdaten Indikatoren"/>
      <sheetName val="Indikatoren 1"/>
      <sheetName val="Indikatoren 2"/>
      <sheetName val="Indikatoren 3"/>
      <sheetName val="Indikatoren 4"/>
      <sheetName val="Indikatoren 5"/>
      <sheetName val="Indikatoren 6"/>
      <sheetName val="Indikatoren 7"/>
      <sheetName val="Indikatoren 8"/>
      <sheetName val="Indikatoren 9"/>
      <sheetName val="Indikatoren 10"/>
      <sheetName val="Indikatoren 11"/>
      <sheetName val="Indikatoren 12"/>
      <sheetName val="Indikatoren 13"/>
      <sheetName val="Indikatoren 14"/>
      <sheetName val="Indikatoren 15"/>
      <sheetName val="Indikatoren 16"/>
      <sheetName val="Indikatoren 17"/>
      <sheetName val="Indikatoren 18"/>
      <sheetName val="Indikatoren 19"/>
      <sheetName val="Indikatoren 20"/>
      <sheetName val="Indikatoren 21"/>
      <sheetName val="Indikatoren 22"/>
      <sheetName val="Indikatoren 23"/>
      <sheetName val="Indikatoren 24"/>
      <sheetName val="Indikatoren 25"/>
      <sheetName val="Indikatoren 26"/>
      <sheetName val="Indikatoren 27"/>
      <sheetName val="Indikatore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A1:BZ774"/>
  <sheetViews>
    <sheetView showGridLines="0" tabSelected="1" zoomScale="80" zoomScaleNormal="80" workbookViewId="0">
      <pane xSplit="3" topLeftCell="D1" activePane="topRight" state="frozen"/>
      <selection activeCell="A64" sqref="A64"/>
      <selection pane="topRight" activeCell="D4" sqref="D4:AD4"/>
    </sheetView>
  </sheetViews>
  <sheetFormatPr baseColWidth="10" defaultColWidth="11.42578125" defaultRowHeight="15" x14ac:dyDescent="0.25"/>
  <cols>
    <col min="1" max="2" width="3.7109375" style="4" customWidth="1"/>
    <col min="3" max="3" width="53.85546875" style="4" customWidth="1"/>
    <col min="4" max="5" width="17" style="12" customWidth="1"/>
    <col min="6" max="6" width="13.85546875" style="12" customWidth="1"/>
    <col min="7" max="7" width="16.7109375" style="143" customWidth="1"/>
    <col min="8" max="8" width="2.85546875" style="15" customWidth="1"/>
    <col min="9" max="17" width="8.42578125" style="15" customWidth="1"/>
    <col min="18" max="18" width="8.42578125" style="23" customWidth="1"/>
    <col min="19" max="19" width="8.42578125" style="90" customWidth="1"/>
    <col min="20" max="20" width="15.7109375" style="163" customWidth="1"/>
    <col min="21" max="21" width="7.7109375" style="15" bestFit="1" customWidth="1"/>
    <col min="22" max="22" width="1.5703125" style="23" customWidth="1"/>
    <col min="23" max="23" width="14.7109375" style="15" customWidth="1"/>
    <col min="24" max="24" width="6.5703125" style="15" customWidth="1"/>
    <col min="25" max="25" width="2.28515625" style="23" customWidth="1"/>
    <col min="26" max="26" width="13.5703125" style="15" customWidth="1"/>
    <col min="27" max="27" width="6.5703125" style="15" customWidth="1"/>
    <col min="28" max="28" width="1.42578125" style="23" customWidth="1"/>
    <col min="29" max="29" width="14.42578125" style="15" customWidth="1"/>
    <col min="30" max="30" width="6.5703125" style="15" customWidth="1"/>
    <col min="31" max="31" width="3.7109375" style="4" customWidth="1"/>
    <col min="32" max="32" width="1.5703125" style="46" customWidth="1"/>
    <col min="33" max="34" width="3.7109375" style="46" customWidth="1"/>
    <col min="35" max="55" width="11.42578125" style="46"/>
    <col min="56" max="16384" width="11.42578125" style="4"/>
  </cols>
  <sheetData>
    <row r="1" spans="2:55" x14ac:dyDescent="0.25">
      <c r="R1" s="15"/>
      <c r="S1" s="15"/>
      <c r="V1" s="15"/>
      <c r="Y1" s="15"/>
      <c r="AB1" s="15"/>
    </row>
    <row r="2" spans="2:55" x14ac:dyDescent="0.25">
      <c r="B2" s="1"/>
      <c r="C2" s="2"/>
      <c r="D2" s="10"/>
      <c r="E2" s="10"/>
      <c r="F2" s="10"/>
      <c r="G2" s="144"/>
      <c r="H2" s="13"/>
      <c r="I2" s="13"/>
      <c r="J2" s="13"/>
      <c r="K2" s="13"/>
      <c r="L2" s="13"/>
      <c r="M2" s="13"/>
      <c r="N2" s="13"/>
      <c r="O2" s="13"/>
      <c r="P2" s="13"/>
      <c r="Q2" s="13"/>
      <c r="R2" s="13"/>
      <c r="S2" s="98"/>
      <c r="T2" s="164"/>
      <c r="U2" s="13"/>
      <c r="V2" s="13"/>
      <c r="W2" s="13"/>
      <c r="X2" s="13"/>
      <c r="Y2" s="13"/>
      <c r="Z2" s="13"/>
      <c r="AA2" s="13"/>
      <c r="AB2" s="13"/>
      <c r="AC2" s="13"/>
      <c r="AD2" s="13"/>
      <c r="AE2" s="3"/>
    </row>
    <row r="3" spans="2:55" ht="36" customHeight="1" x14ac:dyDescent="0.25">
      <c r="B3" s="5"/>
      <c r="C3" s="206" t="s">
        <v>128</v>
      </c>
      <c r="D3" s="207"/>
      <c r="E3" s="207"/>
      <c r="F3" s="207"/>
      <c r="G3" s="207"/>
      <c r="H3" s="207"/>
      <c r="I3" s="207"/>
      <c r="J3" s="207"/>
      <c r="K3" s="207"/>
      <c r="L3" s="207"/>
      <c r="M3" s="207"/>
      <c r="N3" s="207"/>
      <c r="O3" s="207"/>
      <c r="P3" s="207"/>
      <c r="Q3" s="207"/>
      <c r="R3" s="207"/>
      <c r="S3" s="207"/>
      <c r="T3" s="207"/>
      <c r="U3" s="207"/>
      <c r="V3" s="207"/>
      <c r="W3" s="207"/>
      <c r="X3" s="207"/>
      <c r="Y3" s="207"/>
      <c r="Z3" s="207"/>
      <c r="AA3" s="207"/>
      <c r="AB3" s="207"/>
      <c r="AC3" s="207"/>
      <c r="AD3" s="208"/>
      <c r="AE3" s="6" t="s">
        <v>24</v>
      </c>
      <c r="AF3" s="46" t="s">
        <v>24</v>
      </c>
      <c r="AG3" s="46" t="s">
        <v>24</v>
      </c>
    </row>
    <row r="4" spans="2:55" ht="15" customHeight="1" x14ac:dyDescent="0.25">
      <c r="B4" s="5"/>
      <c r="C4" s="50" t="s">
        <v>27</v>
      </c>
      <c r="D4" s="212" t="s">
        <v>172</v>
      </c>
      <c r="E4" s="212"/>
      <c r="F4" s="212"/>
      <c r="G4" s="212"/>
      <c r="H4" s="212"/>
      <c r="I4" s="212"/>
      <c r="J4" s="212"/>
      <c r="K4" s="212"/>
      <c r="L4" s="212"/>
      <c r="M4" s="212"/>
      <c r="N4" s="212"/>
      <c r="O4" s="212"/>
      <c r="P4" s="212"/>
      <c r="Q4" s="212"/>
      <c r="R4" s="212"/>
      <c r="S4" s="212"/>
      <c r="T4" s="212"/>
      <c r="U4" s="212"/>
      <c r="V4" s="212"/>
      <c r="W4" s="212"/>
      <c r="X4" s="212"/>
      <c r="Y4" s="212"/>
      <c r="Z4" s="212"/>
      <c r="AA4" s="212"/>
      <c r="AB4" s="212"/>
      <c r="AC4" s="212"/>
      <c r="AD4" s="212"/>
      <c r="AE4" s="33" t="s">
        <v>7</v>
      </c>
      <c r="AF4" s="46" t="s">
        <v>1</v>
      </c>
      <c r="AG4" s="46" t="s">
        <v>14</v>
      </c>
    </row>
    <row r="5" spans="2:55" ht="15" customHeight="1" x14ac:dyDescent="0.25">
      <c r="B5" s="5"/>
      <c r="C5" s="69" t="s">
        <v>9</v>
      </c>
      <c r="D5" s="222" t="s">
        <v>171</v>
      </c>
      <c r="E5" s="223"/>
      <c r="F5" s="223"/>
      <c r="G5" s="223"/>
      <c r="H5" s="223"/>
      <c r="I5" s="223"/>
      <c r="J5" s="223"/>
      <c r="K5" s="223"/>
      <c r="L5" s="223"/>
      <c r="M5" s="223"/>
      <c r="N5" s="223"/>
      <c r="O5" s="223"/>
      <c r="P5" s="223"/>
      <c r="Q5" s="223"/>
      <c r="R5" s="223"/>
      <c r="S5" s="223"/>
      <c r="T5" s="223"/>
      <c r="U5" s="223"/>
      <c r="V5" s="223"/>
      <c r="W5" s="223"/>
      <c r="X5" s="223"/>
      <c r="Y5" s="223"/>
      <c r="Z5" s="223"/>
      <c r="AA5" s="223"/>
      <c r="AB5" s="223"/>
      <c r="AC5" s="223"/>
      <c r="AD5" s="224"/>
      <c r="AE5" s="33" t="s">
        <v>6</v>
      </c>
      <c r="AF5" s="46" t="s">
        <v>2</v>
      </c>
      <c r="AG5" s="46" t="s">
        <v>20</v>
      </c>
    </row>
    <row r="6" spans="2:55" ht="15" customHeight="1" x14ac:dyDescent="0.25">
      <c r="B6" s="5"/>
      <c r="C6" s="69" t="s">
        <v>10</v>
      </c>
      <c r="D6" s="222" t="s">
        <v>155</v>
      </c>
      <c r="E6" s="223"/>
      <c r="F6" s="223"/>
      <c r="G6" s="223"/>
      <c r="H6" s="223"/>
      <c r="I6" s="223"/>
      <c r="J6" s="223"/>
      <c r="K6" s="223"/>
      <c r="L6" s="223"/>
      <c r="M6" s="223"/>
      <c r="N6" s="223"/>
      <c r="O6" s="223"/>
      <c r="P6" s="223"/>
      <c r="Q6" s="223"/>
      <c r="R6" s="223"/>
      <c r="S6" s="223"/>
      <c r="T6" s="223"/>
      <c r="U6" s="223"/>
      <c r="V6" s="223"/>
      <c r="W6" s="223"/>
      <c r="X6" s="223"/>
      <c r="Y6" s="223"/>
      <c r="Z6" s="223"/>
      <c r="AA6" s="223"/>
      <c r="AB6" s="223"/>
      <c r="AC6" s="223"/>
      <c r="AD6" s="224"/>
      <c r="AE6" s="33" t="s">
        <v>5</v>
      </c>
      <c r="AF6" s="46" t="s">
        <v>26</v>
      </c>
      <c r="AG6" s="46" t="s">
        <v>21</v>
      </c>
    </row>
    <row r="7" spans="2:55" ht="15" customHeight="1" x14ac:dyDescent="0.25">
      <c r="B7" s="5"/>
      <c r="C7" s="69" t="s">
        <v>144</v>
      </c>
      <c r="D7" s="225" t="s">
        <v>17</v>
      </c>
      <c r="E7" s="226"/>
      <c r="F7" s="226"/>
      <c r="G7" s="226"/>
      <c r="H7" s="226"/>
      <c r="I7" s="226"/>
      <c r="J7" s="226"/>
      <c r="K7" s="226"/>
      <c r="L7" s="226"/>
      <c r="M7" s="226"/>
      <c r="N7" s="226"/>
      <c r="O7" s="226"/>
      <c r="P7" s="226"/>
      <c r="Q7" s="226"/>
      <c r="R7" s="226"/>
      <c r="S7" s="226"/>
      <c r="T7" s="226"/>
      <c r="U7" s="226"/>
      <c r="V7" s="226"/>
      <c r="W7" s="226"/>
      <c r="X7" s="226"/>
      <c r="Y7" s="226"/>
      <c r="Z7" s="226"/>
      <c r="AA7" s="226"/>
      <c r="AB7" s="226"/>
      <c r="AC7" s="226"/>
      <c r="AD7" s="227"/>
      <c r="AE7" s="33" t="s">
        <v>4</v>
      </c>
      <c r="AF7" s="46" t="s">
        <v>4</v>
      </c>
      <c r="AG7" s="46" t="s">
        <v>18</v>
      </c>
    </row>
    <row r="8" spans="2:55" ht="15" customHeight="1" x14ac:dyDescent="0.25">
      <c r="B8" s="5"/>
      <c r="C8" s="69" t="s">
        <v>145</v>
      </c>
      <c r="D8" s="225" t="s">
        <v>17</v>
      </c>
      <c r="E8" s="226"/>
      <c r="F8" s="226"/>
      <c r="G8" s="226"/>
      <c r="H8" s="226"/>
      <c r="I8" s="226"/>
      <c r="J8" s="226"/>
      <c r="K8" s="226"/>
      <c r="L8" s="226"/>
      <c r="M8" s="226"/>
      <c r="N8" s="226"/>
      <c r="O8" s="226"/>
      <c r="P8" s="226"/>
      <c r="Q8" s="226"/>
      <c r="R8" s="226"/>
      <c r="S8" s="226"/>
      <c r="T8" s="226"/>
      <c r="U8" s="226"/>
      <c r="V8" s="226"/>
      <c r="W8" s="226"/>
      <c r="X8" s="226"/>
      <c r="Y8" s="226"/>
      <c r="Z8" s="226"/>
      <c r="AA8" s="226"/>
      <c r="AB8" s="226"/>
      <c r="AC8" s="226"/>
      <c r="AD8" s="227"/>
      <c r="AE8" s="33" t="s">
        <v>3</v>
      </c>
      <c r="AF8" s="46" t="s">
        <v>23</v>
      </c>
      <c r="AG8" s="46" t="s">
        <v>17</v>
      </c>
    </row>
    <row r="9" spans="2:55" s="21" customFormat="1" ht="15" customHeight="1" x14ac:dyDescent="0.25">
      <c r="B9" s="19"/>
      <c r="C9" s="69" t="s">
        <v>12</v>
      </c>
      <c r="D9" s="219">
        <v>45292</v>
      </c>
      <c r="E9" s="220"/>
      <c r="F9" s="220"/>
      <c r="G9" s="220"/>
      <c r="H9" s="220"/>
      <c r="I9" s="220"/>
      <c r="J9" s="220"/>
      <c r="K9" s="220"/>
      <c r="L9" s="220"/>
      <c r="M9" s="220"/>
      <c r="N9" s="220"/>
      <c r="O9" s="220"/>
      <c r="P9" s="220"/>
      <c r="Q9" s="220"/>
      <c r="R9" s="220"/>
      <c r="S9" s="220"/>
      <c r="T9" s="220"/>
      <c r="U9" s="220"/>
      <c r="V9" s="220"/>
      <c r="W9" s="220"/>
      <c r="X9" s="220"/>
      <c r="Y9" s="220"/>
      <c r="Z9" s="220"/>
      <c r="AA9" s="220"/>
      <c r="AB9" s="220"/>
      <c r="AC9" s="220"/>
      <c r="AD9" s="221"/>
      <c r="AE9" s="20"/>
      <c r="AF9" s="46" t="s">
        <v>23</v>
      </c>
      <c r="AG9" s="46" t="s">
        <v>16</v>
      </c>
      <c r="AH9" s="46"/>
      <c r="AI9" s="46"/>
      <c r="AJ9" s="46"/>
      <c r="AK9" s="46"/>
      <c r="AL9" s="46"/>
      <c r="AM9" s="46"/>
      <c r="AN9" s="46"/>
      <c r="AO9" s="46"/>
      <c r="AP9" s="46"/>
      <c r="AQ9" s="46"/>
      <c r="AR9" s="46"/>
      <c r="AS9" s="46"/>
      <c r="AT9" s="46"/>
      <c r="AU9" s="46"/>
      <c r="AV9" s="46"/>
      <c r="AW9" s="46"/>
      <c r="AX9" s="46"/>
      <c r="AY9" s="46"/>
      <c r="AZ9" s="46"/>
      <c r="BA9" s="46"/>
      <c r="BB9" s="46"/>
      <c r="BC9" s="46"/>
    </row>
    <row r="10" spans="2:55" ht="15" customHeight="1" x14ac:dyDescent="0.25">
      <c r="B10" s="5"/>
      <c r="C10" s="54" t="s">
        <v>13</v>
      </c>
      <c r="D10" s="219">
        <v>46022</v>
      </c>
      <c r="E10" s="220"/>
      <c r="F10" s="220"/>
      <c r="G10" s="220"/>
      <c r="H10" s="220"/>
      <c r="I10" s="220"/>
      <c r="J10" s="220"/>
      <c r="K10" s="220"/>
      <c r="L10" s="220"/>
      <c r="M10" s="220"/>
      <c r="N10" s="220"/>
      <c r="O10" s="220"/>
      <c r="P10" s="220"/>
      <c r="Q10" s="220"/>
      <c r="R10" s="220"/>
      <c r="S10" s="220"/>
      <c r="T10" s="220"/>
      <c r="U10" s="220"/>
      <c r="V10" s="220"/>
      <c r="W10" s="220"/>
      <c r="X10" s="220"/>
      <c r="Y10" s="220"/>
      <c r="Z10" s="220"/>
      <c r="AA10" s="220"/>
      <c r="AB10" s="220"/>
      <c r="AC10" s="220"/>
      <c r="AD10" s="221"/>
      <c r="AE10" s="35"/>
      <c r="AF10" s="55"/>
      <c r="AG10" s="46" t="s">
        <v>15</v>
      </c>
    </row>
    <row r="11" spans="2:55" ht="15" customHeight="1" x14ac:dyDescent="0.25">
      <c r="B11" s="5"/>
      <c r="C11" s="50" t="s">
        <v>60</v>
      </c>
      <c r="D11" s="240">
        <f>IF(IF(OR(D9="",D10=""),"",(D10-D9)/30.4)="","befüllt sich automatisch",IF(OR(D9="",D10=""),"",(D10-D9)/30.4))</f>
        <v>24.013157894736842</v>
      </c>
      <c r="E11" s="241"/>
      <c r="F11" s="241"/>
      <c r="G11" s="241"/>
      <c r="H11" s="241"/>
      <c r="I11" s="241"/>
      <c r="J11" s="241"/>
      <c r="K11" s="241"/>
      <c r="L11" s="241"/>
      <c r="M11" s="241"/>
      <c r="N11" s="241"/>
      <c r="O11" s="241"/>
      <c r="P11" s="241"/>
      <c r="Q11" s="241"/>
      <c r="R11" s="241"/>
      <c r="S11" s="241"/>
      <c r="T11" s="241"/>
      <c r="U11" s="241"/>
      <c r="V11" s="241"/>
      <c r="W11" s="241"/>
      <c r="X11" s="241"/>
      <c r="Y11" s="241"/>
      <c r="Z11" s="241"/>
      <c r="AA11" s="241"/>
      <c r="AB11" s="241"/>
      <c r="AC11" s="241"/>
      <c r="AD11" s="242"/>
      <c r="AE11" s="35"/>
      <c r="AF11" s="55"/>
    </row>
    <row r="12" spans="2:55" x14ac:dyDescent="0.25">
      <c r="B12" s="5"/>
      <c r="C12" s="71"/>
      <c r="D12" s="145"/>
      <c r="E12" s="145"/>
      <c r="F12" s="145"/>
      <c r="G12" s="145"/>
      <c r="H12" s="72"/>
      <c r="I12" s="72"/>
      <c r="J12" s="72"/>
      <c r="K12" s="72"/>
      <c r="L12" s="72"/>
      <c r="M12" s="72"/>
      <c r="N12" s="72"/>
      <c r="O12" s="72"/>
      <c r="P12" s="72"/>
      <c r="Q12" s="72"/>
      <c r="R12" s="72"/>
      <c r="S12" s="128"/>
      <c r="T12" s="165"/>
      <c r="U12" s="72"/>
      <c r="V12" s="73"/>
      <c r="W12" s="74"/>
      <c r="X12" s="74"/>
      <c r="Y12" s="74"/>
      <c r="Z12" s="74"/>
      <c r="AA12" s="74"/>
      <c r="AB12" s="74"/>
      <c r="AC12" s="74"/>
      <c r="AD12" s="74"/>
      <c r="AE12" s="35"/>
      <c r="AF12" s="55"/>
    </row>
    <row r="13" spans="2:55" x14ac:dyDescent="0.25">
      <c r="B13" s="5"/>
      <c r="C13" s="209" t="s">
        <v>104</v>
      </c>
      <c r="D13" s="150" t="s">
        <v>14</v>
      </c>
      <c r="E13" s="66"/>
      <c r="F13" s="228" t="s">
        <v>150</v>
      </c>
      <c r="G13" s="229"/>
      <c r="H13" s="229"/>
      <c r="I13" s="229"/>
      <c r="J13" s="229"/>
      <c r="K13" s="229"/>
      <c r="L13" s="229"/>
      <c r="M13" s="229"/>
      <c r="N13" s="229"/>
      <c r="O13" s="229"/>
      <c r="P13" s="229"/>
      <c r="Q13" s="229"/>
      <c r="R13" s="229"/>
      <c r="S13" s="229"/>
      <c r="T13" s="229"/>
      <c r="U13" s="229"/>
      <c r="V13" s="229"/>
      <c r="W13" s="229"/>
      <c r="X13" s="229"/>
      <c r="Y13" s="229"/>
      <c r="Z13" s="229"/>
      <c r="AA13" s="229"/>
      <c r="AB13" s="229"/>
      <c r="AC13" s="229"/>
      <c r="AD13" s="230"/>
      <c r="AE13" s="35"/>
      <c r="AF13" s="55"/>
    </row>
    <row r="14" spans="2:55" x14ac:dyDescent="0.25">
      <c r="B14" s="5"/>
      <c r="C14" s="210"/>
      <c r="D14" s="150" t="s">
        <v>20</v>
      </c>
      <c r="E14" s="78"/>
      <c r="F14" s="231"/>
      <c r="G14" s="232"/>
      <c r="H14" s="232"/>
      <c r="I14" s="232"/>
      <c r="J14" s="232"/>
      <c r="K14" s="232"/>
      <c r="L14" s="232"/>
      <c r="M14" s="232"/>
      <c r="N14" s="232"/>
      <c r="O14" s="232"/>
      <c r="P14" s="232"/>
      <c r="Q14" s="232"/>
      <c r="R14" s="232"/>
      <c r="S14" s="232"/>
      <c r="T14" s="232"/>
      <c r="U14" s="232"/>
      <c r="V14" s="232"/>
      <c r="W14" s="232"/>
      <c r="X14" s="232"/>
      <c r="Y14" s="232"/>
      <c r="Z14" s="232"/>
      <c r="AA14" s="232"/>
      <c r="AB14" s="232"/>
      <c r="AC14" s="232"/>
      <c r="AD14" s="233"/>
      <c r="AE14" s="35"/>
      <c r="AF14" s="55"/>
    </row>
    <row r="15" spans="2:55" x14ac:dyDescent="0.25">
      <c r="B15" s="5"/>
      <c r="C15" s="210"/>
      <c r="D15" s="150" t="s">
        <v>21</v>
      </c>
      <c r="E15" s="78"/>
      <c r="F15" s="231"/>
      <c r="G15" s="232"/>
      <c r="H15" s="232"/>
      <c r="I15" s="232"/>
      <c r="J15" s="232"/>
      <c r="K15" s="232"/>
      <c r="L15" s="232"/>
      <c r="M15" s="232"/>
      <c r="N15" s="232"/>
      <c r="O15" s="232"/>
      <c r="P15" s="232"/>
      <c r="Q15" s="232"/>
      <c r="R15" s="232"/>
      <c r="S15" s="232"/>
      <c r="T15" s="232"/>
      <c r="U15" s="232"/>
      <c r="V15" s="232"/>
      <c r="W15" s="232"/>
      <c r="X15" s="232"/>
      <c r="Y15" s="232"/>
      <c r="Z15" s="232"/>
      <c r="AA15" s="232"/>
      <c r="AB15" s="232"/>
      <c r="AC15" s="232"/>
      <c r="AD15" s="233"/>
      <c r="AE15" s="35"/>
      <c r="AF15" s="55"/>
    </row>
    <row r="16" spans="2:55" x14ac:dyDescent="0.25">
      <c r="B16" s="5"/>
      <c r="C16" s="210"/>
      <c r="D16" s="150" t="s">
        <v>22</v>
      </c>
      <c r="E16" s="78"/>
      <c r="F16" s="231"/>
      <c r="G16" s="232"/>
      <c r="H16" s="232"/>
      <c r="I16" s="232"/>
      <c r="J16" s="232"/>
      <c r="K16" s="232"/>
      <c r="L16" s="232"/>
      <c r="M16" s="232"/>
      <c r="N16" s="232"/>
      <c r="O16" s="232"/>
      <c r="P16" s="232"/>
      <c r="Q16" s="232"/>
      <c r="R16" s="232"/>
      <c r="S16" s="232"/>
      <c r="T16" s="232"/>
      <c r="U16" s="232"/>
      <c r="V16" s="232"/>
      <c r="W16" s="232"/>
      <c r="X16" s="232"/>
      <c r="Y16" s="232"/>
      <c r="Z16" s="232"/>
      <c r="AA16" s="232"/>
      <c r="AB16" s="232"/>
      <c r="AC16" s="232"/>
      <c r="AD16" s="233"/>
      <c r="AE16" s="35"/>
      <c r="AF16" s="55"/>
    </row>
    <row r="17" spans="1:78" x14ac:dyDescent="0.25">
      <c r="B17" s="5"/>
      <c r="C17" s="210"/>
      <c r="D17" s="150" t="s">
        <v>19</v>
      </c>
      <c r="E17" s="78"/>
      <c r="F17" s="231"/>
      <c r="G17" s="232"/>
      <c r="H17" s="232"/>
      <c r="I17" s="232"/>
      <c r="J17" s="232"/>
      <c r="K17" s="232"/>
      <c r="L17" s="232"/>
      <c r="M17" s="232"/>
      <c r="N17" s="232"/>
      <c r="O17" s="232"/>
      <c r="P17" s="232"/>
      <c r="Q17" s="232"/>
      <c r="R17" s="232"/>
      <c r="S17" s="232"/>
      <c r="T17" s="232"/>
      <c r="U17" s="232"/>
      <c r="V17" s="232"/>
      <c r="W17" s="232"/>
      <c r="X17" s="232"/>
      <c r="Y17" s="232"/>
      <c r="Z17" s="232"/>
      <c r="AA17" s="232"/>
      <c r="AB17" s="232"/>
      <c r="AC17" s="232"/>
      <c r="AD17" s="233"/>
      <c r="AE17" s="35"/>
      <c r="AF17" s="55"/>
    </row>
    <row r="18" spans="1:78" x14ac:dyDescent="0.25">
      <c r="B18" s="5"/>
      <c r="C18" s="210"/>
      <c r="D18" s="150" t="s">
        <v>18</v>
      </c>
      <c r="E18" s="78"/>
      <c r="F18" s="231"/>
      <c r="G18" s="232"/>
      <c r="H18" s="232"/>
      <c r="I18" s="232"/>
      <c r="J18" s="232"/>
      <c r="K18" s="232"/>
      <c r="L18" s="232"/>
      <c r="M18" s="232"/>
      <c r="N18" s="232"/>
      <c r="O18" s="232"/>
      <c r="P18" s="232"/>
      <c r="Q18" s="232"/>
      <c r="R18" s="232"/>
      <c r="S18" s="232"/>
      <c r="T18" s="232"/>
      <c r="U18" s="232"/>
      <c r="V18" s="232"/>
      <c r="W18" s="232"/>
      <c r="X18" s="232"/>
      <c r="Y18" s="232"/>
      <c r="Z18" s="232"/>
      <c r="AA18" s="232"/>
      <c r="AB18" s="232"/>
      <c r="AC18" s="232"/>
      <c r="AD18" s="233"/>
      <c r="AE18" s="35"/>
      <c r="AF18" s="55"/>
    </row>
    <row r="19" spans="1:78" x14ac:dyDescent="0.25">
      <c r="B19" s="5"/>
      <c r="C19" s="210"/>
      <c r="D19" s="150" t="s">
        <v>17</v>
      </c>
      <c r="E19" s="78">
        <v>100</v>
      </c>
      <c r="F19" s="231"/>
      <c r="G19" s="232"/>
      <c r="H19" s="232"/>
      <c r="I19" s="232"/>
      <c r="J19" s="232"/>
      <c r="K19" s="232"/>
      <c r="L19" s="232"/>
      <c r="M19" s="232"/>
      <c r="N19" s="232"/>
      <c r="O19" s="232"/>
      <c r="P19" s="232"/>
      <c r="Q19" s="232"/>
      <c r="R19" s="232"/>
      <c r="S19" s="232"/>
      <c r="T19" s="232"/>
      <c r="U19" s="232"/>
      <c r="V19" s="232"/>
      <c r="W19" s="232"/>
      <c r="X19" s="232"/>
      <c r="Y19" s="232"/>
      <c r="Z19" s="232"/>
      <c r="AA19" s="232"/>
      <c r="AB19" s="232"/>
      <c r="AC19" s="232"/>
      <c r="AD19" s="233"/>
      <c r="AE19" s="35"/>
      <c r="AF19" s="55"/>
    </row>
    <row r="20" spans="1:78" x14ac:dyDescent="0.25">
      <c r="B20" s="5"/>
      <c r="C20" s="210"/>
      <c r="D20" s="150" t="s">
        <v>16</v>
      </c>
      <c r="E20" s="78"/>
      <c r="F20" s="231"/>
      <c r="G20" s="232"/>
      <c r="H20" s="232"/>
      <c r="I20" s="232"/>
      <c r="J20" s="232"/>
      <c r="K20" s="232"/>
      <c r="L20" s="232"/>
      <c r="M20" s="232"/>
      <c r="N20" s="232"/>
      <c r="O20" s="232"/>
      <c r="P20" s="232"/>
      <c r="Q20" s="232"/>
      <c r="R20" s="232"/>
      <c r="S20" s="232"/>
      <c r="T20" s="232"/>
      <c r="U20" s="232"/>
      <c r="V20" s="232"/>
      <c r="W20" s="232"/>
      <c r="X20" s="232"/>
      <c r="Y20" s="232"/>
      <c r="Z20" s="232"/>
      <c r="AA20" s="232"/>
      <c r="AB20" s="232"/>
      <c r="AC20" s="232"/>
      <c r="AD20" s="233"/>
      <c r="AE20" s="35"/>
      <c r="AF20" s="55"/>
    </row>
    <row r="21" spans="1:78" x14ac:dyDescent="0.25">
      <c r="B21" s="5"/>
      <c r="C21" s="210"/>
      <c r="D21" s="150" t="s">
        <v>15</v>
      </c>
      <c r="E21" s="78"/>
      <c r="F21" s="231"/>
      <c r="G21" s="232"/>
      <c r="H21" s="232"/>
      <c r="I21" s="232"/>
      <c r="J21" s="232"/>
      <c r="K21" s="232"/>
      <c r="L21" s="232"/>
      <c r="M21" s="232"/>
      <c r="N21" s="232"/>
      <c r="O21" s="232"/>
      <c r="P21" s="232"/>
      <c r="Q21" s="232"/>
      <c r="R21" s="232"/>
      <c r="S21" s="232"/>
      <c r="T21" s="232"/>
      <c r="U21" s="232"/>
      <c r="V21" s="232"/>
      <c r="W21" s="232"/>
      <c r="X21" s="232"/>
      <c r="Y21" s="232"/>
      <c r="Z21" s="232"/>
      <c r="AA21" s="232"/>
      <c r="AB21" s="232"/>
      <c r="AC21" s="232"/>
      <c r="AD21" s="233"/>
      <c r="AE21" s="35"/>
      <c r="AF21" s="55"/>
    </row>
    <row r="22" spans="1:78" x14ac:dyDescent="0.25">
      <c r="B22" s="5"/>
      <c r="C22" s="211"/>
      <c r="D22" s="150" t="s">
        <v>103</v>
      </c>
      <c r="E22" s="170">
        <f>SUM(E13:E21)</f>
        <v>100</v>
      </c>
      <c r="F22" s="234"/>
      <c r="G22" s="235"/>
      <c r="H22" s="235"/>
      <c r="I22" s="235"/>
      <c r="J22" s="235"/>
      <c r="K22" s="235"/>
      <c r="L22" s="235"/>
      <c r="M22" s="235"/>
      <c r="N22" s="235"/>
      <c r="O22" s="235"/>
      <c r="P22" s="235"/>
      <c r="Q22" s="235"/>
      <c r="R22" s="235"/>
      <c r="S22" s="235"/>
      <c r="T22" s="235"/>
      <c r="U22" s="235"/>
      <c r="V22" s="235"/>
      <c r="W22" s="235"/>
      <c r="X22" s="235"/>
      <c r="Y22" s="235"/>
      <c r="Z22" s="235"/>
      <c r="AA22" s="235"/>
      <c r="AB22" s="235"/>
      <c r="AC22" s="235"/>
      <c r="AD22" s="236"/>
      <c r="AE22" s="35"/>
      <c r="AF22" s="55"/>
    </row>
    <row r="23" spans="1:78" s="30" customFormat="1" x14ac:dyDescent="0.25">
      <c r="A23" s="4"/>
      <c r="B23" s="81"/>
      <c r="C23" s="130"/>
      <c r="D23" s="151"/>
      <c r="E23" s="151"/>
      <c r="F23" s="146"/>
      <c r="G23" s="131"/>
      <c r="H23" s="129"/>
      <c r="I23" s="129"/>
      <c r="J23" s="129"/>
      <c r="K23" s="129"/>
      <c r="L23" s="129"/>
      <c r="M23" s="129"/>
      <c r="N23" s="129"/>
      <c r="O23" s="129"/>
      <c r="P23" s="129"/>
      <c r="Q23" s="129"/>
      <c r="R23" s="129"/>
      <c r="S23" s="129"/>
      <c r="T23" s="129"/>
      <c r="U23" s="129"/>
      <c r="V23" s="129"/>
      <c r="W23" s="129"/>
      <c r="X23" s="129"/>
      <c r="Y23" s="129"/>
      <c r="Z23" s="129"/>
      <c r="AA23" s="129"/>
      <c r="AB23" s="129"/>
      <c r="AC23" s="129"/>
      <c r="AD23" s="129"/>
      <c r="AF23" s="55"/>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c r="BU23" s="46"/>
      <c r="BV23" s="46"/>
      <c r="BW23" s="46"/>
      <c r="BX23" s="46"/>
      <c r="BY23" s="46"/>
      <c r="BZ23" s="46"/>
    </row>
    <row r="24" spans="1:78" s="21" customFormat="1" ht="26.25" customHeight="1" x14ac:dyDescent="0.25">
      <c r="A24" s="4"/>
      <c r="B24" s="36"/>
      <c r="C24" s="180" t="s">
        <v>34</v>
      </c>
      <c r="D24" s="180" t="s">
        <v>108</v>
      </c>
      <c r="E24" s="180" t="s">
        <v>126</v>
      </c>
      <c r="F24" s="180" t="s">
        <v>146</v>
      </c>
      <c r="G24" s="180"/>
      <c r="H24" s="37"/>
      <c r="I24" s="183" t="s">
        <v>119</v>
      </c>
      <c r="J24" s="184"/>
      <c r="K24" s="184"/>
      <c r="L24" s="184"/>
      <c r="M24" s="184"/>
      <c r="N24" s="184"/>
      <c r="O24" s="184"/>
      <c r="P24" s="184"/>
      <c r="Q24" s="184"/>
      <c r="R24" s="185"/>
      <c r="S24" s="62"/>
      <c r="T24" s="146" t="s">
        <v>28</v>
      </c>
      <c r="U24" s="160">
        <f>'1. ZWB'!D7</f>
        <v>0.24794520547945206</v>
      </c>
      <c r="V24" s="37"/>
      <c r="W24" s="159" t="s">
        <v>28</v>
      </c>
      <c r="X24" s="160">
        <f>'2. ZWB'!D7</f>
        <v>0.5</v>
      </c>
      <c r="Y24" s="159"/>
      <c r="Z24" s="159" t="s">
        <v>28</v>
      </c>
      <c r="AA24" s="160">
        <f>'3. ZWB'!D7</f>
        <v>0.74794520547945209</v>
      </c>
      <c r="AB24" s="160"/>
      <c r="AC24" s="159" t="s">
        <v>28</v>
      </c>
      <c r="AD24" s="160">
        <f>EB!D7</f>
        <v>-62.043835616438358</v>
      </c>
      <c r="AE24" s="37"/>
      <c r="AF24" s="55"/>
      <c r="AG24" s="46"/>
      <c r="AH24" s="46"/>
      <c r="AI24" s="46"/>
      <c r="AJ24" s="46"/>
      <c r="AK24" s="46"/>
      <c r="AL24" s="46"/>
      <c r="AM24" s="46"/>
      <c r="AN24" s="46"/>
      <c r="AO24" s="46"/>
      <c r="AP24" s="46"/>
      <c r="AQ24" s="46"/>
      <c r="AR24" s="46"/>
      <c r="AS24" s="46"/>
      <c r="AT24" s="46"/>
      <c r="AU24" s="46"/>
      <c r="AV24" s="46"/>
      <c r="AW24" s="46"/>
      <c r="AX24" s="46"/>
      <c r="AY24" s="46"/>
      <c r="AZ24" s="46"/>
      <c r="BA24" s="46"/>
      <c r="BB24" s="46"/>
      <c r="BC24" s="46"/>
    </row>
    <row r="25" spans="1:78" s="18" customFormat="1" ht="30" x14ac:dyDescent="0.25">
      <c r="B25" s="16"/>
      <c r="C25" s="180"/>
      <c r="D25" s="180"/>
      <c r="E25" s="180"/>
      <c r="F25" s="180"/>
      <c r="G25" s="180"/>
      <c r="H25" s="129"/>
      <c r="I25" s="86" t="s">
        <v>129</v>
      </c>
      <c r="J25" s="86" t="s">
        <v>130</v>
      </c>
      <c r="K25" s="86" t="s">
        <v>131</v>
      </c>
      <c r="L25" s="86" t="s">
        <v>132</v>
      </c>
      <c r="M25" s="86" t="s">
        <v>133</v>
      </c>
      <c r="N25" s="86" t="s">
        <v>134</v>
      </c>
      <c r="O25" s="86" t="s">
        <v>135</v>
      </c>
      <c r="P25" s="86" t="s">
        <v>136</v>
      </c>
      <c r="Q25" s="86" t="s">
        <v>137</v>
      </c>
      <c r="R25" s="86" t="s">
        <v>138</v>
      </c>
      <c r="S25" s="62"/>
      <c r="T25" s="85" t="s">
        <v>140</v>
      </c>
      <c r="U25" s="161" t="s">
        <v>8</v>
      </c>
      <c r="V25" s="60"/>
      <c r="W25" s="85" t="s">
        <v>141</v>
      </c>
      <c r="X25" s="161" t="s">
        <v>8</v>
      </c>
      <c r="Y25" s="60"/>
      <c r="Z25" s="85" t="s">
        <v>142</v>
      </c>
      <c r="AA25" s="161" t="s">
        <v>8</v>
      </c>
      <c r="AB25" s="60"/>
      <c r="AC25" s="85" t="s">
        <v>143</v>
      </c>
      <c r="AD25" s="161" t="s">
        <v>8</v>
      </c>
      <c r="AE25" s="48"/>
      <c r="AF25" s="55"/>
      <c r="AG25" s="46"/>
      <c r="AH25" s="46"/>
      <c r="AI25" s="46"/>
      <c r="AJ25" s="46"/>
      <c r="AK25" s="46"/>
      <c r="AL25" s="46"/>
      <c r="AM25" s="46"/>
      <c r="AN25" s="46"/>
      <c r="AO25" s="46"/>
      <c r="AP25" s="46"/>
      <c r="AQ25" s="46"/>
      <c r="AR25" s="46"/>
      <c r="AS25" s="46"/>
      <c r="AT25" s="46"/>
      <c r="AU25" s="46"/>
      <c r="AV25" s="46"/>
      <c r="AW25" s="46"/>
      <c r="AX25" s="46"/>
      <c r="AY25" s="46"/>
      <c r="AZ25" s="46"/>
      <c r="BA25" s="46"/>
      <c r="BB25" s="46"/>
      <c r="BC25" s="46"/>
    </row>
    <row r="26" spans="1:78" s="42" customFormat="1" x14ac:dyDescent="0.25">
      <c r="B26" s="39"/>
      <c r="C26" s="49" t="s">
        <v>95</v>
      </c>
      <c r="D26" s="169">
        <f>SUM(I26:R26)</f>
        <v>194</v>
      </c>
      <c r="E26" s="139">
        <v>72</v>
      </c>
      <c r="F26" s="186"/>
      <c r="G26" s="186"/>
      <c r="H26" s="125"/>
      <c r="I26" s="78">
        <v>72</v>
      </c>
      <c r="J26" s="78">
        <v>72</v>
      </c>
      <c r="K26" s="78">
        <v>50</v>
      </c>
      <c r="L26" s="78"/>
      <c r="M26" s="78"/>
      <c r="N26" s="78"/>
      <c r="O26" s="78"/>
      <c r="P26" s="78"/>
      <c r="Q26" s="78"/>
      <c r="R26" s="78"/>
      <c r="S26" s="62"/>
      <c r="T26" s="65">
        <f>IF('1. ZWB'!R11=0,'1. ZWB'!Q11,'1. ZWB'!R11)</f>
        <v>42</v>
      </c>
      <c r="U26" s="162">
        <f>'1. ZWB'!S11</f>
        <v>0.58333333333333337</v>
      </c>
      <c r="V26" s="24"/>
      <c r="W26" s="65">
        <f>IF('2. ZWB'!R11=0,'2. ZWB'!Q11,'2. ZWB'!R11)</f>
        <v>55</v>
      </c>
      <c r="X26" s="162">
        <f>'2. ZWB'!S11</f>
        <v>0.76388888888888884</v>
      </c>
      <c r="Y26" s="24"/>
      <c r="Z26" s="65">
        <f>IF('3. ZWB'!R11=0,'3. ZWB'!Q11,'3. ZWB'!R11)</f>
        <v>74</v>
      </c>
      <c r="AA26" s="162">
        <f>'3. ZWB'!S11</f>
        <v>1.0277777777777777</v>
      </c>
      <c r="AB26" s="60">
        <f>IF(AA26=0,0,AA26/D26)</f>
        <v>5.2978235967926684E-3</v>
      </c>
      <c r="AC26" s="65">
        <f>IF(EB!R11=0,EB!Q11,EB!R11)</f>
        <v>82</v>
      </c>
      <c r="AD26" s="162">
        <f>EB!S11</f>
        <v>1.1388888888888888</v>
      </c>
      <c r="AE26" s="40"/>
      <c r="AF26" s="47"/>
      <c r="AG26" s="46"/>
      <c r="AH26" s="46"/>
      <c r="AI26" s="46"/>
      <c r="AJ26" s="46"/>
      <c r="AK26" s="46"/>
      <c r="AL26" s="46"/>
      <c r="AM26" s="46"/>
      <c r="AN26" s="46"/>
      <c r="AO26" s="46"/>
      <c r="AP26" s="46"/>
      <c r="AQ26" s="46"/>
      <c r="AR26" s="46"/>
      <c r="AS26" s="46"/>
      <c r="AT26" s="46"/>
      <c r="AU26" s="46"/>
      <c r="AV26" s="46"/>
      <c r="AW26" s="46"/>
      <c r="AX26" s="46"/>
      <c r="AY26" s="46"/>
      <c r="AZ26" s="46"/>
      <c r="BA26" s="46"/>
      <c r="BB26" s="46"/>
      <c r="BC26" s="46"/>
    </row>
    <row r="27" spans="1:78" s="42" customFormat="1" x14ac:dyDescent="0.25">
      <c r="B27" s="39"/>
      <c r="C27" s="49" t="s">
        <v>106</v>
      </c>
      <c r="D27" s="169">
        <f t="shared" ref="D27:D75" si="0">SUM(I27:R27)</f>
        <v>194</v>
      </c>
      <c r="E27" s="140">
        <v>72</v>
      </c>
      <c r="F27" s="186"/>
      <c r="G27" s="186"/>
      <c r="H27" s="125"/>
      <c r="I27" s="78">
        <v>72</v>
      </c>
      <c r="J27" s="78">
        <v>72</v>
      </c>
      <c r="K27" s="78">
        <v>50</v>
      </c>
      <c r="L27" s="78"/>
      <c r="M27" s="78"/>
      <c r="N27" s="78"/>
      <c r="O27" s="78"/>
      <c r="P27" s="78"/>
      <c r="Q27" s="78"/>
      <c r="R27" s="78"/>
      <c r="S27" s="62"/>
      <c r="T27" s="65">
        <f>IF('1. ZWB'!R12=0,'1. ZWB'!Q12,'1. ZWB'!R12)</f>
        <v>42</v>
      </c>
      <c r="U27" s="162">
        <f>'1. ZWB'!S12</f>
        <v>0.58333333333333337</v>
      </c>
      <c r="V27" s="24"/>
      <c r="W27" s="65">
        <f>IF('2. ZWB'!R12=0,'2. ZWB'!Q12,'2. ZWB'!R12)</f>
        <v>55</v>
      </c>
      <c r="X27" s="162">
        <f>'2. ZWB'!S12</f>
        <v>0.76388888888888884</v>
      </c>
      <c r="Y27" s="24"/>
      <c r="Z27" s="65">
        <f>IF('3. ZWB'!R12=0,'3. ZWB'!Q12,'3. ZWB'!R12)</f>
        <v>74</v>
      </c>
      <c r="AA27" s="162">
        <f>'3. ZWB'!S12</f>
        <v>1.0277777777777777</v>
      </c>
      <c r="AB27" s="60"/>
      <c r="AC27" s="65">
        <f>IF(EB!R12=0,EB!Q12,EB!R12)</f>
        <v>82</v>
      </c>
      <c r="AD27" s="162">
        <f>EB!S12</f>
        <v>1.1388888888888888</v>
      </c>
      <c r="AE27" s="40"/>
      <c r="AF27" s="47"/>
      <c r="AG27" s="46"/>
      <c r="AH27" s="46"/>
      <c r="AI27" s="46"/>
      <c r="AJ27" s="46"/>
      <c r="AK27" s="46"/>
      <c r="AL27" s="46"/>
      <c r="AM27" s="46"/>
      <c r="AN27" s="46"/>
      <c r="AO27" s="46"/>
      <c r="AP27" s="46"/>
      <c r="AQ27" s="46"/>
      <c r="AR27" s="46"/>
      <c r="AS27" s="46"/>
      <c r="AT27" s="46"/>
      <c r="AU27" s="46"/>
      <c r="AV27" s="46"/>
      <c r="AW27" s="46"/>
      <c r="AX27" s="46"/>
      <c r="AY27" s="46"/>
      <c r="AZ27" s="46"/>
      <c r="BA27" s="46"/>
      <c r="BB27" s="46"/>
      <c r="BC27" s="46"/>
    </row>
    <row r="28" spans="1:78" s="42" customFormat="1" ht="30" x14ac:dyDescent="0.25">
      <c r="B28" s="39"/>
      <c r="C28" s="49" t="s">
        <v>107</v>
      </c>
      <c r="D28" s="169">
        <f t="shared" si="0"/>
        <v>3</v>
      </c>
      <c r="E28" s="139">
        <v>1</v>
      </c>
      <c r="F28" s="186" t="s">
        <v>154</v>
      </c>
      <c r="G28" s="186"/>
      <c r="H28" s="129"/>
      <c r="I28" s="78">
        <v>1</v>
      </c>
      <c r="J28" s="78">
        <v>1</v>
      </c>
      <c r="K28" s="78">
        <v>1</v>
      </c>
      <c r="L28" s="78"/>
      <c r="M28" s="78"/>
      <c r="N28" s="78"/>
      <c r="O28" s="78"/>
      <c r="P28" s="78"/>
      <c r="Q28" s="78"/>
      <c r="R28" s="78"/>
      <c r="S28" s="62"/>
      <c r="T28" s="65">
        <f>IF('1. ZWB'!R13=0,'1. ZWB'!Q13,'1. ZWB'!R13)</f>
        <v>1</v>
      </c>
      <c r="U28" s="162">
        <f>'1. ZWB'!S13</f>
        <v>1</v>
      </c>
      <c r="V28" s="24"/>
      <c r="W28" s="65">
        <f>IF('2. ZWB'!R13=0,'2. ZWB'!Q13,'2. ZWB'!R13)</f>
        <v>1</v>
      </c>
      <c r="X28" s="162">
        <f>'2. ZWB'!S13</f>
        <v>1</v>
      </c>
      <c r="Y28" s="24"/>
      <c r="Z28" s="65">
        <f>IF('3. ZWB'!R13=0,'3. ZWB'!Q13,'3. ZWB'!R13)</f>
        <v>1</v>
      </c>
      <c r="AA28" s="162">
        <f>'3. ZWB'!S13</f>
        <v>1</v>
      </c>
      <c r="AB28" s="60"/>
      <c r="AC28" s="65">
        <f>IF(EB!R13=0,EB!Q13,EB!R13)</f>
        <v>1</v>
      </c>
      <c r="AD28" s="162">
        <f>EB!S13</f>
        <v>1</v>
      </c>
      <c r="AE28" s="40"/>
      <c r="AF28" s="47"/>
      <c r="AG28" s="46"/>
      <c r="AH28" s="46"/>
      <c r="AI28" s="46"/>
      <c r="AJ28" s="46"/>
      <c r="AK28" s="46"/>
      <c r="AL28" s="46"/>
      <c r="AM28" s="46"/>
      <c r="AN28" s="46"/>
      <c r="AO28" s="46"/>
      <c r="AP28" s="46"/>
      <c r="AQ28" s="46"/>
      <c r="AR28" s="46"/>
      <c r="AS28" s="46"/>
      <c r="AT28" s="46"/>
      <c r="AU28" s="46"/>
      <c r="AV28" s="46"/>
      <c r="AW28" s="46"/>
      <c r="AX28" s="46"/>
      <c r="AY28" s="46"/>
      <c r="AZ28" s="46"/>
      <c r="BA28" s="46"/>
      <c r="BB28" s="46"/>
      <c r="BC28" s="46"/>
    </row>
    <row r="29" spans="1:78" s="18" customFormat="1" ht="45" x14ac:dyDescent="0.25">
      <c r="B29" s="16"/>
      <c r="C29" s="8" t="s">
        <v>73</v>
      </c>
      <c r="D29" s="85" t="s">
        <v>72</v>
      </c>
      <c r="E29" s="85" t="s">
        <v>126</v>
      </c>
      <c r="F29" s="180" t="s">
        <v>146</v>
      </c>
      <c r="G29" s="180"/>
      <c r="H29" s="129"/>
      <c r="I29" s="86" t="s">
        <v>129</v>
      </c>
      <c r="J29" s="86" t="s">
        <v>130</v>
      </c>
      <c r="K29" s="86" t="s">
        <v>131</v>
      </c>
      <c r="L29" s="86" t="s">
        <v>132</v>
      </c>
      <c r="M29" s="86" t="s">
        <v>133</v>
      </c>
      <c r="N29" s="86" t="s">
        <v>134</v>
      </c>
      <c r="O29" s="86" t="s">
        <v>135</v>
      </c>
      <c r="P29" s="86" t="s">
        <v>136</v>
      </c>
      <c r="Q29" s="86" t="s">
        <v>137</v>
      </c>
      <c r="R29" s="86" t="s">
        <v>138</v>
      </c>
      <c r="S29" s="62"/>
      <c r="T29" s="85" t="s">
        <v>140</v>
      </c>
      <c r="U29" s="161" t="str">
        <f>'1. ZWB'!S14</f>
        <v>Erfüllt in %</v>
      </c>
      <c r="V29" s="60"/>
      <c r="W29" s="85" t="s">
        <v>141</v>
      </c>
      <c r="X29" s="161" t="s">
        <v>8</v>
      </c>
      <c r="Y29" s="60"/>
      <c r="Z29" s="85" t="s">
        <v>142</v>
      </c>
      <c r="AA29" s="161" t="s">
        <v>8</v>
      </c>
      <c r="AB29" s="60"/>
      <c r="AC29" s="85" t="s">
        <v>143</v>
      </c>
      <c r="AD29" s="161" t="s">
        <v>8</v>
      </c>
      <c r="AE29" s="17"/>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row>
    <row r="30" spans="1:78" s="41" customFormat="1" x14ac:dyDescent="0.25">
      <c r="B30" s="43"/>
      <c r="C30" s="50" t="s">
        <v>55</v>
      </c>
      <c r="D30" s="169">
        <f t="shared" si="0"/>
        <v>0</v>
      </c>
      <c r="E30" s="66"/>
      <c r="F30" s="193"/>
      <c r="G30" s="194"/>
      <c r="H30" s="129"/>
      <c r="I30" s="78"/>
      <c r="J30" s="78"/>
      <c r="K30" s="78"/>
      <c r="L30" s="78"/>
      <c r="M30" s="78"/>
      <c r="N30" s="78"/>
      <c r="O30" s="78"/>
      <c r="P30" s="78"/>
      <c r="Q30" s="78"/>
      <c r="R30" s="78"/>
      <c r="S30" s="62"/>
      <c r="T30" s="65">
        <f>IF('1. ZWB'!R15=0,'1. ZWB'!Q15,'1. ZWB'!R15)</f>
        <v>0</v>
      </c>
      <c r="U30" s="162">
        <f>'1. ZWB'!S15</f>
        <v>0</v>
      </c>
      <c r="V30" s="24"/>
      <c r="W30" s="65">
        <f>IF('2. ZWB'!R15=0,'2. ZWB'!Q15,'2. ZWB'!R15)</f>
        <v>0</v>
      </c>
      <c r="X30" s="162">
        <f>'2. ZWB'!S15</f>
        <v>0</v>
      </c>
      <c r="Y30" s="24"/>
      <c r="Z30" s="65">
        <f>IF('3. ZWB'!R15=0,'3. ZWB'!Q15,'3. ZWB'!R15)</f>
        <v>0</v>
      </c>
      <c r="AA30" s="162">
        <f>'3. ZWB'!S15</f>
        <v>0</v>
      </c>
      <c r="AB30" s="24"/>
      <c r="AC30" s="65">
        <f>IF(EB!R15=0,EB!Q15,EB!R15)</f>
        <v>0</v>
      </c>
      <c r="AD30" s="162">
        <f>EB!S15</f>
        <v>0</v>
      </c>
      <c r="AE30" s="44"/>
      <c r="AF30" s="47"/>
      <c r="AG30" s="46"/>
      <c r="AH30" s="46"/>
      <c r="AI30" s="46"/>
      <c r="AJ30" s="46"/>
      <c r="AK30" s="46"/>
      <c r="AL30" s="46"/>
      <c r="AM30" s="46"/>
      <c r="AN30" s="46"/>
      <c r="AO30" s="46"/>
      <c r="AP30" s="46"/>
      <c r="AQ30" s="46"/>
      <c r="AR30" s="46"/>
      <c r="AS30" s="46"/>
      <c r="AT30" s="46"/>
      <c r="AU30" s="46"/>
      <c r="AV30" s="46"/>
      <c r="AW30" s="46"/>
      <c r="AX30" s="46"/>
      <c r="AY30" s="46"/>
      <c r="AZ30" s="46"/>
      <c r="BA30" s="46"/>
      <c r="BB30" s="46"/>
      <c r="BC30" s="46"/>
    </row>
    <row r="31" spans="1:78" x14ac:dyDescent="0.25">
      <c r="B31" s="5"/>
      <c r="C31" s="51" t="s">
        <v>96</v>
      </c>
      <c r="D31" s="169">
        <f t="shared" si="0"/>
        <v>0</v>
      </c>
      <c r="E31" s="133"/>
      <c r="F31" s="197"/>
      <c r="G31" s="198"/>
      <c r="H31" s="129"/>
      <c r="I31" s="135"/>
      <c r="J31" s="135"/>
      <c r="K31" s="135"/>
      <c r="L31" s="135"/>
      <c r="M31" s="135"/>
      <c r="N31" s="135"/>
      <c r="O31" s="135"/>
      <c r="P31" s="135"/>
      <c r="Q31" s="135"/>
      <c r="R31" s="135"/>
      <c r="S31" s="62"/>
      <c r="T31" s="65">
        <f>IF('1. ZWB'!R16=0,'1. ZWB'!Q16,'1. ZWB'!R16)</f>
        <v>0</v>
      </c>
      <c r="U31" s="162">
        <f>'1. ZWB'!S16</f>
        <v>0</v>
      </c>
      <c r="V31" s="59"/>
      <c r="W31" s="65">
        <f>IF('2. ZWB'!R16=0,'2. ZWB'!Q16,'2. ZWB'!R16)</f>
        <v>0</v>
      </c>
      <c r="X31" s="162">
        <f>'2. ZWB'!S16</f>
        <v>0</v>
      </c>
      <c r="Y31" s="59"/>
      <c r="Z31" s="65">
        <f>IF('3. ZWB'!R16=0,'3. ZWB'!Q16,'3. ZWB'!R16)</f>
        <v>0</v>
      </c>
      <c r="AA31" s="162">
        <f>'3. ZWB'!S16</f>
        <v>0</v>
      </c>
      <c r="AB31" s="59"/>
      <c r="AC31" s="65">
        <f>IF(EB!R16=0,EB!Q16,EB!R16)</f>
        <v>0</v>
      </c>
      <c r="AD31" s="162">
        <f>EB!S16</f>
        <v>0</v>
      </c>
      <c r="AE31" s="7"/>
    </row>
    <row r="32" spans="1:78" s="41" customFormat="1" x14ac:dyDescent="0.25">
      <c r="B32" s="43"/>
      <c r="C32" s="50" t="s">
        <v>56</v>
      </c>
      <c r="D32" s="169">
        <f t="shared" si="0"/>
        <v>0</v>
      </c>
      <c r="E32" s="66"/>
      <c r="F32" s="193"/>
      <c r="G32" s="194"/>
      <c r="H32" s="129"/>
      <c r="I32" s="78"/>
      <c r="J32" s="78"/>
      <c r="K32" s="78"/>
      <c r="L32" s="78"/>
      <c r="M32" s="78"/>
      <c r="N32" s="78"/>
      <c r="O32" s="78"/>
      <c r="P32" s="78"/>
      <c r="Q32" s="78"/>
      <c r="R32" s="78"/>
      <c r="S32" s="62"/>
      <c r="T32" s="65">
        <f>IF('1. ZWB'!R17=0,'1. ZWB'!Q17,'1. ZWB'!R17)</f>
        <v>0</v>
      </c>
      <c r="U32" s="162">
        <f>'1. ZWB'!S17</f>
        <v>0</v>
      </c>
      <c r="V32" s="24"/>
      <c r="W32" s="65">
        <f>IF('2. ZWB'!R17=0,'2. ZWB'!Q17,'2. ZWB'!R17)</f>
        <v>0</v>
      </c>
      <c r="X32" s="162">
        <f>'2. ZWB'!S17</f>
        <v>0</v>
      </c>
      <c r="Y32" s="24"/>
      <c r="Z32" s="65">
        <f>IF('3. ZWB'!R17=0,'3. ZWB'!Q17,'3. ZWB'!R17)</f>
        <v>0</v>
      </c>
      <c r="AA32" s="162">
        <f>'3. ZWB'!S17</f>
        <v>0</v>
      </c>
      <c r="AB32" s="24"/>
      <c r="AC32" s="65">
        <f>IF(EB!R17=0,EB!Q17,EB!R17)</f>
        <v>0</v>
      </c>
      <c r="AD32" s="162">
        <f>EB!S17</f>
        <v>0</v>
      </c>
      <c r="AE32" s="44"/>
      <c r="AF32" s="47"/>
      <c r="AG32" s="46"/>
      <c r="AH32" s="46"/>
      <c r="AI32" s="46"/>
      <c r="AJ32" s="46"/>
      <c r="AK32" s="46"/>
      <c r="AL32" s="46"/>
      <c r="AM32" s="46"/>
      <c r="AN32" s="46"/>
      <c r="AO32" s="46"/>
      <c r="AP32" s="46"/>
      <c r="AQ32" s="46"/>
      <c r="AR32" s="46"/>
      <c r="AS32" s="46"/>
      <c r="AT32" s="46"/>
      <c r="AU32" s="46"/>
      <c r="AV32" s="46"/>
      <c r="AW32" s="46"/>
      <c r="AX32" s="46"/>
      <c r="AY32" s="46"/>
      <c r="AZ32" s="46"/>
      <c r="BA32" s="46"/>
      <c r="BB32" s="46"/>
      <c r="BC32" s="46"/>
    </row>
    <row r="33" spans="2:55" ht="30" x14ac:dyDescent="0.25">
      <c r="B33" s="5"/>
      <c r="C33" s="52" t="s">
        <v>54</v>
      </c>
      <c r="D33" s="169">
        <f t="shared" si="0"/>
        <v>0</v>
      </c>
      <c r="E33" s="133"/>
      <c r="F33" s="195"/>
      <c r="G33" s="196"/>
      <c r="H33" s="129"/>
      <c r="I33" s="135"/>
      <c r="J33" s="135"/>
      <c r="K33" s="135"/>
      <c r="L33" s="135"/>
      <c r="M33" s="135"/>
      <c r="N33" s="135"/>
      <c r="O33" s="135"/>
      <c r="P33" s="135"/>
      <c r="Q33" s="135"/>
      <c r="R33" s="135"/>
      <c r="S33" s="62"/>
      <c r="T33" s="65">
        <f>IF('1. ZWB'!R18=0,'1. ZWB'!Q18,'1. ZWB'!R18)</f>
        <v>0</v>
      </c>
      <c r="U33" s="162">
        <f>'1. ZWB'!S18</f>
        <v>0</v>
      </c>
      <c r="V33" s="59"/>
      <c r="W33" s="65">
        <f>IF('2. ZWB'!R18=0,'2. ZWB'!Q18,'2. ZWB'!R18)</f>
        <v>0</v>
      </c>
      <c r="X33" s="162">
        <f>'2. ZWB'!S18</f>
        <v>0</v>
      </c>
      <c r="Y33" s="59"/>
      <c r="Z33" s="65">
        <f>IF('3. ZWB'!R18=0,'3. ZWB'!Q18,'3. ZWB'!R18)</f>
        <v>0</v>
      </c>
      <c r="AA33" s="162">
        <f>'3. ZWB'!S18</f>
        <v>0</v>
      </c>
      <c r="AB33" s="59"/>
      <c r="AC33" s="65">
        <f>IF(EB!R18=0,EB!Q18,EB!R18)</f>
        <v>0</v>
      </c>
      <c r="AD33" s="162">
        <f>EB!S18</f>
        <v>0</v>
      </c>
      <c r="AE33" s="7"/>
    </row>
    <row r="34" spans="2:55" x14ac:dyDescent="0.25">
      <c r="B34" s="5"/>
      <c r="C34" s="52" t="s">
        <v>58</v>
      </c>
      <c r="D34" s="169">
        <f t="shared" si="0"/>
        <v>0</v>
      </c>
      <c r="E34" s="133"/>
      <c r="F34" s="197"/>
      <c r="G34" s="198"/>
      <c r="H34" s="129"/>
      <c r="I34" s="135"/>
      <c r="J34" s="135"/>
      <c r="K34" s="135"/>
      <c r="L34" s="135"/>
      <c r="M34" s="135"/>
      <c r="N34" s="135"/>
      <c r="O34" s="135"/>
      <c r="P34" s="135"/>
      <c r="Q34" s="135"/>
      <c r="R34" s="135"/>
      <c r="S34" s="62"/>
      <c r="T34" s="65">
        <f>IF('1. ZWB'!R19=0,'1. ZWB'!Q19,'1. ZWB'!R19)</f>
        <v>0</v>
      </c>
      <c r="U34" s="162">
        <f>'1. ZWB'!S19</f>
        <v>0</v>
      </c>
      <c r="V34" s="59"/>
      <c r="W34" s="65">
        <f>IF('2. ZWB'!R19=0,'2. ZWB'!Q19,'2. ZWB'!R19)</f>
        <v>0</v>
      </c>
      <c r="X34" s="162">
        <f>'2. ZWB'!S19</f>
        <v>0</v>
      </c>
      <c r="Y34" s="59"/>
      <c r="Z34" s="65">
        <f>IF('3. ZWB'!R19=0,'3. ZWB'!Q19,'3. ZWB'!R19)</f>
        <v>0</v>
      </c>
      <c r="AA34" s="162">
        <f>'3. ZWB'!S19</f>
        <v>0</v>
      </c>
      <c r="AB34" s="59"/>
      <c r="AC34" s="65">
        <f>IF(EB!R19=0,EB!Q19,EB!R19)</f>
        <v>0</v>
      </c>
      <c r="AD34" s="162">
        <f>EB!S19</f>
        <v>0</v>
      </c>
      <c r="AE34" s="7"/>
    </row>
    <row r="35" spans="2:55" ht="45" customHeight="1" x14ac:dyDescent="0.25">
      <c r="B35" s="5"/>
      <c r="C35" s="8" t="s">
        <v>45</v>
      </c>
      <c r="D35" s="85" t="s">
        <v>72</v>
      </c>
      <c r="E35" s="85" t="s">
        <v>126</v>
      </c>
      <c r="F35" s="180" t="s">
        <v>146</v>
      </c>
      <c r="G35" s="180"/>
      <c r="H35" s="129"/>
      <c r="I35" s="86" t="s">
        <v>129</v>
      </c>
      <c r="J35" s="86" t="s">
        <v>130</v>
      </c>
      <c r="K35" s="86" t="s">
        <v>131</v>
      </c>
      <c r="L35" s="86" t="s">
        <v>132</v>
      </c>
      <c r="M35" s="86" t="s">
        <v>133</v>
      </c>
      <c r="N35" s="86" t="s">
        <v>134</v>
      </c>
      <c r="O35" s="86" t="s">
        <v>135</v>
      </c>
      <c r="P35" s="86" t="s">
        <v>136</v>
      </c>
      <c r="Q35" s="86" t="s">
        <v>137</v>
      </c>
      <c r="R35" s="86" t="s">
        <v>138</v>
      </c>
      <c r="S35" s="62"/>
      <c r="T35" s="85" t="s">
        <v>140</v>
      </c>
      <c r="U35" s="161" t="s">
        <v>8</v>
      </c>
      <c r="V35" s="25"/>
      <c r="W35" s="85" t="s">
        <v>141</v>
      </c>
      <c r="X35" s="161" t="s">
        <v>8</v>
      </c>
      <c r="Y35" s="25"/>
      <c r="Z35" s="85" t="s">
        <v>142</v>
      </c>
      <c r="AA35" s="161" t="s">
        <v>8</v>
      </c>
      <c r="AB35" s="25"/>
      <c r="AC35" s="85" t="s">
        <v>143</v>
      </c>
      <c r="AD35" s="161" t="s">
        <v>8</v>
      </c>
      <c r="AE35" s="7"/>
    </row>
    <row r="36" spans="2:55" s="41" customFormat="1" x14ac:dyDescent="0.25">
      <c r="B36" s="43"/>
      <c r="C36" s="50" t="s">
        <v>70</v>
      </c>
      <c r="D36" s="169">
        <f t="shared" si="0"/>
        <v>0</v>
      </c>
      <c r="E36" s="66"/>
      <c r="F36" s="193" t="s">
        <v>156</v>
      </c>
      <c r="G36" s="194"/>
      <c r="H36" s="129"/>
      <c r="I36" s="78"/>
      <c r="J36" s="78"/>
      <c r="K36" s="78"/>
      <c r="L36" s="78"/>
      <c r="M36" s="78"/>
      <c r="N36" s="78"/>
      <c r="O36" s="78"/>
      <c r="P36" s="78"/>
      <c r="Q36" s="78"/>
      <c r="R36" s="78"/>
      <c r="S36" s="62"/>
      <c r="T36" s="65">
        <f>IF('1. ZWB'!R21=0,'1. ZWB'!Q21,'1. ZWB'!R21)</f>
        <v>0</v>
      </c>
      <c r="U36" s="162">
        <f>'1. ZWB'!S21</f>
        <v>0</v>
      </c>
      <c r="V36" s="24"/>
      <c r="W36" s="65">
        <f>IF('2. ZWB'!R21=0,'2. ZWB'!Q21,'2. ZWB'!R21)</f>
        <v>0</v>
      </c>
      <c r="X36" s="162">
        <f>'2. ZWB'!S21</f>
        <v>0</v>
      </c>
      <c r="Y36" s="24"/>
      <c r="Z36" s="65">
        <f>IF('3. ZWB'!R21=0,'3. ZWB'!Q21,'3. ZWB'!R21)</f>
        <v>0</v>
      </c>
      <c r="AA36" s="162">
        <f>'3. ZWB'!S21</f>
        <v>0</v>
      </c>
      <c r="AB36" s="24"/>
      <c r="AC36" s="65">
        <f>IF(EB!R21=0,EB!Q21,EB!R21)</f>
        <v>0</v>
      </c>
      <c r="AD36" s="162">
        <f>EB!S21</f>
        <v>0</v>
      </c>
      <c r="AE36" s="44"/>
      <c r="AF36" s="47"/>
      <c r="AG36" s="46"/>
      <c r="AH36" s="46"/>
      <c r="AI36" s="46"/>
      <c r="AJ36" s="46"/>
      <c r="AK36" s="46"/>
      <c r="AL36" s="46"/>
      <c r="AM36" s="46"/>
      <c r="AN36" s="46"/>
      <c r="AO36" s="46"/>
      <c r="AP36" s="46"/>
      <c r="AQ36" s="46"/>
      <c r="AR36" s="46"/>
      <c r="AS36" s="46"/>
      <c r="AT36" s="46"/>
      <c r="AU36" s="46"/>
      <c r="AV36" s="46"/>
      <c r="AW36" s="46"/>
      <c r="AX36" s="46"/>
      <c r="AY36" s="46"/>
      <c r="AZ36" s="46"/>
      <c r="BA36" s="46"/>
      <c r="BB36" s="46"/>
      <c r="BC36" s="46"/>
    </row>
    <row r="37" spans="2:55" ht="30" x14ac:dyDescent="0.25">
      <c r="B37" s="5"/>
      <c r="C37" s="51" t="s">
        <v>47</v>
      </c>
      <c r="D37" s="169">
        <f t="shared" si="0"/>
        <v>144</v>
      </c>
      <c r="E37" s="133">
        <v>72</v>
      </c>
      <c r="F37" s="195"/>
      <c r="G37" s="196"/>
      <c r="H37" s="129"/>
      <c r="I37" s="135">
        <v>72</v>
      </c>
      <c r="J37" s="135">
        <v>72</v>
      </c>
      <c r="K37" s="135"/>
      <c r="L37" s="135"/>
      <c r="M37" s="135"/>
      <c r="N37" s="135"/>
      <c r="O37" s="135"/>
      <c r="P37" s="135"/>
      <c r="Q37" s="135"/>
      <c r="R37" s="135"/>
      <c r="S37" s="62"/>
      <c r="T37" s="65">
        <f>IF('1. ZWB'!R22=0,'1. ZWB'!Q22,'1. ZWB'!R22)</f>
        <v>42</v>
      </c>
      <c r="U37" s="162">
        <f>'1. ZWB'!S22</f>
        <v>0.58333333333333337</v>
      </c>
      <c r="V37" s="59"/>
      <c r="W37" s="65">
        <f>IF('2. ZWB'!R22=0,'2. ZWB'!Q22,'2. ZWB'!R22)</f>
        <v>55</v>
      </c>
      <c r="X37" s="162">
        <f>'2. ZWB'!S22</f>
        <v>0.76388888888888884</v>
      </c>
      <c r="Y37" s="59"/>
      <c r="Z37" s="65">
        <f>IF('3. ZWB'!R22=0,'3. ZWB'!Q22,'3. ZWB'!R22)</f>
        <v>74</v>
      </c>
      <c r="AA37" s="162">
        <f>'3. ZWB'!S22</f>
        <v>1.0277777777777777</v>
      </c>
      <c r="AB37" s="59"/>
      <c r="AC37" s="65">
        <f>IF(EB!R22=0,EB!Q22,EB!R22)</f>
        <v>82</v>
      </c>
      <c r="AD37" s="162">
        <f>EB!S22</f>
        <v>1.1388888888888888</v>
      </c>
      <c r="AE37" s="7"/>
    </row>
    <row r="38" spans="2:55" ht="30" x14ac:dyDescent="0.25">
      <c r="B38" s="5"/>
      <c r="C38" s="52" t="s">
        <v>59</v>
      </c>
      <c r="D38" s="169">
        <f t="shared" si="0"/>
        <v>1170</v>
      </c>
      <c r="E38" s="133">
        <v>1170</v>
      </c>
      <c r="F38" s="197"/>
      <c r="G38" s="198"/>
      <c r="H38" s="129"/>
      <c r="I38" s="135">
        <v>360</v>
      </c>
      <c r="J38" s="135">
        <v>810</v>
      </c>
      <c r="K38" s="135"/>
      <c r="L38" s="135"/>
      <c r="M38" s="135"/>
      <c r="N38" s="135"/>
      <c r="O38" s="135"/>
      <c r="P38" s="135"/>
      <c r="Q38" s="135"/>
      <c r="R38" s="135"/>
      <c r="S38" s="62"/>
      <c r="T38" s="65">
        <f>IF('1. ZWB'!R23=0,'1. ZWB'!Q23,'1. ZWB'!R23)</f>
        <v>311</v>
      </c>
      <c r="U38" s="162">
        <f>'1. ZWB'!S23</f>
        <v>0.26581196581196581</v>
      </c>
      <c r="V38" s="59"/>
      <c r="W38" s="65">
        <f>IF('2. ZWB'!R23=0,'2. ZWB'!Q23,'2. ZWB'!R23)</f>
        <v>654</v>
      </c>
      <c r="X38" s="162">
        <f>'2. ZWB'!S23</f>
        <v>0.55897435897435899</v>
      </c>
      <c r="Y38" s="59"/>
      <c r="Z38" s="65">
        <f>IF('3. ZWB'!R23=0,'3. ZWB'!Q23,'3. ZWB'!R23)</f>
        <v>952</v>
      </c>
      <c r="AA38" s="162">
        <f>'3. ZWB'!S23</f>
        <v>0.81367521367521367</v>
      </c>
      <c r="AB38" s="59"/>
      <c r="AC38" s="65">
        <f>IF(EB!R23=0,EB!Q23,EB!R23)</f>
        <v>1218.5</v>
      </c>
      <c r="AD38" s="162">
        <f>EB!S23</f>
        <v>1.0414529914529915</v>
      </c>
      <c r="AE38" s="7"/>
    </row>
    <row r="39" spans="2:55" s="41" customFormat="1" ht="30" x14ac:dyDescent="0.25">
      <c r="B39" s="43"/>
      <c r="C39" s="50" t="s">
        <v>98</v>
      </c>
      <c r="D39" s="169">
        <f t="shared" si="0"/>
        <v>0</v>
      </c>
      <c r="E39" s="66"/>
      <c r="F39" s="193" t="s">
        <v>157</v>
      </c>
      <c r="G39" s="194"/>
      <c r="H39" s="129"/>
      <c r="I39" s="78"/>
      <c r="J39" s="78"/>
      <c r="K39" s="78"/>
      <c r="L39" s="78"/>
      <c r="M39" s="78"/>
      <c r="N39" s="78"/>
      <c r="O39" s="78"/>
      <c r="P39" s="78"/>
      <c r="Q39" s="78"/>
      <c r="R39" s="78"/>
      <c r="S39" s="62"/>
      <c r="T39" s="65">
        <f>IF('1. ZWB'!R24=0,'1. ZWB'!Q24,'1. ZWB'!R24)</f>
        <v>0</v>
      </c>
      <c r="U39" s="162">
        <f>'1. ZWB'!S24</f>
        <v>0</v>
      </c>
      <c r="V39" s="26"/>
      <c r="W39" s="65">
        <f>IF('2. ZWB'!R24=0,'2. ZWB'!Q24,'2. ZWB'!R24)</f>
        <v>0</v>
      </c>
      <c r="X39" s="162">
        <f>'2. ZWB'!S24</f>
        <v>0</v>
      </c>
      <c r="Y39" s="26"/>
      <c r="Z39" s="65">
        <f>IF('3. ZWB'!R24=0,'3. ZWB'!Q24,'3. ZWB'!R24)</f>
        <v>0</v>
      </c>
      <c r="AA39" s="162">
        <f>'3. ZWB'!S24</f>
        <v>0</v>
      </c>
      <c r="AB39" s="26"/>
      <c r="AC39" s="65">
        <f>IF(EB!R24=0,EB!Q24,EB!R24)</f>
        <v>0</v>
      </c>
      <c r="AD39" s="162">
        <f>EB!S24</f>
        <v>0</v>
      </c>
      <c r="AE39" s="44"/>
      <c r="AF39" s="47"/>
      <c r="AG39" s="46"/>
      <c r="AH39" s="46"/>
      <c r="AI39" s="46"/>
      <c r="AJ39" s="46"/>
      <c r="AK39" s="46"/>
      <c r="AL39" s="46"/>
      <c r="AM39" s="46"/>
      <c r="AN39" s="46"/>
      <c r="AO39" s="46"/>
      <c r="AP39" s="46"/>
      <c r="AQ39" s="46"/>
      <c r="AR39" s="46"/>
      <c r="AS39" s="46"/>
      <c r="AT39" s="46"/>
      <c r="AU39" s="46"/>
      <c r="AV39" s="46"/>
      <c r="AW39" s="46"/>
      <c r="AX39" s="46"/>
      <c r="AY39" s="46"/>
      <c r="AZ39" s="46"/>
      <c r="BA39" s="46"/>
      <c r="BB39" s="46"/>
      <c r="BC39" s="46"/>
    </row>
    <row r="40" spans="2:55" ht="30" x14ac:dyDescent="0.25">
      <c r="B40" s="5"/>
      <c r="C40" s="52" t="s">
        <v>48</v>
      </c>
      <c r="D40" s="169">
        <f t="shared" si="0"/>
        <v>50</v>
      </c>
      <c r="E40" s="133">
        <v>50</v>
      </c>
      <c r="F40" s="195"/>
      <c r="G40" s="196"/>
      <c r="H40" s="129"/>
      <c r="I40" s="135"/>
      <c r="J40" s="135"/>
      <c r="K40" s="135">
        <v>50</v>
      </c>
      <c r="L40" s="135"/>
      <c r="M40" s="135"/>
      <c r="N40" s="135"/>
      <c r="O40" s="135"/>
      <c r="P40" s="135"/>
      <c r="Q40" s="135"/>
      <c r="R40" s="135"/>
      <c r="S40" s="62"/>
      <c r="T40" s="65">
        <f>IF('1. ZWB'!R25=0,'1. ZWB'!Q25,'1. ZWB'!R25)</f>
        <v>33</v>
      </c>
      <c r="U40" s="162">
        <f>'1. ZWB'!S25</f>
        <v>0.66</v>
      </c>
      <c r="V40" s="27"/>
      <c r="W40" s="65">
        <f>IF('2. ZWB'!R25=0,'2. ZWB'!Q25,'2. ZWB'!R25)</f>
        <v>39</v>
      </c>
      <c r="X40" s="162">
        <f>'2. ZWB'!S25</f>
        <v>0.78</v>
      </c>
      <c r="Y40" s="27"/>
      <c r="Z40" s="65">
        <f>IF('3. ZWB'!R25=0,'3. ZWB'!Q25,'3. ZWB'!R25)</f>
        <v>46</v>
      </c>
      <c r="AA40" s="162">
        <f>'3. ZWB'!S25</f>
        <v>0.92</v>
      </c>
      <c r="AB40" s="27"/>
      <c r="AC40" s="65">
        <f>IF(EB!R25=0,EB!Q25,EB!R25)</f>
        <v>50</v>
      </c>
      <c r="AD40" s="162">
        <f>EB!S25</f>
        <v>1</v>
      </c>
      <c r="AE40" s="7"/>
    </row>
    <row r="41" spans="2:55" x14ac:dyDescent="0.25">
      <c r="B41" s="5"/>
      <c r="C41" s="52" t="s">
        <v>46</v>
      </c>
      <c r="D41" s="169">
        <f t="shared" si="0"/>
        <v>540</v>
      </c>
      <c r="E41" s="133">
        <v>540</v>
      </c>
      <c r="F41" s="197"/>
      <c r="G41" s="198"/>
      <c r="H41" s="129"/>
      <c r="I41" s="135"/>
      <c r="J41" s="135"/>
      <c r="K41" s="135">
        <v>540</v>
      </c>
      <c r="L41" s="135"/>
      <c r="M41" s="135"/>
      <c r="N41" s="135"/>
      <c r="O41" s="135"/>
      <c r="P41" s="135"/>
      <c r="Q41" s="135"/>
      <c r="R41" s="135"/>
      <c r="S41" s="62"/>
      <c r="T41" s="65">
        <f>IF('1. ZWB'!R26=0,'1. ZWB'!Q26,'1. ZWB'!R26)</f>
        <v>192</v>
      </c>
      <c r="U41" s="162">
        <f>'1. ZWB'!S26</f>
        <v>0.35555555555555557</v>
      </c>
      <c r="V41" s="27"/>
      <c r="W41" s="65">
        <f>IF('2. ZWB'!R26=0,'2. ZWB'!Q26,'2. ZWB'!R26)</f>
        <v>298</v>
      </c>
      <c r="X41" s="162">
        <f>'2. ZWB'!S26</f>
        <v>0.55185185185185182</v>
      </c>
      <c r="Y41" s="27"/>
      <c r="Z41" s="65">
        <f>IF('3. ZWB'!R26=0,'3. ZWB'!Q26,'3. ZWB'!R26)</f>
        <v>435.5</v>
      </c>
      <c r="AA41" s="162">
        <f>'3. ZWB'!S26</f>
        <v>0.80648148148148147</v>
      </c>
      <c r="AB41" s="27"/>
      <c r="AC41" s="65">
        <f>IF(EB!R26=0,EB!Q26,EB!R26)</f>
        <v>540.5</v>
      </c>
      <c r="AD41" s="162">
        <f>EB!S26</f>
        <v>1.000925925925926</v>
      </c>
      <c r="AE41" s="7"/>
    </row>
    <row r="42" spans="2:55" s="41" customFormat="1" x14ac:dyDescent="0.25">
      <c r="B42" s="43"/>
      <c r="C42" s="50" t="s">
        <v>49</v>
      </c>
      <c r="D42" s="169">
        <f t="shared" si="0"/>
        <v>0</v>
      </c>
      <c r="E42" s="66"/>
      <c r="F42" s="187"/>
      <c r="G42" s="188"/>
      <c r="H42" s="129"/>
      <c r="I42" s="78"/>
      <c r="J42" s="78"/>
      <c r="K42" s="78"/>
      <c r="L42" s="78"/>
      <c r="M42" s="78"/>
      <c r="N42" s="78"/>
      <c r="O42" s="78"/>
      <c r="P42" s="78"/>
      <c r="Q42" s="78"/>
      <c r="R42" s="78"/>
      <c r="S42" s="62"/>
      <c r="T42" s="65">
        <f>IF('1. ZWB'!R27=0,'1. ZWB'!Q27,'1. ZWB'!R27)</f>
        <v>0</v>
      </c>
      <c r="U42" s="162">
        <f>'1. ZWB'!S27</f>
        <v>0</v>
      </c>
      <c r="V42" s="26"/>
      <c r="W42" s="65">
        <f>IF('2. ZWB'!R27=0,'2. ZWB'!Q27,'2. ZWB'!R27)</f>
        <v>0</v>
      </c>
      <c r="X42" s="162">
        <f>'2. ZWB'!S27</f>
        <v>0</v>
      </c>
      <c r="Y42" s="26"/>
      <c r="Z42" s="65">
        <f>IF('3. ZWB'!R27=0,'3. ZWB'!Q27,'3. ZWB'!R27)</f>
        <v>0</v>
      </c>
      <c r="AA42" s="162">
        <f>'3. ZWB'!S27</f>
        <v>0</v>
      </c>
      <c r="AB42" s="26"/>
      <c r="AC42" s="65">
        <f>IF(EB!R27=0,EB!Q27,EB!R27)</f>
        <v>0</v>
      </c>
      <c r="AD42" s="162">
        <f>EB!S27</f>
        <v>0</v>
      </c>
      <c r="AE42" s="44"/>
      <c r="AF42" s="47"/>
      <c r="AG42" s="46"/>
      <c r="AH42" s="46"/>
      <c r="AI42" s="46"/>
      <c r="AJ42" s="46"/>
      <c r="AK42" s="46"/>
      <c r="AL42" s="46"/>
      <c r="AM42" s="46"/>
      <c r="AN42" s="46"/>
      <c r="AO42" s="46"/>
      <c r="AP42" s="46"/>
      <c r="AQ42" s="46"/>
      <c r="AR42" s="46"/>
      <c r="AS42" s="46"/>
      <c r="AT42" s="46"/>
      <c r="AU42" s="46"/>
      <c r="AV42" s="46"/>
      <c r="AW42" s="46"/>
      <c r="AX42" s="46"/>
      <c r="AY42" s="46"/>
      <c r="AZ42" s="46"/>
      <c r="BA42" s="46"/>
      <c r="BB42" s="46"/>
      <c r="BC42" s="46"/>
    </row>
    <row r="43" spans="2:55" x14ac:dyDescent="0.25">
      <c r="B43" s="5"/>
      <c r="C43" s="51" t="s">
        <v>51</v>
      </c>
      <c r="D43" s="169">
        <f t="shared" si="0"/>
        <v>0</v>
      </c>
      <c r="E43" s="133"/>
      <c r="F43" s="189"/>
      <c r="G43" s="190"/>
      <c r="H43" s="129"/>
      <c r="I43" s="135"/>
      <c r="J43" s="135"/>
      <c r="K43" s="135"/>
      <c r="L43" s="135"/>
      <c r="M43" s="135"/>
      <c r="N43" s="135"/>
      <c r="O43" s="135"/>
      <c r="P43" s="135"/>
      <c r="Q43" s="135"/>
      <c r="R43" s="135"/>
      <c r="S43" s="62"/>
      <c r="T43" s="65">
        <f>IF('1. ZWB'!R28=0,'1. ZWB'!Q28,'1. ZWB'!R28)</f>
        <v>0</v>
      </c>
      <c r="U43" s="162">
        <f>'1. ZWB'!S28</f>
        <v>0</v>
      </c>
      <c r="V43" s="27"/>
      <c r="W43" s="65">
        <f>IF('2. ZWB'!R28=0,'2. ZWB'!Q28,'2. ZWB'!R28)</f>
        <v>0</v>
      </c>
      <c r="X43" s="162">
        <f>'2. ZWB'!S28</f>
        <v>0</v>
      </c>
      <c r="Y43" s="27"/>
      <c r="Z43" s="65">
        <f>IF('3. ZWB'!R28=0,'3. ZWB'!Q28,'3. ZWB'!R28)</f>
        <v>0</v>
      </c>
      <c r="AA43" s="162">
        <f>'3. ZWB'!S28</f>
        <v>0</v>
      </c>
      <c r="AB43" s="27"/>
      <c r="AC43" s="65">
        <f>IF(EB!R28=0,EB!Q28,EB!R28)</f>
        <v>0</v>
      </c>
      <c r="AD43" s="162">
        <f>EB!S28</f>
        <v>0</v>
      </c>
      <c r="AE43" s="7"/>
    </row>
    <row r="44" spans="2:55" x14ac:dyDescent="0.25">
      <c r="B44" s="5"/>
      <c r="C44" s="51" t="s">
        <v>50</v>
      </c>
      <c r="D44" s="169">
        <f t="shared" si="0"/>
        <v>0</v>
      </c>
      <c r="E44" s="133"/>
      <c r="F44" s="191"/>
      <c r="G44" s="192"/>
      <c r="H44" s="129"/>
      <c r="I44" s="135"/>
      <c r="J44" s="135"/>
      <c r="K44" s="135"/>
      <c r="L44" s="135"/>
      <c r="M44" s="135"/>
      <c r="N44" s="135"/>
      <c r="O44" s="135"/>
      <c r="P44" s="135"/>
      <c r="Q44" s="135"/>
      <c r="R44" s="135"/>
      <c r="S44" s="62"/>
      <c r="T44" s="65">
        <f>IF('1. ZWB'!R29=0,'1. ZWB'!Q29,'1. ZWB'!R29)</f>
        <v>0</v>
      </c>
      <c r="U44" s="162">
        <f>'1. ZWB'!S29</f>
        <v>0</v>
      </c>
      <c r="V44" s="27"/>
      <c r="W44" s="65">
        <f>IF('2. ZWB'!R29=0,'2. ZWB'!Q29,'2. ZWB'!R29)</f>
        <v>0</v>
      </c>
      <c r="X44" s="162">
        <f>'2. ZWB'!S29</f>
        <v>0</v>
      </c>
      <c r="Y44" s="27"/>
      <c r="Z44" s="65">
        <f>IF('3. ZWB'!R29=0,'3. ZWB'!Q29,'3. ZWB'!R29)</f>
        <v>0</v>
      </c>
      <c r="AA44" s="162">
        <f>'3. ZWB'!S29</f>
        <v>0</v>
      </c>
      <c r="AB44" s="27"/>
      <c r="AC44" s="65">
        <f>IF(EB!R29=0,EB!Q29,EB!R29)</f>
        <v>0</v>
      </c>
      <c r="AD44" s="162">
        <f>EB!S29</f>
        <v>0</v>
      </c>
      <c r="AE44" s="7"/>
    </row>
    <row r="45" spans="2:55" x14ac:dyDescent="0.25">
      <c r="B45" s="5"/>
      <c r="C45" s="50" t="s">
        <v>11</v>
      </c>
      <c r="D45" s="169">
        <f t="shared" si="0"/>
        <v>0</v>
      </c>
      <c r="E45" s="66"/>
      <c r="F45" s="187"/>
      <c r="G45" s="188"/>
      <c r="H45" s="129"/>
      <c r="I45" s="78"/>
      <c r="J45" s="78"/>
      <c r="K45" s="78"/>
      <c r="L45" s="78"/>
      <c r="M45" s="78"/>
      <c r="N45" s="78"/>
      <c r="O45" s="78"/>
      <c r="P45" s="78"/>
      <c r="Q45" s="78"/>
      <c r="R45" s="78"/>
      <c r="S45" s="62"/>
      <c r="T45" s="65">
        <f>IF('1. ZWB'!R30=0,'1. ZWB'!Q30,'1. ZWB'!R30)</f>
        <v>0</v>
      </c>
      <c r="U45" s="162">
        <f>'1. ZWB'!S30</f>
        <v>0</v>
      </c>
      <c r="V45" s="26"/>
      <c r="W45" s="65">
        <f>IF('2. ZWB'!R30=0,'2. ZWB'!Q30,'2. ZWB'!R30)</f>
        <v>0</v>
      </c>
      <c r="X45" s="162">
        <f>'2. ZWB'!S30</f>
        <v>0</v>
      </c>
      <c r="Y45" s="26"/>
      <c r="Z45" s="65">
        <f>IF('3. ZWB'!R30=0,'3. ZWB'!Q30,'3. ZWB'!R30)</f>
        <v>0</v>
      </c>
      <c r="AA45" s="162">
        <f>'3. ZWB'!S30</f>
        <v>0</v>
      </c>
      <c r="AB45" s="26"/>
      <c r="AC45" s="65">
        <f>IF(EB!R30=0,EB!Q30,EB!R30)</f>
        <v>0</v>
      </c>
      <c r="AD45" s="162">
        <f>EB!S30</f>
        <v>0</v>
      </c>
      <c r="AE45" s="7"/>
    </row>
    <row r="46" spans="2:55" x14ac:dyDescent="0.25">
      <c r="B46" s="5"/>
      <c r="C46" s="52" t="s">
        <v>62</v>
      </c>
      <c r="D46" s="169">
        <f t="shared" si="0"/>
        <v>0</v>
      </c>
      <c r="E46" s="133"/>
      <c r="F46" s="189"/>
      <c r="G46" s="190"/>
      <c r="H46" s="129"/>
      <c r="I46" s="135"/>
      <c r="J46" s="135"/>
      <c r="K46" s="135"/>
      <c r="L46" s="135"/>
      <c r="M46" s="135"/>
      <c r="N46" s="135"/>
      <c r="O46" s="135"/>
      <c r="P46" s="135"/>
      <c r="Q46" s="135"/>
      <c r="R46" s="135"/>
      <c r="S46" s="62"/>
      <c r="T46" s="65">
        <f>IF('1. ZWB'!R31=0,'1. ZWB'!Q31,'1. ZWB'!R31)</f>
        <v>0</v>
      </c>
      <c r="U46" s="162">
        <f>'1. ZWB'!S31</f>
        <v>0</v>
      </c>
      <c r="V46" s="27"/>
      <c r="W46" s="65">
        <f>IF('2. ZWB'!R31=0,'2. ZWB'!Q31,'2. ZWB'!R31)</f>
        <v>0</v>
      </c>
      <c r="X46" s="162">
        <f>'2. ZWB'!S31</f>
        <v>0</v>
      </c>
      <c r="Y46" s="27"/>
      <c r="Z46" s="65">
        <f>IF('3. ZWB'!R31=0,'3. ZWB'!Q31,'3. ZWB'!R31)</f>
        <v>0</v>
      </c>
      <c r="AA46" s="162">
        <f>'3. ZWB'!S31</f>
        <v>0</v>
      </c>
      <c r="AB46" s="27"/>
      <c r="AC46" s="65">
        <f>IF(EB!R31=0,EB!Q31,EB!R31)</f>
        <v>0</v>
      </c>
      <c r="AD46" s="162">
        <f>EB!S31</f>
        <v>0</v>
      </c>
      <c r="AE46" s="7"/>
    </row>
    <row r="47" spans="2:55" x14ac:dyDescent="0.25">
      <c r="B47" s="5"/>
      <c r="C47" s="52" t="s">
        <v>63</v>
      </c>
      <c r="D47" s="169">
        <f t="shared" si="0"/>
        <v>0</v>
      </c>
      <c r="E47" s="133"/>
      <c r="F47" s="191"/>
      <c r="G47" s="192"/>
      <c r="H47" s="129"/>
      <c r="I47" s="135"/>
      <c r="J47" s="135"/>
      <c r="K47" s="135"/>
      <c r="L47" s="135"/>
      <c r="M47" s="135"/>
      <c r="N47" s="135"/>
      <c r="O47" s="135"/>
      <c r="P47" s="135"/>
      <c r="Q47" s="135"/>
      <c r="R47" s="135"/>
      <c r="S47" s="62"/>
      <c r="T47" s="65">
        <f>IF('1. ZWB'!R32=0,'1. ZWB'!Q32,'1. ZWB'!R32)</f>
        <v>0</v>
      </c>
      <c r="U47" s="162">
        <f>'1. ZWB'!S32</f>
        <v>0</v>
      </c>
      <c r="V47" s="27"/>
      <c r="W47" s="65">
        <f>IF('2. ZWB'!R32=0,'2. ZWB'!Q32,'2. ZWB'!R32)</f>
        <v>0</v>
      </c>
      <c r="X47" s="162">
        <f>'2. ZWB'!S32</f>
        <v>0</v>
      </c>
      <c r="Y47" s="27"/>
      <c r="Z47" s="65">
        <f>IF('3. ZWB'!R32=0,'3. ZWB'!Q32,'3. ZWB'!R32)</f>
        <v>0</v>
      </c>
      <c r="AA47" s="162">
        <f>'3. ZWB'!S32</f>
        <v>0</v>
      </c>
      <c r="AB47" s="27"/>
      <c r="AC47" s="65">
        <f>IF(EB!R32=0,EB!Q32,EB!R32)</f>
        <v>0</v>
      </c>
      <c r="AD47" s="162">
        <f>EB!S32</f>
        <v>0</v>
      </c>
      <c r="AE47" s="7"/>
    </row>
    <row r="48" spans="2:55" ht="45" customHeight="1" x14ac:dyDescent="0.25">
      <c r="B48" s="5"/>
      <c r="C48" s="8" t="s">
        <v>52</v>
      </c>
      <c r="D48" s="85" t="s">
        <v>72</v>
      </c>
      <c r="E48" s="85" t="s">
        <v>126</v>
      </c>
      <c r="F48" s="180" t="s">
        <v>146</v>
      </c>
      <c r="G48" s="180"/>
      <c r="H48" s="129"/>
      <c r="I48" s="86" t="s">
        <v>129</v>
      </c>
      <c r="J48" s="86" t="s">
        <v>130</v>
      </c>
      <c r="K48" s="86" t="s">
        <v>131</v>
      </c>
      <c r="L48" s="86" t="s">
        <v>132</v>
      </c>
      <c r="M48" s="86" t="s">
        <v>133</v>
      </c>
      <c r="N48" s="86" t="s">
        <v>134</v>
      </c>
      <c r="O48" s="86" t="s">
        <v>135</v>
      </c>
      <c r="P48" s="86" t="s">
        <v>136</v>
      </c>
      <c r="Q48" s="86" t="s">
        <v>137</v>
      </c>
      <c r="R48" s="86" t="s">
        <v>138</v>
      </c>
      <c r="S48" s="62"/>
      <c r="T48" s="85" t="s">
        <v>140</v>
      </c>
      <c r="U48" s="161" t="s">
        <v>8</v>
      </c>
      <c r="V48" s="25"/>
      <c r="W48" s="85" t="s">
        <v>141</v>
      </c>
      <c r="X48" s="161" t="s">
        <v>8</v>
      </c>
      <c r="Y48" s="25"/>
      <c r="Z48" s="85" t="s">
        <v>142</v>
      </c>
      <c r="AA48" s="161" t="s">
        <v>8</v>
      </c>
      <c r="AB48" s="25"/>
      <c r="AC48" s="85" t="s">
        <v>143</v>
      </c>
      <c r="AD48" s="161" t="s">
        <v>8</v>
      </c>
      <c r="AE48" s="7"/>
    </row>
    <row r="49" spans="2:31" ht="14.65" customHeight="1" x14ac:dyDescent="0.25">
      <c r="B49" s="5"/>
      <c r="C49" s="50" t="s">
        <v>66</v>
      </c>
      <c r="D49" s="169">
        <f t="shared" si="0"/>
        <v>0</v>
      </c>
      <c r="E49" s="169">
        <f>SUM(E50:E54)</f>
        <v>0</v>
      </c>
      <c r="F49" s="199"/>
      <c r="G49" s="199"/>
      <c r="H49" s="129"/>
      <c r="I49" s="169">
        <f>SUM(I50:I54)</f>
        <v>0</v>
      </c>
      <c r="J49" s="169">
        <f t="shared" ref="J49:R49" si="1">SUM(J50:J54)</f>
        <v>0</v>
      </c>
      <c r="K49" s="169">
        <f t="shared" si="1"/>
        <v>0</v>
      </c>
      <c r="L49" s="169">
        <f t="shared" si="1"/>
        <v>0</v>
      </c>
      <c r="M49" s="169">
        <f t="shared" si="1"/>
        <v>0</v>
      </c>
      <c r="N49" s="169">
        <f t="shared" si="1"/>
        <v>0</v>
      </c>
      <c r="O49" s="169">
        <f t="shared" si="1"/>
        <v>0</v>
      </c>
      <c r="P49" s="169">
        <f t="shared" si="1"/>
        <v>0</v>
      </c>
      <c r="Q49" s="169">
        <f t="shared" si="1"/>
        <v>0</v>
      </c>
      <c r="R49" s="171">
        <f t="shared" si="1"/>
        <v>0</v>
      </c>
      <c r="S49" s="62"/>
      <c r="T49" s="65">
        <f>IF('1. ZWB'!R34=0,'1. ZWB'!Q34,'1. ZWB'!R34)</f>
        <v>0</v>
      </c>
      <c r="U49" s="162">
        <f>'1. ZWB'!S34</f>
        <v>0</v>
      </c>
      <c r="V49" s="28"/>
      <c r="W49" s="65">
        <f>IF('2. ZWB'!R34=0,'2. ZWB'!Q34,'2. ZWB'!R34)</f>
        <v>0</v>
      </c>
      <c r="X49" s="162">
        <f>'2. ZWB'!S34</f>
        <v>0</v>
      </c>
      <c r="Y49" s="28"/>
      <c r="Z49" s="65">
        <f>IF('3. ZWB'!R34=0,'3. ZWB'!Q34,'3. ZWB'!R34)</f>
        <v>0</v>
      </c>
      <c r="AA49" s="162">
        <f>'3. ZWB'!S34</f>
        <v>0</v>
      </c>
      <c r="AB49" s="28"/>
      <c r="AC49" s="65">
        <f>IF(EB!R34=0,EB!Q34,EB!R34)</f>
        <v>0</v>
      </c>
      <c r="AD49" s="162">
        <f>EB!S34</f>
        <v>0</v>
      </c>
      <c r="AE49" s="7"/>
    </row>
    <row r="50" spans="2:31" x14ac:dyDescent="0.25">
      <c r="B50" s="5"/>
      <c r="C50" s="52" t="s">
        <v>39</v>
      </c>
      <c r="D50" s="169">
        <f t="shared" si="0"/>
        <v>0</v>
      </c>
      <c r="E50" s="68"/>
      <c r="F50" s="199"/>
      <c r="G50" s="199"/>
      <c r="H50" s="129"/>
      <c r="I50" s="135"/>
      <c r="J50" s="135"/>
      <c r="K50" s="135"/>
      <c r="L50" s="135"/>
      <c r="M50" s="135"/>
      <c r="N50" s="135"/>
      <c r="O50" s="135"/>
      <c r="P50" s="135"/>
      <c r="Q50" s="135"/>
      <c r="R50" s="135"/>
      <c r="S50" s="62"/>
      <c r="T50" s="65">
        <f>IF('1. ZWB'!R35=0,'1. ZWB'!Q35,'1. ZWB'!R35)</f>
        <v>0</v>
      </c>
      <c r="U50" s="162">
        <f>'1. ZWB'!S35</f>
        <v>0</v>
      </c>
      <c r="V50" s="29"/>
      <c r="W50" s="65">
        <f>IF('2. ZWB'!R35=0,'2. ZWB'!Q35,'2. ZWB'!R35)</f>
        <v>0</v>
      </c>
      <c r="X50" s="162">
        <f>'2. ZWB'!S35</f>
        <v>0</v>
      </c>
      <c r="Y50" s="29"/>
      <c r="Z50" s="65">
        <f>IF('3. ZWB'!R35=0,'3. ZWB'!Q35,'3. ZWB'!R35)</f>
        <v>0</v>
      </c>
      <c r="AA50" s="162">
        <f>'3. ZWB'!S35</f>
        <v>0</v>
      </c>
      <c r="AB50" s="29"/>
      <c r="AC50" s="65">
        <f>IF(EB!R35=0,EB!Q35,EB!R35)</f>
        <v>0</v>
      </c>
      <c r="AD50" s="162">
        <f>EB!S35</f>
        <v>0</v>
      </c>
      <c r="AE50" s="7"/>
    </row>
    <row r="51" spans="2:31" x14ac:dyDescent="0.25">
      <c r="B51" s="5"/>
      <c r="C51" s="52" t="s">
        <v>40</v>
      </c>
      <c r="D51" s="169">
        <f t="shared" si="0"/>
        <v>0</v>
      </c>
      <c r="E51" s="68"/>
      <c r="F51" s="199"/>
      <c r="G51" s="199"/>
      <c r="H51" s="129"/>
      <c r="I51" s="135"/>
      <c r="J51" s="135"/>
      <c r="K51" s="135"/>
      <c r="L51" s="135"/>
      <c r="M51" s="135"/>
      <c r="N51" s="135"/>
      <c r="O51" s="135"/>
      <c r="P51" s="135"/>
      <c r="Q51" s="135"/>
      <c r="R51" s="135"/>
      <c r="S51" s="62"/>
      <c r="T51" s="65">
        <f>IF('1. ZWB'!R36=0,'1. ZWB'!Q36,'1. ZWB'!R36)</f>
        <v>0</v>
      </c>
      <c r="U51" s="162">
        <f>'1. ZWB'!S36</f>
        <v>0</v>
      </c>
      <c r="V51" s="29"/>
      <c r="W51" s="65">
        <f>IF('2. ZWB'!R36=0,'2. ZWB'!Q36,'2. ZWB'!R36)</f>
        <v>0</v>
      </c>
      <c r="X51" s="162">
        <f>'2. ZWB'!S36</f>
        <v>0</v>
      </c>
      <c r="Y51" s="29"/>
      <c r="Z51" s="65">
        <f>IF('3. ZWB'!R36=0,'3. ZWB'!Q36,'3. ZWB'!R36)</f>
        <v>0</v>
      </c>
      <c r="AA51" s="162">
        <f>'3. ZWB'!S36</f>
        <v>0</v>
      </c>
      <c r="AB51" s="29"/>
      <c r="AC51" s="65">
        <f>IF(EB!R36=0,EB!Q36,EB!R36)</f>
        <v>0</v>
      </c>
      <c r="AD51" s="162">
        <f>EB!S36</f>
        <v>0</v>
      </c>
      <c r="AE51" s="7"/>
    </row>
    <row r="52" spans="2:31" x14ac:dyDescent="0.25">
      <c r="B52" s="5"/>
      <c r="C52" s="52" t="s">
        <v>41</v>
      </c>
      <c r="D52" s="169">
        <f t="shared" si="0"/>
        <v>0</v>
      </c>
      <c r="E52" s="68"/>
      <c r="F52" s="199"/>
      <c r="G52" s="199"/>
      <c r="H52" s="129"/>
      <c r="I52" s="135"/>
      <c r="J52" s="135"/>
      <c r="K52" s="135"/>
      <c r="L52" s="135"/>
      <c r="M52" s="135"/>
      <c r="N52" s="135"/>
      <c r="O52" s="135"/>
      <c r="P52" s="135"/>
      <c r="Q52" s="135"/>
      <c r="R52" s="135"/>
      <c r="S52" s="62"/>
      <c r="T52" s="65">
        <f>IF('1. ZWB'!R37=0,'1. ZWB'!Q37,'1. ZWB'!R37)</f>
        <v>0</v>
      </c>
      <c r="U52" s="162">
        <f>'1. ZWB'!S37</f>
        <v>0</v>
      </c>
      <c r="V52" s="29"/>
      <c r="W52" s="65">
        <f>IF('2. ZWB'!R37=0,'2. ZWB'!Q37,'2. ZWB'!R37)</f>
        <v>0</v>
      </c>
      <c r="X52" s="162">
        <f>'2. ZWB'!S37</f>
        <v>0</v>
      </c>
      <c r="Y52" s="29"/>
      <c r="Z52" s="65">
        <f>IF('3. ZWB'!R37=0,'3. ZWB'!Q37,'3. ZWB'!R37)</f>
        <v>0</v>
      </c>
      <c r="AA52" s="162">
        <f>'3. ZWB'!S37</f>
        <v>0</v>
      </c>
      <c r="AB52" s="29"/>
      <c r="AC52" s="65">
        <f>IF(EB!R37=0,EB!Q37,EB!R37)</f>
        <v>0</v>
      </c>
      <c r="AD52" s="162">
        <f>EB!S37</f>
        <v>0</v>
      </c>
      <c r="AE52" s="7"/>
    </row>
    <row r="53" spans="2:31" x14ac:dyDescent="0.25">
      <c r="B53" s="5"/>
      <c r="C53" s="52" t="s">
        <v>42</v>
      </c>
      <c r="D53" s="169">
        <f t="shared" si="0"/>
        <v>0</v>
      </c>
      <c r="E53" s="68"/>
      <c r="F53" s="199"/>
      <c r="G53" s="199"/>
      <c r="H53" s="129"/>
      <c r="I53" s="135"/>
      <c r="J53" s="135"/>
      <c r="K53" s="135"/>
      <c r="L53" s="135"/>
      <c r="M53" s="135"/>
      <c r="N53" s="135"/>
      <c r="O53" s="135"/>
      <c r="P53" s="135"/>
      <c r="Q53" s="135"/>
      <c r="R53" s="135"/>
      <c r="S53" s="62"/>
      <c r="T53" s="65">
        <f>IF('1. ZWB'!R38=0,'1. ZWB'!Q38,'1. ZWB'!R38)</f>
        <v>0</v>
      </c>
      <c r="U53" s="162">
        <f>'1. ZWB'!S38</f>
        <v>0</v>
      </c>
      <c r="V53" s="29"/>
      <c r="W53" s="65">
        <f>IF('2. ZWB'!R38=0,'2. ZWB'!Q38,'2. ZWB'!R38)</f>
        <v>0</v>
      </c>
      <c r="X53" s="162">
        <f>'2. ZWB'!S38</f>
        <v>0</v>
      </c>
      <c r="Y53" s="29"/>
      <c r="Z53" s="65">
        <f>IF('3. ZWB'!R38=0,'3. ZWB'!Q38,'3. ZWB'!R38)</f>
        <v>0</v>
      </c>
      <c r="AA53" s="162">
        <f>'3. ZWB'!S38</f>
        <v>0</v>
      </c>
      <c r="AB53" s="29"/>
      <c r="AC53" s="65">
        <f>IF(EB!R38=0,EB!Q38,EB!R38)</f>
        <v>0</v>
      </c>
      <c r="AD53" s="162">
        <f>EB!S38</f>
        <v>0</v>
      </c>
      <c r="AE53" s="7"/>
    </row>
    <row r="54" spans="2:31" x14ac:dyDescent="0.25">
      <c r="B54" s="5"/>
      <c r="C54" s="52" t="s">
        <v>43</v>
      </c>
      <c r="D54" s="169">
        <f t="shared" si="0"/>
        <v>0</v>
      </c>
      <c r="E54" s="68"/>
      <c r="F54" s="199"/>
      <c r="G54" s="199"/>
      <c r="H54" s="129"/>
      <c r="I54" s="135"/>
      <c r="J54" s="135"/>
      <c r="K54" s="135"/>
      <c r="L54" s="135"/>
      <c r="M54" s="135"/>
      <c r="N54" s="135"/>
      <c r="O54" s="135"/>
      <c r="P54" s="135"/>
      <c r="Q54" s="135"/>
      <c r="R54" s="135"/>
      <c r="S54" s="62"/>
      <c r="T54" s="65">
        <f>IF('1. ZWB'!R39=0,'1. ZWB'!Q39,'1. ZWB'!R39)</f>
        <v>0</v>
      </c>
      <c r="U54" s="162">
        <f>'1. ZWB'!S39</f>
        <v>0</v>
      </c>
      <c r="V54" s="29"/>
      <c r="W54" s="65">
        <f>IF('2. ZWB'!R39=0,'2. ZWB'!Q39,'2. ZWB'!R39)</f>
        <v>0</v>
      </c>
      <c r="X54" s="162">
        <f>'2. ZWB'!S39</f>
        <v>0</v>
      </c>
      <c r="Y54" s="29"/>
      <c r="Z54" s="65">
        <f>IF('3. ZWB'!R39=0,'3. ZWB'!Q39,'3. ZWB'!R39)</f>
        <v>0</v>
      </c>
      <c r="AA54" s="162">
        <f>'3. ZWB'!S39</f>
        <v>0</v>
      </c>
      <c r="AB54" s="29"/>
      <c r="AC54" s="65">
        <f>IF(EB!R39=0,EB!Q39,EB!R39)</f>
        <v>0</v>
      </c>
      <c r="AD54" s="162">
        <f>EB!S39</f>
        <v>0</v>
      </c>
      <c r="AE54" s="7"/>
    </row>
    <row r="55" spans="2:31" x14ac:dyDescent="0.25">
      <c r="B55" s="5"/>
      <c r="C55" s="50" t="s">
        <v>67</v>
      </c>
      <c r="D55" s="169">
        <f t="shared" si="0"/>
        <v>0</v>
      </c>
      <c r="E55" s="67"/>
      <c r="F55" s="199"/>
      <c r="G55" s="199"/>
      <c r="H55" s="129"/>
      <c r="I55" s="78"/>
      <c r="J55" s="78"/>
      <c r="K55" s="78"/>
      <c r="L55" s="78"/>
      <c r="M55" s="78"/>
      <c r="N55" s="78"/>
      <c r="O55" s="78"/>
      <c r="P55" s="78"/>
      <c r="Q55" s="78"/>
      <c r="R55" s="78"/>
      <c r="S55" s="62"/>
      <c r="T55" s="65">
        <f>IF('1. ZWB'!R40=0,'1. ZWB'!Q40,'1. ZWB'!R40)</f>
        <v>0</v>
      </c>
      <c r="U55" s="162">
        <f>'1. ZWB'!S40</f>
        <v>0</v>
      </c>
      <c r="V55" s="29"/>
      <c r="W55" s="65">
        <f>IF('2. ZWB'!R40=0,'2. ZWB'!Q40,'2. ZWB'!R40)</f>
        <v>0</v>
      </c>
      <c r="X55" s="162">
        <f>'2. ZWB'!S40</f>
        <v>0</v>
      </c>
      <c r="Y55" s="29"/>
      <c r="Z55" s="65">
        <f>IF('3. ZWB'!R40=0,'3. ZWB'!Q40,'3. ZWB'!R40)</f>
        <v>0</v>
      </c>
      <c r="AA55" s="162">
        <f>'3. ZWB'!S40</f>
        <v>0</v>
      </c>
      <c r="AB55" s="29"/>
      <c r="AC55" s="65">
        <f>IF(EB!R40=0,EB!Q40,EB!R40)</f>
        <v>0</v>
      </c>
      <c r="AD55" s="162">
        <f>EB!S40</f>
        <v>0</v>
      </c>
      <c r="AE55" s="7"/>
    </row>
    <row r="56" spans="2:31" ht="26.65" customHeight="1" x14ac:dyDescent="0.25">
      <c r="B56" s="5"/>
      <c r="C56" s="50" t="s">
        <v>68</v>
      </c>
      <c r="D56" s="169">
        <f t="shared" si="0"/>
        <v>0</v>
      </c>
      <c r="E56" s="67"/>
      <c r="F56" s="199"/>
      <c r="G56" s="199"/>
      <c r="H56" s="129"/>
      <c r="I56" s="78"/>
      <c r="J56" s="78"/>
      <c r="K56" s="78"/>
      <c r="L56" s="78"/>
      <c r="M56" s="78"/>
      <c r="N56" s="78"/>
      <c r="O56" s="78"/>
      <c r="P56" s="78"/>
      <c r="Q56" s="78"/>
      <c r="R56" s="78"/>
      <c r="S56" s="62"/>
      <c r="T56" s="65">
        <f>IF('1. ZWB'!R41=0,'1. ZWB'!Q41,'1. ZWB'!R41)</f>
        <v>0</v>
      </c>
      <c r="U56" s="162">
        <f>'1. ZWB'!S41</f>
        <v>0</v>
      </c>
      <c r="V56" s="28"/>
      <c r="W56" s="65">
        <f>IF('2. ZWB'!R41=0,'2. ZWB'!Q41,'2. ZWB'!R41)</f>
        <v>0</v>
      </c>
      <c r="X56" s="162">
        <f>'2. ZWB'!S41</f>
        <v>0</v>
      </c>
      <c r="Y56" s="28"/>
      <c r="Z56" s="65">
        <f>IF('3. ZWB'!R41=0,'3. ZWB'!Q41,'3. ZWB'!R41)</f>
        <v>0</v>
      </c>
      <c r="AA56" s="162">
        <f>'3. ZWB'!S41</f>
        <v>0</v>
      </c>
      <c r="AB56" s="28"/>
      <c r="AC56" s="65">
        <f>IF(EB!R41=0,EB!Q41,EB!R41)</f>
        <v>0</v>
      </c>
      <c r="AD56" s="162">
        <f>EB!S41</f>
        <v>0</v>
      </c>
      <c r="AE56" s="7"/>
    </row>
    <row r="57" spans="2:31" ht="14.65" customHeight="1" x14ac:dyDescent="0.25">
      <c r="B57" s="5"/>
      <c r="C57" s="50" t="s">
        <v>25</v>
      </c>
      <c r="D57" s="169">
        <f t="shared" si="0"/>
        <v>0</v>
      </c>
      <c r="E57" s="67"/>
      <c r="F57" s="199"/>
      <c r="G57" s="199"/>
      <c r="H57" s="129"/>
      <c r="I57" s="78"/>
      <c r="J57" s="78"/>
      <c r="K57" s="78"/>
      <c r="L57" s="78"/>
      <c r="M57" s="78"/>
      <c r="N57" s="78"/>
      <c r="O57" s="78"/>
      <c r="P57" s="78"/>
      <c r="Q57" s="78"/>
      <c r="R57" s="78"/>
      <c r="S57" s="62"/>
      <c r="T57" s="65">
        <f>IF('1. ZWB'!R42=0,'1. ZWB'!Q42,'1. ZWB'!R42)</f>
        <v>0</v>
      </c>
      <c r="U57" s="162">
        <f>'1. ZWB'!S42</f>
        <v>0</v>
      </c>
      <c r="V57" s="28"/>
      <c r="W57" s="65">
        <f>IF('2. ZWB'!R42=0,'2. ZWB'!Q42,'2. ZWB'!R42)</f>
        <v>0</v>
      </c>
      <c r="X57" s="162">
        <f>'2. ZWB'!S42</f>
        <v>0</v>
      </c>
      <c r="Y57" s="28"/>
      <c r="Z57" s="65">
        <f>IF('3. ZWB'!R42=0,'3. ZWB'!Q42,'3. ZWB'!R42)</f>
        <v>0</v>
      </c>
      <c r="AA57" s="162">
        <f>'3. ZWB'!S42</f>
        <v>0</v>
      </c>
      <c r="AB57" s="28"/>
      <c r="AC57" s="65">
        <f>IF(EB!R42=0,EB!Q42,EB!R42)</f>
        <v>0</v>
      </c>
      <c r="AD57" s="162">
        <f>EB!S42</f>
        <v>0</v>
      </c>
      <c r="AE57" s="7"/>
    </row>
    <row r="58" spans="2:31" ht="30" x14ac:dyDescent="0.25">
      <c r="B58" s="5"/>
      <c r="C58" s="50" t="s">
        <v>100</v>
      </c>
      <c r="D58" s="169">
        <f t="shared" si="0"/>
        <v>0</v>
      </c>
      <c r="E58" s="67"/>
      <c r="F58" s="199"/>
      <c r="G58" s="199"/>
      <c r="H58" s="129"/>
      <c r="I58" s="78"/>
      <c r="J58" s="78"/>
      <c r="K58" s="78"/>
      <c r="L58" s="78"/>
      <c r="M58" s="78"/>
      <c r="N58" s="78"/>
      <c r="O58" s="78"/>
      <c r="P58" s="78"/>
      <c r="Q58" s="78"/>
      <c r="R58" s="78"/>
      <c r="S58" s="62"/>
      <c r="T58" s="65">
        <f>IF('1. ZWB'!R43=0,'1. ZWB'!Q43,'1. ZWB'!R43)</f>
        <v>0</v>
      </c>
      <c r="U58" s="162">
        <f>'1. ZWB'!S43</f>
        <v>0</v>
      </c>
      <c r="V58" s="28"/>
      <c r="W58" s="65">
        <f>IF('2. ZWB'!R43=0,'2. ZWB'!Q43,'2. ZWB'!R43)</f>
        <v>0</v>
      </c>
      <c r="X58" s="162">
        <f>'2. ZWB'!S43</f>
        <v>0</v>
      </c>
      <c r="Y58" s="28"/>
      <c r="Z58" s="65">
        <f>IF('3. ZWB'!R43=0,'3. ZWB'!Q43,'3. ZWB'!R43)</f>
        <v>0</v>
      </c>
      <c r="AA58" s="162">
        <f>'3. ZWB'!S43</f>
        <v>0</v>
      </c>
      <c r="AB58" s="28"/>
      <c r="AC58" s="65">
        <f>IF(EB!R43=0,EB!Q43,EB!R43)</f>
        <v>0</v>
      </c>
      <c r="AD58" s="162">
        <f>EB!S43</f>
        <v>0</v>
      </c>
      <c r="AE58" s="7"/>
    </row>
    <row r="59" spans="2:31" ht="30" x14ac:dyDescent="0.25">
      <c r="B59" s="5"/>
      <c r="C59" s="52" t="s">
        <v>118</v>
      </c>
      <c r="D59" s="169">
        <f t="shared" si="0"/>
        <v>0</v>
      </c>
      <c r="E59" s="68"/>
      <c r="F59" s="199"/>
      <c r="G59" s="199"/>
      <c r="H59" s="129"/>
      <c r="I59" s="135"/>
      <c r="J59" s="135"/>
      <c r="K59" s="135"/>
      <c r="L59" s="135"/>
      <c r="M59" s="135"/>
      <c r="N59" s="135"/>
      <c r="O59" s="135"/>
      <c r="P59" s="135"/>
      <c r="Q59" s="135"/>
      <c r="R59" s="135"/>
      <c r="S59" s="62"/>
      <c r="T59" s="65">
        <f>IF('1. ZWB'!R44=0,'1. ZWB'!Q44,'1. ZWB'!R44)</f>
        <v>0</v>
      </c>
      <c r="U59" s="162">
        <f>'1. ZWB'!S44</f>
        <v>0</v>
      </c>
      <c r="V59" s="29"/>
      <c r="W59" s="65">
        <f>IF('2. ZWB'!R44=0,'2. ZWB'!Q44,'2. ZWB'!R44)</f>
        <v>0</v>
      </c>
      <c r="X59" s="162">
        <f>'2. ZWB'!S44</f>
        <v>0</v>
      </c>
      <c r="Y59" s="29"/>
      <c r="Z59" s="65">
        <f>IF('3. ZWB'!R44=0,'3. ZWB'!Q44,'3. ZWB'!R44)</f>
        <v>0</v>
      </c>
      <c r="AA59" s="162">
        <f>'3. ZWB'!S44</f>
        <v>0</v>
      </c>
      <c r="AB59" s="29"/>
      <c r="AC59" s="65">
        <f>IF(EB!R44=0,EB!Q44,EB!R44)</f>
        <v>0</v>
      </c>
      <c r="AD59" s="162">
        <f>EB!S44</f>
        <v>0</v>
      </c>
      <c r="AE59" s="7"/>
    </row>
    <row r="60" spans="2:31" x14ac:dyDescent="0.25">
      <c r="B60" s="5"/>
      <c r="C60" s="52" t="s">
        <v>57</v>
      </c>
      <c r="D60" s="169">
        <f t="shared" si="0"/>
        <v>0</v>
      </c>
      <c r="E60" s="68"/>
      <c r="F60" s="199"/>
      <c r="G60" s="199"/>
      <c r="H60" s="129"/>
      <c r="I60" s="135"/>
      <c r="J60" s="135"/>
      <c r="K60" s="135"/>
      <c r="L60" s="135"/>
      <c r="M60" s="135"/>
      <c r="N60" s="135"/>
      <c r="O60" s="135"/>
      <c r="P60" s="135"/>
      <c r="Q60" s="135"/>
      <c r="R60" s="135"/>
      <c r="S60" s="62"/>
      <c r="T60" s="65">
        <f>IF('1. ZWB'!R45=0,'1. ZWB'!Q45,'1. ZWB'!R45)</f>
        <v>0</v>
      </c>
      <c r="U60" s="162">
        <f>'1. ZWB'!S45</f>
        <v>0</v>
      </c>
      <c r="V60" s="29"/>
      <c r="W60" s="65">
        <f>IF('2. ZWB'!R45=0,'2. ZWB'!Q45,'2. ZWB'!R45)</f>
        <v>0</v>
      </c>
      <c r="X60" s="162">
        <f>'2. ZWB'!S45</f>
        <v>0</v>
      </c>
      <c r="Y60" s="29"/>
      <c r="Z60" s="65">
        <f>IF('3. ZWB'!R45=0,'3. ZWB'!Q45,'3. ZWB'!R45)</f>
        <v>0</v>
      </c>
      <c r="AA60" s="162">
        <f>'3. ZWB'!S45</f>
        <v>0</v>
      </c>
      <c r="AB60" s="29"/>
      <c r="AC60" s="65">
        <f>IF(EB!R45=0,EB!Q45,EB!R45)</f>
        <v>0</v>
      </c>
      <c r="AD60" s="162">
        <f>EB!S45</f>
        <v>0</v>
      </c>
      <c r="AE60" s="7"/>
    </row>
    <row r="61" spans="2:31" x14ac:dyDescent="0.25">
      <c r="B61" s="5"/>
      <c r="C61" s="50" t="s">
        <v>44</v>
      </c>
      <c r="D61" s="169">
        <f t="shared" si="0"/>
        <v>0</v>
      </c>
      <c r="E61" s="67"/>
      <c r="F61" s="199"/>
      <c r="G61" s="199"/>
      <c r="H61" s="129"/>
      <c r="I61" s="78"/>
      <c r="J61" s="78"/>
      <c r="K61" s="78"/>
      <c r="L61" s="78"/>
      <c r="M61" s="78"/>
      <c r="N61" s="78"/>
      <c r="O61" s="78"/>
      <c r="P61" s="78"/>
      <c r="Q61" s="78"/>
      <c r="R61" s="78"/>
      <c r="S61" s="62"/>
      <c r="T61" s="65">
        <f>IF('1. ZWB'!R46=0,'1. ZWB'!Q46,'1. ZWB'!R46)</f>
        <v>0</v>
      </c>
      <c r="U61" s="162">
        <f>'1. ZWB'!S46</f>
        <v>0</v>
      </c>
      <c r="V61" s="27"/>
      <c r="W61" s="65">
        <f>IF('2. ZWB'!R46=0,'2. ZWB'!Q46,'2. ZWB'!R46)</f>
        <v>0</v>
      </c>
      <c r="X61" s="162">
        <f>'2. ZWB'!S46</f>
        <v>0</v>
      </c>
      <c r="Y61" s="27"/>
      <c r="Z61" s="65">
        <f>IF('3. ZWB'!R46=0,'3. ZWB'!Q46,'3. ZWB'!R46)</f>
        <v>0</v>
      </c>
      <c r="AA61" s="162">
        <f>'3. ZWB'!S46</f>
        <v>0</v>
      </c>
      <c r="AB61" s="27"/>
      <c r="AC61" s="65">
        <f>IF(EB!R46=0,EB!Q46,EB!R46)</f>
        <v>0</v>
      </c>
      <c r="AD61" s="162">
        <f>EB!S46</f>
        <v>0</v>
      </c>
      <c r="AE61" s="7"/>
    </row>
    <row r="62" spans="2:31" ht="30" x14ac:dyDescent="0.25">
      <c r="B62" s="5"/>
      <c r="C62" s="52" t="s">
        <v>81</v>
      </c>
      <c r="D62" s="169">
        <f t="shared" si="0"/>
        <v>0</v>
      </c>
      <c r="E62" s="68"/>
      <c r="F62" s="199"/>
      <c r="G62" s="199"/>
      <c r="H62" s="129"/>
      <c r="I62" s="135"/>
      <c r="J62" s="135"/>
      <c r="K62" s="135"/>
      <c r="L62" s="135"/>
      <c r="M62" s="135"/>
      <c r="N62" s="135"/>
      <c r="O62" s="135"/>
      <c r="P62" s="135"/>
      <c r="Q62" s="135"/>
      <c r="R62" s="135"/>
      <c r="S62" s="62"/>
      <c r="T62" s="65">
        <f>IF('1. ZWB'!R47=0,'1. ZWB'!Q47,'1. ZWB'!R47)</f>
        <v>0</v>
      </c>
      <c r="U62" s="162">
        <f>'1. ZWB'!S47</f>
        <v>0</v>
      </c>
      <c r="V62" s="27"/>
      <c r="W62" s="65">
        <f>IF('2. ZWB'!R47=0,'2. ZWB'!Q47,'2. ZWB'!R47)</f>
        <v>0</v>
      </c>
      <c r="X62" s="162">
        <f>'2. ZWB'!S47</f>
        <v>0</v>
      </c>
      <c r="Y62" s="27"/>
      <c r="Z62" s="65">
        <f>IF('3. ZWB'!R47=0,'3. ZWB'!Q47,'3. ZWB'!R47)</f>
        <v>0</v>
      </c>
      <c r="AA62" s="162">
        <f>'3. ZWB'!S47</f>
        <v>0</v>
      </c>
      <c r="AB62" s="27"/>
      <c r="AC62" s="65">
        <f>IF(EB!R47=0,EB!Q47,EB!R47)</f>
        <v>0</v>
      </c>
      <c r="AD62" s="162">
        <f>EB!S47</f>
        <v>0</v>
      </c>
      <c r="AE62" s="7"/>
    </row>
    <row r="63" spans="2:31" ht="45" customHeight="1" x14ac:dyDescent="0.25">
      <c r="B63" s="5"/>
      <c r="C63" s="8" t="s">
        <v>147</v>
      </c>
      <c r="D63" s="85" t="s">
        <v>72</v>
      </c>
      <c r="E63" s="85" t="s">
        <v>126</v>
      </c>
      <c r="F63" s="180" t="s">
        <v>146</v>
      </c>
      <c r="G63" s="180"/>
      <c r="H63" s="129"/>
      <c r="I63" s="86" t="s">
        <v>129</v>
      </c>
      <c r="J63" s="86" t="s">
        <v>130</v>
      </c>
      <c r="K63" s="86" t="s">
        <v>131</v>
      </c>
      <c r="L63" s="86" t="s">
        <v>132</v>
      </c>
      <c r="M63" s="86" t="s">
        <v>133</v>
      </c>
      <c r="N63" s="86" t="s">
        <v>134</v>
      </c>
      <c r="O63" s="86" t="s">
        <v>135</v>
      </c>
      <c r="P63" s="86" t="s">
        <v>136</v>
      </c>
      <c r="Q63" s="86" t="s">
        <v>137</v>
      </c>
      <c r="R63" s="86" t="s">
        <v>138</v>
      </c>
      <c r="S63" s="62"/>
      <c r="T63" s="85" t="s">
        <v>140</v>
      </c>
      <c r="U63" s="161" t="s">
        <v>8</v>
      </c>
      <c r="V63" s="25"/>
      <c r="W63" s="85" t="s">
        <v>139</v>
      </c>
      <c r="X63" s="161" t="s">
        <v>8</v>
      </c>
      <c r="Y63" s="25"/>
      <c r="Z63" s="85" t="s">
        <v>142</v>
      </c>
      <c r="AA63" s="161" t="s">
        <v>8</v>
      </c>
      <c r="AB63" s="25"/>
      <c r="AC63" s="85" t="s">
        <v>143</v>
      </c>
      <c r="AD63" s="161" t="s">
        <v>8</v>
      </c>
      <c r="AE63" s="7"/>
    </row>
    <row r="64" spans="2:31" ht="30" x14ac:dyDescent="0.25">
      <c r="B64" s="5"/>
      <c r="C64" s="50" t="s">
        <v>109</v>
      </c>
      <c r="D64" s="169">
        <f t="shared" si="0"/>
        <v>0</v>
      </c>
      <c r="E64" s="67"/>
      <c r="F64" s="181"/>
      <c r="G64" s="182"/>
      <c r="H64" s="129"/>
      <c r="I64" s="78"/>
      <c r="J64" s="78"/>
      <c r="K64" s="78"/>
      <c r="L64" s="78"/>
      <c r="M64" s="78"/>
      <c r="N64" s="78"/>
      <c r="O64" s="78"/>
      <c r="P64" s="78"/>
      <c r="Q64" s="78"/>
      <c r="R64" s="78"/>
      <c r="S64" s="62"/>
      <c r="T64" s="65">
        <f>IF('1. ZWB'!R49=0,'1. ZWB'!Q49,'1. ZWB'!R49)</f>
        <v>0</v>
      </c>
      <c r="U64" s="162">
        <f>'1. ZWB'!S49</f>
        <v>0</v>
      </c>
      <c r="V64" s="27"/>
      <c r="W64" s="65">
        <f>IF('2. ZWB'!R49=0,'2. ZWB'!Q49,'2. ZWB'!R49)</f>
        <v>0</v>
      </c>
      <c r="X64" s="162">
        <f>'2. ZWB'!S49</f>
        <v>0</v>
      </c>
      <c r="Y64" s="27"/>
      <c r="Z64" s="65">
        <f>IF('3. ZWB'!R49=0,'3. ZWB'!Q49,'3. ZWB'!R49)</f>
        <v>0</v>
      </c>
      <c r="AA64" s="162">
        <f>'3. ZWB'!S49</f>
        <v>0</v>
      </c>
      <c r="AB64" s="57"/>
      <c r="AC64" s="65">
        <f>IF(EB!R49=0,EB!Q49,EB!R49)</f>
        <v>0</v>
      </c>
      <c r="AD64" s="162">
        <f>EB!S49</f>
        <v>0</v>
      </c>
      <c r="AE64" s="7"/>
    </row>
    <row r="65" spans="1:78" ht="14.65" customHeight="1" x14ac:dyDescent="0.25">
      <c r="B65" s="5"/>
      <c r="C65" s="49" t="s">
        <v>69</v>
      </c>
      <c r="D65" s="169">
        <f t="shared" si="0"/>
        <v>0</v>
      </c>
      <c r="E65" s="67"/>
      <c r="F65" s="213"/>
      <c r="G65" s="214"/>
      <c r="H65" s="129"/>
      <c r="I65" s="78"/>
      <c r="J65" s="78"/>
      <c r="K65" s="78"/>
      <c r="L65" s="78"/>
      <c r="M65" s="78"/>
      <c r="N65" s="78"/>
      <c r="O65" s="78"/>
      <c r="P65" s="78"/>
      <c r="Q65" s="78"/>
      <c r="R65" s="78"/>
      <c r="S65" s="62"/>
      <c r="T65" s="65">
        <f>IF('1. ZWB'!R50=0,'1. ZWB'!Q50,'1. ZWB'!R50)</f>
        <v>0</v>
      </c>
      <c r="U65" s="162">
        <f>'1. ZWB'!S50</f>
        <v>0</v>
      </c>
      <c r="V65" s="27"/>
      <c r="W65" s="65">
        <f>IF('2. ZWB'!R50=0,'2. ZWB'!Q50,'2. ZWB'!R50)</f>
        <v>0</v>
      </c>
      <c r="X65" s="162">
        <f>'2. ZWB'!S50</f>
        <v>0</v>
      </c>
      <c r="Y65" s="27"/>
      <c r="Z65" s="65">
        <f>IF('3. ZWB'!R50=0,'3. ZWB'!Q50,'3. ZWB'!R50)</f>
        <v>0</v>
      </c>
      <c r="AA65" s="162">
        <f>'3. ZWB'!S50</f>
        <v>0</v>
      </c>
      <c r="AB65" s="57"/>
      <c r="AC65" s="65">
        <f>IF(EB!R50=0,EB!Q50,EB!R50)</f>
        <v>0</v>
      </c>
      <c r="AD65" s="162">
        <f>EB!S50</f>
        <v>0</v>
      </c>
      <c r="AE65" s="7"/>
    </row>
    <row r="66" spans="1:78" x14ac:dyDescent="0.25">
      <c r="B66" s="5"/>
      <c r="C66" s="52" t="s">
        <v>64</v>
      </c>
      <c r="D66" s="169">
        <f t="shared" si="0"/>
        <v>0</v>
      </c>
      <c r="E66" s="68"/>
      <c r="F66" s="215"/>
      <c r="G66" s="216"/>
      <c r="H66" s="129"/>
      <c r="I66" s="135"/>
      <c r="J66" s="135"/>
      <c r="K66" s="135"/>
      <c r="L66" s="135"/>
      <c r="M66" s="135"/>
      <c r="N66" s="135"/>
      <c r="O66" s="135"/>
      <c r="P66" s="135"/>
      <c r="Q66" s="135"/>
      <c r="R66" s="135"/>
      <c r="S66" s="62"/>
      <c r="T66" s="65">
        <f>IF('1. ZWB'!R51=0,'1. ZWB'!Q51,'1. ZWB'!R51)</f>
        <v>0</v>
      </c>
      <c r="U66" s="162">
        <f>'1. ZWB'!S51</f>
        <v>0</v>
      </c>
      <c r="V66" s="57"/>
      <c r="W66" s="65">
        <f>IF('2. ZWB'!R51=0,'2. ZWB'!Q51,'2. ZWB'!R51)</f>
        <v>0</v>
      </c>
      <c r="X66" s="162">
        <f>'2. ZWB'!S51</f>
        <v>0</v>
      </c>
      <c r="Y66" s="27"/>
      <c r="Z66" s="65">
        <f>IF('3. ZWB'!R51=0,'3. ZWB'!Q51,'3. ZWB'!R51)</f>
        <v>0</v>
      </c>
      <c r="AA66" s="162">
        <f>'3. ZWB'!S51</f>
        <v>0</v>
      </c>
      <c r="AB66" s="57"/>
      <c r="AC66" s="65">
        <f>IF(EB!R51=0,EB!Q51,EB!R51)</f>
        <v>0</v>
      </c>
      <c r="AD66" s="162">
        <f>EB!S51</f>
        <v>0</v>
      </c>
      <c r="AE66" s="7"/>
    </row>
    <row r="67" spans="1:78" ht="30" x14ac:dyDescent="0.25">
      <c r="B67" s="5"/>
      <c r="C67" s="49" t="s">
        <v>110</v>
      </c>
      <c r="D67" s="169">
        <f t="shared" si="0"/>
        <v>0</v>
      </c>
      <c r="E67" s="67"/>
      <c r="F67" s="181"/>
      <c r="G67" s="182"/>
      <c r="H67" s="129"/>
      <c r="I67" s="78"/>
      <c r="J67" s="78"/>
      <c r="K67" s="78"/>
      <c r="L67" s="78"/>
      <c r="M67" s="78"/>
      <c r="N67" s="78"/>
      <c r="O67" s="78"/>
      <c r="P67" s="78"/>
      <c r="Q67" s="78"/>
      <c r="R67" s="78"/>
      <c r="S67" s="62"/>
      <c r="T67" s="65">
        <f>IF('1. ZWB'!R52=0,'1. ZWB'!Q52,'1. ZWB'!R52)</f>
        <v>0</v>
      </c>
      <c r="U67" s="162">
        <f>'1. ZWB'!S52</f>
        <v>0</v>
      </c>
      <c r="V67" s="57"/>
      <c r="W67" s="65">
        <f>IF('2. ZWB'!R52=0,'2. ZWB'!Q52,'2. ZWB'!R52)</f>
        <v>0</v>
      </c>
      <c r="X67" s="162">
        <f>'2. ZWB'!S52</f>
        <v>0</v>
      </c>
      <c r="Y67" s="27"/>
      <c r="Z67" s="65">
        <f>IF('3. ZWB'!R52=0,'3. ZWB'!Q52,'3. ZWB'!R52)</f>
        <v>0</v>
      </c>
      <c r="AA67" s="162">
        <f>'3. ZWB'!S52</f>
        <v>0</v>
      </c>
      <c r="AB67" s="57"/>
      <c r="AC67" s="65">
        <f>IF(EB!R52=0,EB!Q52,EB!R52)</f>
        <v>0</v>
      </c>
      <c r="AD67" s="162">
        <f>EB!S52</f>
        <v>0</v>
      </c>
      <c r="AE67" s="7"/>
    </row>
    <row r="68" spans="1:78" ht="14.65" customHeight="1" x14ac:dyDescent="0.25">
      <c r="B68" s="5"/>
      <c r="C68" s="49" t="s">
        <v>53</v>
      </c>
      <c r="D68" s="169">
        <f t="shared" si="0"/>
        <v>0</v>
      </c>
      <c r="E68" s="67"/>
      <c r="F68" s="213"/>
      <c r="G68" s="214"/>
      <c r="H68" s="129"/>
      <c r="I68" s="78"/>
      <c r="J68" s="78"/>
      <c r="K68" s="78"/>
      <c r="L68" s="78"/>
      <c r="M68" s="78"/>
      <c r="N68" s="78"/>
      <c r="O68" s="78"/>
      <c r="P68" s="78"/>
      <c r="Q68" s="78"/>
      <c r="R68" s="78"/>
      <c r="S68" s="62"/>
      <c r="T68" s="65">
        <f>IF('1. ZWB'!R53=0,'1. ZWB'!Q53,'1. ZWB'!R53)</f>
        <v>0</v>
      </c>
      <c r="U68" s="162">
        <f>'1. ZWB'!S53</f>
        <v>0</v>
      </c>
      <c r="V68" s="57"/>
      <c r="W68" s="65">
        <f>IF('2. ZWB'!R53=0,'2. ZWB'!Q53,'2. ZWB'!R53)</f>
        <v>0</v>
      </c>
      <c r="X68" s="162">
        <f>'2. ZWB'!S53</f>
        <v>0</v>
      </c>
      <c r="Y68" s="27"/>
      <c r="Z68" s="65">
        <f>IF('3. ZWB'!R53=0,'3. ZWB'!Q53,'3. ZWB'!R53)</f>
        <v>0</v>
      </c>
      <c r="AA68" s="162">
        <f>'3. ZWB'!S53</f>
        <v>0</v>
      </c>
      <c r="AB68" s="57"/>
      <c r="AC68" s="65">
        <f>IF(EB!R53=0,EB!Q53,EB!R53)</f>
        <v>0</v>
      </c>
      <c r="AD68" s="162">
        <f>EB!S53</f>
        <v>0</v>
      </c>
      <c r="AE68" s="7"/>
    </row>
    <row r="69" spans="1:78" ht="30" x14ac:dyDescent="0.25">
      <c r="B69" s="5"/>
      <c r="C69" s="52" t="s">
        <v>97</v>
      </c>
      <c r="D69" s="169">
        <f t="shared" si="0"/>
        <v>0</v>
      </c>
      <c r="E69" s="68"/>
      <c r="F69" s="217"/>
      <c r="G69" s="218"/>
      <c r="H69" s="129"/>
      <c r="I69" s="135"/>
      <c r="J69" s="135"/>
      <c r="K69" s="135"/>
      <c r="L69" s="135"/>
      <c r="M69" s="135"/>
      <c r="N69" s="135"/>
      <c r="O69" s="135"/>
      <c r="P69" s="135"/>
      <c r="Q69" s="135"/>
      <c r="R69" s="135"/>
      <c r="S69" s="62"/>
      <c r="T69" s="65">
        <f>IF('1. ZWB'!R54=0,'1. ZWB'!Q54,'1. ZWB'!R54)</f>
        <v>0</v>
      </c>
      <c r="U69" s="162">
        <f>'1. ZWB'!S54</f>
        <v>0</v>
      </c>
      <c r="V69" s="57"/>
      <c r="W69" s="65">
        <f>IF('2. ZWB'!R54=0,'2. ZWB'!Q54,'2. ZWB'!R54)</f>
        <v>0</v>
      </c>
      <c r="X69" s="162">
        <f>'2. ZWB'!S54</f>
        <v>0</v>
      </c>
      <c r="Y69" s="57"/>
      <c r="Z69" s="65">
        <f>IF('3. ZWB'!R54=0,'3. ZWB'!Q54,'3. ZWB'!R54)</f>
        <v>0</v>
      </c>
      <c r="AA69" s="162">
        <f>'3. ZWB'!S54</f>
        <v>0</v>
      </c>
      <c r="AB69" s="57"/>
      <c r="AC69" s="65">
        <f>IF(EB!R54=0,EB!Q54,EB!R54)</f>
        <v>0</v>
      </c>
      <c r="AD69" s="162">
        <f>EB!S54</f>
        <v>0</v>
      </c>
      <c r="AE69" s="7"/>
    </row>
    <row r="70" spans="1:78" x14ac:dyDescent="0.25">
      <c r="B70" s="5"/>
      <c r="C70" s="52" t="s">
        <v>65</v>
      </c>
      <c r="D70" s="169">
        <f t="shared" si="0"/>
        <v>0</v>
      </c>
      <c r="E70" s="68"/>
      <c r="F70" s="215"/>
      <c r="G70" s="216"/>
      <c r="H70" s="129"/>
      <c r="I70" s="135"/>
      <c r="J70" s="135"/>
      <c r="K70" s="135"/>
      <c r="L70" s="135"/>
      <c r="M70" s="135"/>
      <c r="N70" s="135"/>
      <c r="O70" s="135"/>
      <c r="P70" s="135"/>
      <c r="Q70" s="135"/>
      <c r="R70" s="135"/>
      <c r="S70" s="62"/>
      <c r="T70" s="65">
        <f>IF('1. ZWB'!R55=0,'1. ZWB'!Q55,'1. ZWB'!R55)</f>
        <v>0</v>
      </c>
      <c r="U70" s="162">
        <f>'1. ZWB'!S55</f>
        <v>0</v>
      </c>
      <c r="V70" s="57"/>
      <c r="W70" s="65">
        <f>IF('2. ZWB'!R55=0,'2. ZWB'!Q55,'2. ZWB'!R55)</f>
        <v>0</v>
      </c>
      <c r="X70" s="162">
        <f>'2. ZWB'!S55</f>
        <v>0</v>
      </c>
      <c r="Y70" s="57"/>
      <c r="Z70" s="65">
        <f>IF('3. ZWB'!R55=0,'3. ZWB'!Q55,'3. ZWB'!R55)</f>
        <v>0</v>
      </c>
      <c r="AA70" s="162">
        <f>'3. ZWB'!S55</f>
        <v>0</v>
      </c>
      <c r="AB70" s="57"/>
      <c r="AC70" s="65">
        <f>IF(EB!R55=0,EB!Q55,EB!R55)</f>
        <v>0</v>
      </c>
      <c r="AD70" s="162">
        <f>EB!S55</f>
        <v>0</v>
      </c>
      <c r="AE70" s="7"/>
      <c r="BD70" s="45"/>
      <c r="BE70" s="45"/>
      <c r="BF70" s="45"/>
      <c r="BG70" s="45"/>
      <c r="BH70" s="45"/>
      <c r="BI70" s="45"/>
      <c r="BJ70" s="45"/>
      <c r="BK70" s="45"/>
      <c r="BL70" s="45"/>
      <c r="BM70" s="45"/>
      <c r="BN70" s="45"/>
      <c r="BO70" s="45"/>
      <c r="BP70" s="45"/>
      <c r="BQ70" s="45"/>
      <c r="BR70" s="45"/>
      <c r="BS70" s="45"/>
      <c r="BT70" s="45"/>
      <c r="BU70" s="45"/>
      <c r="BV70" s="45"/>
      <c r="BW70" s="45"/>
      <c r="BX70" s="45"/>
      <c r="BY70" s="45"/>
      <c r="BZ70" s="45"/>
    </row>
    <row r="71" spans="1:78" x14ac:dyDescent="0.25">
      <c r="B71" s="5"/>
      <c r="C71" s="53" t="s">
        <v>74</v>
      </c>
      <c r="D71" s="169">
        <f t="shared" si="0"/>
        <v>0</v>
      </c>
      <c r="E71" s="67"/>
      <c r="F71" s="213"/>
      <c r="G71" s="214"/>
      <c r="H71" s="129"/>
      <c r="I71" s="78"/>
      <c r="J71" s="78"/>
      <c r="K71" s="78"/>
      <c r="L71" s="78"/>
      <c r="M71" s="78"/>
      <c r="N71" s="78"/>
      <c r="O71" s="78"/>
      <c r="P71" s="78"/>
      <c r="Q71" s="78"/>
      <c r="R71" s="78"/>
      <c r="S71" s="62"/>
      <c r="T71" s="65">
        <f>IF('1. ZWB'!R56=0,'1. ZWB'!Q56,'1. ZWB'!R56)</f>
        <v>0</v>
      </c>
      <c r="U71" s="162">
        <f>'1. ZWB'!S56</f>
        <v>0</v>
      </c>
      <c r="V71" s="22"/>
      <c r="W71" s="65">
        <f>IF('2. ZWB'!R56=0,'2. ZWB'!Q56,'2. ZWB'!R56)</f>
        <v>0</v>
      </c>
      <c r="X71" s="162">
        <f>'2. ZWB'!S56</f>
        <v>0</v>
      </c>
      <c r="Y71" s="22"/>
      <c r="Z71" s="65">
        <f>IF('3. ZWB'!R56=0,'3. ZWB'!Q56,'3. ZWB'!R56)</f>
        <v>0</v>
      </c>
      <c r="AA71" s="162">
        <f>'3. ZWB'!S56</f>
        <v>0</v>
      </c>
      <c r="AB71" s="22"/>
      <c r="AC71" s="65">
        <f>IF(EB!R56=0,EB!Q56,EB!R56)</f>
        <v>0</v>
      </c>
      <c r="AD71" s="162">
        <f>EB!S56</f>
        <v>0</v>
      </c>
      <c r="AE71" s="7"/>
      <c r="BD71" s="45"/>
      <c r="BE71" s="45"/>
      <c r="BF71" s="45"/>
      <c r="BG71" s="45"/>
      <c r="BH71" s="45"/>
      <c r="BI71" s="45"/>
      <c r="BJ71" s="45"/>
      <c r="BK71" s="45"/>
      <c r="BL71" s="45"/>
      <c r="BM71" s="45"/>
      <c r="BN71" s="45"/>
      <c r="BO71" s="45"/>
      <c r="BP71" s="45"/>
      <c r="BQ71" s="45"/>
      <c r="BR71" s="45"/>
      <c r="BS71" s="45"/>
      <c r="BT71" s="45"/>
      <c r="BU71" s="45"/>
      <c r="BV71" s="45"/>
      <c r="BW71" s="45"/>
      <c r="BX71" s="45"/>
      <c r="BY71" s="45"/>
      <c r="BZ71" s="45"/>
    </row>
    <row r="72" spans="1:78" x14ac:dyDescent="0.25">
      <c r="B72" s="5"/>
      <c r="C72" s="75" t="s">
        <v>75</v>
      </c>
      <c r="D72" s="169">
        <f t="shared" si="0"/>
        <v>0</v>
      </c>
      <c r="E72" s="68"/>
      <c r="F72" s="217"/>
      <c r="G72" s="218"/>
      <c r="H72" s="129"/>
      <c r="I72" s="135"/>
      <c r="J72" s="135"/>
      <c r="K72" s="135"/>
      <c r="L72" s="135"/>
      <c r="M72" s="135"/>
      <c r="N72" s="135"/>
      <c r="O72" s="135"/>
      <c r="P72" s="135"/>
      <c r="Q72" s="135"/>
      <c r="R72" s="135"/>
      <c r="S72" s="62"/>
      <c r="T72" s="65">
        <f>IF('1. ZWB'!R57=0,'1. ZWB'!Q57,'1. ZWB'!R57)</f>
        <v>0</v>
      </c>
      <c r="U72" s="162">
        <f>'1. ZWB'!S57</f>
        <v>0</v>
      </c>
      <c r="V72" s="22"/>
      <c r="W72" s="65">
        <f>IF('2. ZWB'!R57=0,'2. ZWB'!Q57,'2. ZWB'!R57)</f>
        <v>0</v>
      </c>
      <c r="X72" s="162">
        <f>'2. ZWB'!S57</f>
        <v>0</v>
      </c>
      <c r="Y72" s="22"/>
      <c r="Z72" s="65">
        <f>IF('3. ZWB'!R57=0,'3. ZWB'!Q57,'3. ZWB'!R57)</f>
        <v>0</v>
      </c>
      <c r="AA72" s="162">
        <f>'3. ZWB'!S57</f>
        <v>0</v>
      </c>
      <c r="AB72" s="22"/>
      <c r="AC72" s="65">
        <f>IF(EB!R57=0,EB!Q57,EB!R57)</f>
        <v>0</v>
      </c>
      <c r="AD72" s="162">
        <f>EB!S57</f>
        <v>0</v>
      </c>
      <c r="AE72" s="7"/>
      <c r="BD72" s="45"/>
      <c r="BE72" s="45"/>
      <c r="BF72" s="45"/>
      <c r="BG72" s="45"/>
      <c r="BH72" s="45"/>
      <c r="BI72" s="45"/>
      <c r="BJ72" s="45"/>
      <c r="BK72" s="45"/>
      <c r="BL72" s="45"/>
      <c r="BM72" s="45"/>
      <c r="BN72" s="45"/>
      <c r="BO72" s="45"/>
      <c r="BP72" s="45"/>
      <c r="BQ72" s="45"/>
      <c r="BR72" s="45"/>
      <c r="BS72" s="45"/>
      <c r="BT72" s="45"/>
      <c r="BU72" s="45"/>
      <c r="BV72" s="45"/>
      <c r="BW72" s="45"/>
      <c r="BX72" s="45"/>
      <c r="BY72" s="45"/>
      <c r="BZ72" s="45"/>
    </row>
    <row r="73" spans="1:78" x14ac:dyDescent="0.25">
      <c r="B73" s="5"/>
      <c r="C73" s="75" t="s">
        <v>76</v>
      </c>
      <c r="D73" s="169">
        <f t="shared" si="0"/>
        <v>0</v>
      </c>
      <c r="E73" s="68"/>
      <c r="F73" s="215"/>
      <c r="G73" s="216"/>
      <c r="H73" s="129"/>
      <c r="I73" s="135"/>
      <c r="J73" s="135"/>
      <c r="K73" s="135"/>
      <c r="L73" s="135"/>
      <c r="M73" s="135"/>
      <c r="N73" s="135"/>
      <c r="O73" s="135"/>
      <c r="P73" s="135"/>
      <c r="Q73" s="135"/>
      <c r="R73" s="135"/>
      <c r="S73" s="62"/>
      <c r="T73" s="65">
        <f>IF('1. ZWB'!R58=0,'1. ZWB'!Q58,'1. ZWB'!R58)</f>
        <v>0</v>
      </c>
      <c r="U73" s="162">
        <f>'1. ZWB'!S58</f>
        <v>0</v>
      </c>
      <c r="V73" s="22"/>
      <c r="W73" s="65">
        <f>IF('2. ZWB'!R58=0,'2. ZWB'!Q58,'2. ZWB'!R58)</f>
        <v>0</v>
      </c>
      <c r="X73" s="162">
        <f>'2. ZWB'!S58</f>
        <v>0</v>
      </c>
      <c r="Y73" s="22"/>
      <c r="Z73" s="65">
        <f>IF('3. ZWB'!R58=0,'3. ZWB'!Q58,'3. ZWB'!R58)</f>
        <v>0</v>
      </c>
      <c r="AA73" s="162">
        <f>'3. ZWB'!S58</f>
        <v>0</v>
      </c>
      <c r="AB73" s="22"/>
      <c r="AC73" s="65">
        <f>IF(EB!R58=0,EB!Q58,EB!R58)</f>
        <v>0</v>
      </c>
      <c r="AD73" s="162">
        <f>EB!S58</f>
        <v>0</v>
      </c>
      <c r="AE73" s="7"/>
      <c r="BD73" s="45"/>
      <c r="BE73" s="45"/>
      <c r="BF73" s="45"/>
      <c r="BG73" s="45"/>
      <c r="BH73" s="45"/>
      <c r="BI73" s="45"/>
      <c r="BJ73" s="45"/>
      <c r="BK73" s="45"/>
      <c r="BL73" s="45"/>
      <c r="BM73" s="45"/>
      <c r="BN73" s="45"/>
      <c r="BO73" s="45"/>
      <c r="BP73" s="45"/>
      <c r="BQ73" s="45"/>
      <c r="BR73" s="45"/>
      <c r="BS73" s="45"/>
      <c r="BT73" s="45"/>
      <c r="BU73" s="45"/>
      <c r="BV73" s="45"/>
      <c r="BW73" s="45"/>
      <c r="BX73" s="45"/>
      <c r="BY73" s="45"/>
      <c r="BZ73" s="45"/>
    </row>
    <row r="74" spans="1:78" ht="18" customHeight="1" x14ac:dyDescent="0.25">
      <c r="B74" s="5"/>
      <c r="C74" s="80" t="s">
        <v>127</v>
      </c>
      <c r="D74" s="169">
        <f t="shared" si="0"/>
        <v>0</v>
      </c>
      <c r="E74" s="67"/>
      <c r="F74" s="181"/>
      <c r="G74" s="182"/>
      <c r="H74" s="129"/>
      <c r="I74" s="78"/>
      <c r="J74" s="78"/>
      <c r="K74" s="78"/>
      <c r="L74" s="78"/>
      <c r="M74" s="78"/>
      <c r="N74" s="78"/>
      <c r="O74" s="78"/>
      <c r="P74" s="78"/>
      <c r="Q74" s="78"/>
      <c r="R74" s="78"/>
      <c r="S74" s="62"/>
      <c r="T74" s="65">
        <f>IF('1. ZWB'!R59=0,'1. ZWB'!Q59,'1. ZWB'!R59)</f>
        <v>0</v>
      </c>
      <c r="U74" s="162">
        <f>'1. ZWB'!S59</f>
        <v>0</v>
      </c>
      <c r="V74" s="22"/>
      <c r="W74" s="65">
        <f>IF('2. ZWB'!R59=0,'2. ZWB'!Q59,'2. ZWB'!R59)</f>
        <v>0</v>
      </c>
      <c r="X74" s="162">
        <f>'2. ZWB'!S59</f>
        <v>0</v>
      </c>
      <c r="Y74" s="22"/>
      <c r="Z74" s="65">
        <f>IF('3. ZWB'!R59=0,'3. ZWB'!Q59,'3. ZWB'!R59)</f>
        <v>0</v>
      </c>
      <c r="AA74" s="162">
        <f>'3. ZWB'!S59</f>
        <v>0</v>
      </c>
      <c r="AB74" s="22"/>
      <c r="AC74" s="65">
        <f>IF(EB!R59=0,EB!Q59,EB!R59)</f>
        <v>0</v>
      </c>
      <c r="AD74" s="162">
        <f>EB!S59</f>
        <v>0</v>
      </c>
      <c r="AE74" s="7"/>
      <c r="BD74" s="45"/>
      <c r="BE74" s="45"/>
      <c r="BF74" s="45"/>
      <c r="BG74" s="45"/>
      <c r="BH74" s="45"/>
      <c r="BI74" s="45"/>
      <c r="BJ74" s="45"/>
      <c r="BK74" s="45"/>
      <c r="BL74" s="45"/>
      <c r="BM74" s="45"/>
      <c r="BN74" s="45"/>
      <c r="BO74" s="45"/>
      <c r="BP74" s="45"/>
      <c r="BQ74" s="45"/>
      <c r="BR74" s="45"/>
      <c r="BS74" s="45"/>
      <c r="BT74" s="45"/>
      <c r="BU74" s="45"/>
      <c r="BV74" s="45"/>
      <c r="BW74" s="45"/>
      <c r="BX74" s="45"/>
      <c r="BY74" s="45"/>
      <c r="BZ74" s="45"/>
    </row>
    <row r="75" spans="1:78" ht="18" customHeight="1" x14ac:dyDescent="0.25">
      <c r="B75" s="5"/>
      <c r="C75" s="80" t="s">
        <v>127</v>
      </c>
      <c r="D75" s="169">
        <f t="shared" si="0"/>
        <v>0</v>
      </c>
      <c r="E75" s="67"/>
      <c r="F75" s="181"/>
      <c r="G75" s="182"/>
      <c r="H75" s="129"/>
      <c r="I75" s="78"/>
      <c r="J75" s="78"/>
      <c r="K75" s="78"/>
      <c r="L75" s="78"/>
      <c r="M75" s="78"/>
      <c r="N75" s="78"/>
      <c r="O75" s="78"/>
      <c r="P75" s="78"/>
      <c r="Q75" s="78"/>
      <c r="R75" s="78"/>
      <c r="S75" s="62"/>
      <c r="T75" s="65">
        <f>IF('1. ZWB'!R60=0,'1. ZWB'!Q60,'1. ZWB'!R60)</f>
        <v>0</v>
      </c>
      <c r="U75" s="162">
        <f>'1. ZWB'!S60</f>
        <v>0</v>
      </c>
      <c r="V75" s="22"/>
      <c r="W75" s="65">
        <f>IF('2. ZWB'!R60=0,'2. ZWB'!Q60,'2. ZWB'!R60)</f>
        <v>0</v>
      </c>
      <c r="X75" s="162">
        <f>'2. ZWB'!S60</f>
        <v>0</v>
      </c>
      <c r="Y75" s="22"/>
      <c r="Z75" s="65">
        <f>IF('3. ZWB'!R60=0,'3. ZWB'!Q60,'3. ZWB'!R60)</f>
        <v>0</v>
      </c>
      <c r="AA75" s="162">
        <f>'3. ZWB'!S60</f>
        <v>0</v>
      </c>
      <c r="AB75" s="22"/>
      <c r="AC75" s="65">
        <f>IF(EB!R60=0,EB!Q60,EB!R60)</f>
        <v>0</v>
      </c>
      <c r="AD75" s="162">
        <f>EB!S60</f>
        <v>0</v>
      </c>
      <c r="AE75" s="7"/>
      <c r="BD75" s="45"/>
      <c r="BE75" s="45"/>
      <c r="BF75" s="45"/>
      <c r="BG75" s="45"/>
      <c r="BH75" s="45"/>
      <c r="BI75" s="45"/>
      <c r="BJ75" s="45"/>
      <c r="BK75" s="45"/>
      <c r="BL75" s="45"/>
      <c r="BM75" s="45"/>
      <c r="BN75" s="45"/>
      <c r="BO75" s="45"/>
      <c r="BP75" s="45"/>
      <c r="BQ75" s="45"/>
      <c r="BR75" s="45"/>
      <c r="BS75" s="45"/>
      <c r="BT75" s="45"/>
      <c r="BU75" s="45"/>
      <c r="BV75" s="45"/>
      <c r="BW75" s="45"/>
      <c r="BX75" s="45"/>
      <c r="BY75" s="45"/>
      <c r="BZ75" s="45"/>
    </row>
    <row r="76" spans="1:78" s="30" customFormat="1" x14ac:dyDescent="0.25">
      <c r="A76" s="4"/>
      <c r="B76" s="81"/>
      <c r="E76" s="153"/>
      <c r="F76" s="129"/>
      <c r="G76" s="155"/>
      <c r="H76" s="129"/>
      <c r="I76" s="106"/>
      <c r="J76" s="106"/>
      <c r="K76" s="106"/>
      <c r="L76" s="106"/>
      <c r="M76" s="106"/>
      <c r="N76" s="106"/>
      <c r="O76" s="106"/>
      <c r="P76" s="106"/>
      <c r="Q76" s="106"/>
      <c r="R76" s="106"/>
      <c r="S76" s="62"/>
      <c r="T76" s="63"/>
      <c r="U76" s="108"/>
      <c r="V76" s="22"/>
      <c r="W76" s="63"/>
      <c r="X76" s="108"/>
      <c r="Y76" s="22"/>
      <c r="Z76" s="63"/>
      <c r="AA76" s="108"/>
      <c r="AB76" s="22"/>
      <c r="AC76" s="63"/>
      <c r="AD76" s="108"/>
      <c r="AE76" s="31"/>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5"/>
      <c r="BE76" s="45"/>
      <c r="BF76" s="45"/>
      <c r="BG76" s="45"/>
      <c r="BH76" s="45"/>
      <c r="BI76" s="45"/>
      <c r="BJ76" s="45"/>
      <c r="BK76" s="45"/>
      <c r="BL76" s="45"/>
      <c r="BM76" s="45"/>
      <c r="BN76" s="45"/>
      <c r="BO76" s="45"/>
      <c r="BP76" s="45"/>
      <c r="BQ76" s="45"/>
      <c r="BR76" s="45"/>
      <c r="BS76" s="45"/>
      <c r="BT76" s="45"/>
      <c r="BU76" s="45"/>
      <c r="BV76" s="45"/>
      <c r="BW76" s="45"/>
      <c r="BX76" s="45"/>
      <c r="BY76" s="45"/>
      <c r="BZ76" s="45"/>
    </row>
    <row r="77" spans="1:78" ht="45" customHeight="1" x14ac:dyDescent="0.25">
      <c r="B77" s="5"/>
      <c r="C77" s="8" t="s">
        <v>30</v>
      </c>
      <c r="D77" s="85" t="s">
        <v>72</v>
      </c>
      <c r="E77" s="85" t="s">
        <v>126</v>
      </c>
      <c r="F77" s="180" t="s">
        <v>146</v>
      </c>
      <c r="G77" s="180"/>
      <c r="H77" s="129"/>
      <c r="I77" s="86" t="s">
        <v>129</v>
      </c>
      <c r="J77" s="86" t="s">
        <v>130</v>
      </c>
      <c r="K77" s="86" t="s">
        <v>131</v>
      </c>
      <c r="L77" s="86" t="s">
        <v>132</v>
      </c>
      <c r="M77" s="86" t="s">
        <v>133</v>
      </c>
      <c r="N77" s="86" t="s">
        <v>134</v>
      </c>
      <c r="O77" s="86" t="s">
        <v>135</v>
      </c>
      <c r="P77" s="86" t="s">
        <v>136</v>
      </c>
      <c r="Q77" s="86" t="s">
        <v>137</v>
      </c>
      <c r="R77" s="86" t="s">
        <v>138</v>
      </c>
      <c r="S77" s="62"/>
      <c r="T77" s="85" t="s">
        <v>140</v>
      </c>
      <c r="U77" s="161" t="s">
        <v>8</v>
      </c>
      <c r="V77" s="25"/>
      <c r="W77" s="85" t="s">
        <v>139</v>
      </c>
      <c r="X77" s="161" t="s">
        <v>8</v>
      </c>
      <c r="Y77" s="25"/>
      <c r="Z77" s="85" t="s">
        <v>142</v>
      </c>
      <c r="AA77" s="161" t="s">
        <v>8</v>
      </c>
      <c r="AB77" s="25"/>
      <c r="AC77" s="85" t="s">
        <v>143</v>
      </c>
      <c r="AD77" s="161" t="s">
        <v>8</v>
      </c>
      <c r="AE77" s="7"/>
      <c r="BD77" s="45"/>
      <c r="BE77" s="45"/>
      <c r="BF77" s="45"/>
      <c r="BG77" s="45"/>
      <c r="BH77" s="45"/>
      <c r="BI77" s="45"/>
      <c r="BJ77" s="45"/>
      <c r="BK77" s="45"/>
      <c r="BL77" s="45"/>
      <c r="BM77" s="45"/>
      <c r="BN77" s="45"/>
      <c r="BO77" s="45"/>
      <c r="BP77" s="45"/>
      <c r="BQ77" s="45"/>
      <c r="BR77" s="45"/>
      <c r="BS77" s="45"/>
      <c r="BT77" s="45"/>
      <c r="BU77" s="45"/>
      <c r="BV77" s="45"/>
      <c r="BW77" s="45"/>
      <c r="BX77" s="45"/>
      <c r="BY77" s="45"/>
      <c r="BZ77" s="45"/>
    </row>
    <row r="78" spans="1:78" ht="13.15" customHeight="1" x14ac:dyDescent="0.25">
      <c r="B78" s="5"/>
      <c r="C78" s="53" t="s">
        <v>99</v>
      </c>
      <c r="D78" s="178"/>
      <c r="E78" s="178"/>
      <c r="F78" s="178"/>
      <c r="G78" s="179"/>
      <c r="H78" s="129"/>
      <c r="I78" s="205"/>
      <c r="J78" s="178"/>
      <c r="K78" s="178"/>
      <c r="L78" s="178"/>
      <c r="M78" s="178"/>
      <c r="N78" s="178"/>
      <c r="O78" s="178"/>
      <c r="P78" s="178"/>
      <c r="Q78" s="178"/>
      <c r="R78" s="179"/>
      <c r="S78" s="62"/>
      <c r="T78" s="203"/>
      <c r="U78" s="204"/>
      <c r="V78" s="70"/>
      <c r="W78" s="203"/>
      <c r="X78" s="204"/>
      <c r="Y78" s="70"/>
      <c r="Z78" s="203"/>
      <c r="AA78" s="204"/>
      <c r="AB78" s="70"/>
      <c r="AC78" s="203"/>
      <c r="AD78" s="204"/>
      <c r="AE78" s="7"/>
    </row>
    <row r="79" spans="1:78" x14ac:dyDescent="0.25">
      <c r="B79" s="5"/>
      <c r="C79" s="75" t="s">
        <v>36</v>
      </c>
      <c r="D79" s="178"/>
      <c r="E79" s="178"/>
      <c r="F79" s="178"/>
      <c r="G79" s="179"/>
      <c r="H79" s="129"/>
      <c r="I79" s="200"/>
      <c r="J79" s="201"/>
      <c r="K79" s="201"/>
      <c r="L79" s="201"/>
      <c r="M79" s="201"/>
      <c r="N79" s="201"/>
      <c r="O79" s="201"/>
      <c r="P79" s="201"/>
      <c r="Q79" s="201"/>
      <c r="R79" s="202"/>
      <c r="S79" s="62"/>
      <c r="T79" s="65">
        <f>IF('1. ZWB'!R64=0,'1. ZWB'!Q64,'1. ZWB'!R64)</f>
        <v>9</v>
      </c>
      <c r="U79" s="237"/>
      <c r="V79" s="70"/>
      <c r="W79" s="65">
        <f>IF('2. ZWB'!R64=0,'2. ZWB'!Q64,'2. ZWB'!R64)</f>
        <v>12</v>
      </c>
      <c r="X79" s="237"/>
      <c r="Y79" s="70"/>
      <c r="Z79" s="65">
        <f>IF('3. ZWB'!R64=0,'3. ZWB'!Q64,'3. ZWB'!R64)</f>
        <v>18</v>
      </c>
      <c r="AA79" s="237"/>
      <c r="AB79" s="70"/>
      <c r="AC79" s="65">
        <f>IF(EB!R64=0,EB!Q64,EB!R64)</f>
        <v>21</v>
      </c>
      <c r="AD79" s="237"/>
      <c r="AE79" s="7"/>
    </row>
    <row r="80" spans="1:78" x14ac:dyDescent="0.25">
      <c r="B80" s="5"/>
      <c r="C80" s="75" t="s">
        <v>35</v>
      </c>
      <c r="D80" s="178"/>
      <c r="E80" s="178"/>
      <c r="F80" s="178"/>
      <c r="G80" s="179"/>
      <c r="H80" s="129"/>
      <c r="I80" s="200"/>
      <c r="J80" s="201"/>
      <c r="K80" s="201"/>
      <c r="L80" s="201"/>
      <c r="M80" s="201"/>
      <c r="N80" s="201"/>
      <c r="O80" s="201"/>
      <c r="P80" s="201"/>
      <c r="Q80" s="201"/>
      <c r="R80" s="202"/>
      <c r="S80" s="62"/>
      <c r="T80" s="65">
        <f>IF('1. ZWB'!R65=0,'1. ZWB'!Q65,'1. ZWB'!R65)</f>
        <v>25</v>
      </c>
      <c r="U80" s="238"/>
      <c r="V80" s="70"/>
      <c r="W80" s="65">
        <f>IF('2. ZWB'!R65=0,'2. ZWB'!Q65,'2. ZWB'!R65)</f>
        <v>34</v>
      </c>
      <c r="X80" s="238"/>
      <c r="Y80" s="70"/>
      <c r="Z80" s="65">
        <f>IF('3. ZWB'!R65=0,'3. ZWB'!Q65,'3. ZWB'!R65)</f>
        <v>44</v>
      </c>
      <c r="AA80" s="238"/>
      <c r="AB80" s="70"/>
      <c r="AC80" s="65">
        <f>IF(EB!R65=0,EB!Q65,EB!R65)</f>
        <v>48</v>
      </c>
      <c r="AD80" s="238"/>
      <c r="AE80" s="7"/>
    </row>
    <row r="81" spans="2:31" x14ac:dyDescent="0.25">
      <c r="B81" s="5"/>
      <c r="C81" s="75" t="s">
        <v>102</v>
      </c>
      <c r="D81" s="178"/>
      <c r="E81" s="178"/>
      <c r="F81" s="178"/>
      <c r="G81" s="179"/>
      <c r="H81" s="129"/>
      <c r="I81" s="200"/>
      <c r="J81" s="201"/>
      <c r="K81" s="201"/>
      <c r="L81" s="201"/>
      <c r="M81" s="201"/>
      <c r="N81" s="201"/>
      <c r="O81" s="201"/>
      <c r="P81" s="201"/>
      <c r="Q81" s="201"/>
      <c r="R81" s="202"/>
      <c r="S81" s="62"/>
      <c r="T81" s="65">
        <f>IF('1. ZWB'!R66=0,'1. ZWB'!Q66,'1. ZWB'!R66)</f>
        <v>3</v>
      </c>
      <c r="U81" s="238"/>
      <c r="V81" s="70"/>
      <c r="W81" s="65">
        <f>IF('2. ZWB'!R66=0,'2. ZWB'!Q66,'2. ZWB'!R66)</f>
        <v>3</v>
      </c>
      <c r="X81" s="238"/>
      <c r="Y81" s="70"/>
      <c r="Z81" s="65">
        <f>IF('3. ZWB'!R66=0,'3. ZWB'!Q66,'3. ZWB'!R66)</f>
        <v>4</v>
      </c>
      <c r="AA81" s="238"/>
      <c r="AB81" s="70"/>
      <c r="AC81" s="65">
        <f>IF(EB!R66=0,EB!Q66,EB!R66)</f>
        <v>4</v>
      </c>
      <c r="AD81" s="238"/>
      <c r="AE81" s="7"/>
    </row>
    <row r="82" spans="2:31" x14ac:dyDescent="0.25">
      <c r="B82" s="5"/>
      <c r="C82" s="75" t="s">
        <v>88</v>
      </c>
      <c r="D82" s="178"/>
      <c r="E82" s="178"/>
      <c r="F82" s="178"/>
      <c r="G82" s="179"/>
      <c r="H82" s="129"/>
      <c r="I82" s="200"/>
      <c r="J82" s="201"/>
      <c r="K82" s="201"/>
      <c r="L82" s="201"/>
      <c r="M82" s="201"/>
      <c r="N82" s="201"/>
      <c r="O82" s="201"/>
      <c r="P82" s="201"/>
      <c r="Q82" s="201"/>
      <c r="R82" s="202"/>
      <c r="S82" s="62"/>
      <c r="T82" s="65">
        <f>IF('1. ZWB'!R67=0,'1. ZWB'!Q67,'1. ZWB'!R67)</f>
        <v>3</v>
      </c>
      <c r="U82" s="238"/>
      <c r="V82" s="70"/>
      <c r="W82" s="65">
        <f>IF('2. ZWB'!R67=0,'2. ZWB'!Q67,'2. ZWB'!R67)</f>
        <v>3</v>
      </c>
      <c r="X82" s="238"/>
      <c r="Y82" s="70"/>
      <c r="Z82" s="65">
        <f>IF('3. ZWB'!R67=0,'3. ZWB'!Q67,'3. ZWB'!R67)</f>
        <v>4</v>
      </c>
      <c r="AA82" s="238"/>
      <c r="AB82" s="70"/>
      <c r="AC82" s="65">
        <f>IF(EB!R67=0,EB!Q67,EB!R67)</f>
        <v>4</v>
      </c>
      <c r="AD82" s="238"/>
      <c r="AE82" s="7"/>
    </row>
    <row r="83" spans="2:31" ht="13.15" customHeight="1" x14ac:dyDescent="0.25">
      <c r="B83" s="5"/>
      <c r="C83" s="75" t="s">
        <v>87</v>
      </c>
      <c r="D83" s="178"/>
      <c r="E83" s="178"/>
      <c r="F83" s="178"/>
      <c r="G83" s="179"/>
      <c r="H83" s="129"/>
      <c r="I83" s="200"/>
      <c r="J83" s="201"/>
      <c r="K83" s="201"/>
      <c r="L83" s="201"/>
      <c r="M83" s="201"/>
      <c r="N83" s="201"/>
      <c r="O83" s="201"/>
      <c r="P83" s="201"/>
      <c r="Q83" s="201"/>
      <c r="R83" s="202"/>
      <c r="S83" s="62"/>
      <c r="T83" s="65">
        <f>IF('1. ZWB'!R68=0,'1. ZWB'!Q68,'1. ZWB'!R68)</f>
        <v>2</v>
      </c>
      <c r="U83" s="238"/>
      <c r="V83" s="70"/>
      <c r="W83" s="65">
        <f>IF('2. ZWB'!R68=0,'2. ZWB'!Q68,'2. ZWB'!R68)</f>
        <v>3</v>
      </c>
      <c r="X83" s="238"/>
      <c r="Y83" s="70"/>
      <c r="Z83" s="65">
        <f>IF('3. ZWB'!R68=0,'3. ZWB'!Q68,'3. ZWB'!R68)</f>
        <v>4</v>
      </c>
      <c r="AA83" s="238"/>
      <c r="AB83" s="70"/>
      <c r="AC83" s="65">
        <f>IF(EB!R68=0,EB!Q68,EB!R68)</f>
        <v>5</v>
      </c>
      <c r="AD83" s="238"/>
      <c r="AE83" s="7"/>
    </row>
    <row r="84" spans="2:31" x14ac:dyDescent="0.25">
      <c r="B84" s="5"/>
      <c r="C84" s="75" t="s">
        <v>37</v>
      </c>
      <c r="D84" s="178"/>
      <c r="E84" s="178"/>
      <c r="F84" s="178"/>
      <c r="G84" s="179"/>
      <c r="H84" s="129"/>
      <c r="I84" s="200"/>
      <c r="J84" s="201"/>
      <c r="K84" s="201"/>
      <c r="L84" s="201"/>
      <c r="M84" s="201"/>
      <c r="N84" s="201"/>
      <c r="O84" s="201"/>
      <c r="P84" s="201"/>
      <c r="Q84" s="201"/>
      <c r="R84" s="202"/>
      <c r="S84" s="62"/>
      <c r="T84" s="65">
        <f>IF('1. ZWB'!R69=0,'1. ZWB'!Q69,'1. ZWB'!R69)</f>
        <v>0</v>
      </c>
      <c r="U84" s="238"/>
      <c r="V84" s="70"/>
      <c r="W84" s="65">
        <f>IF('2. ZWB'!R69=0,'2. ZWB'!Q69,'2. ZWB'!R69)</f>
        <v>0</v>
      </c>
      <c r="X84" s="238"/>
      <c r="Y84" s="70"/>
      <c r="Z84" s="65">
        <f>IF('3. ZWB'!R69=0,'3. ZWB'!Q69,'3. ZWB'!R69)</f>
        <v>0</v>
      </c>
      <c r="AA84" s="238"/>
      <c r="AB84" s="70"/>
      <c r="AC84" s="65">
        <f>IF(EB!R69=0,EB!Q69,EB!R69)</f>
        <v>0</v>
      </c>
      <c r="AD84" s="238"/>
      <c r="AE84" s="7"/>
    </row>
    <row r="85" spans="2:31" x14ac:dyDescent="0.25">
      <c r="B85" s="5"/>
      <c r="C85" s="75" t="s">
        <v>103</v>
      </c>
      <c r="D85" s="178"/>
      <c r="E85" s="178"/>
      <c r="F85" s="178"/>
      <c r="G85" s="179"/>
      <c r="H85" s="129"/>
      <c r="I85" s="200"/>
      <c r="J85" s="201"/>
      <c r="K85" s="201"/>
      <c r="L85" s="201"/>
      <c r="M85" s="201"/>
      <c r="N85" s="201"/>
      <c r="O85" s="201"/>
      <c r="P85" s="201"/>
      <c r="Q85" s="201"/>
      <c r="R85" s="202"/>
      <c r="S85" s="62"/>
      <c r="T85" s="65">
        <f>IF('1. ZWB'!R70=0,'1. ZWB'!Q64,'1. ZWB'!R70)</f>
        <v>42</v>
      </c>
      <c r="U85" s="239"/>
      <c r="V85" s="70"/>
      <c r="W85" s="65">
        <f>IF('2. ZWB'!R70=0,'2. ZWB'!Q70,'2. ZWB'!R70)</f>
        <v>55</v>
      </c>
      <c r="X85" s="239"/>
      <c r="Y85" s="70"/>
      <c r="Z85" s="65">
        <f>IF('3. ZWB'!R70=0,'3. ZWB'!Q70,'3. ZWB'!R70)</f>
        <v>74</v>
      </c>
      <c r="AA85" s="239"/>
      <c r="AB85" s="70"/>
      <c r="AC85" s="65">
        <f>IF(EB!R70=0,EB!Q70,EB!R70)</f>
        <v>82</v>
      </c>
      <c r="AD85" s="239"/>
      <c r="AE85" s="7"/>
    </row>
    <row r="86" spans="2:31" ht="14.65" customHeight="1" x14ac:dyDescent="0.25">
      <c r="B86" s="5"/>
      <c r="C86" s="53" t="s">
        <v>92</v>
      </c>
      <c r="D86" s="178"/>
      <c r="E86" s="178"/>
      <c r="F86" s="178"/>
      <c r="G86" s="179"/>
      <c r="H86" s="129"/>
      <c r="I86" s="200"/>
      <c r="J86" s="201"/>
      <c r="K86" s="201"/>
      <c r="L86" s="201"/>
      <c r="M86" s="201"/>
      <c r="N86" s="201"/>
      <c r="O86" s="201"/>
      <c r="P86" s="201"/>
      <c r="Q86" s="201"/>
      <c r="R86" s="202"/>
      <c r="S86" s="62"/>
      <c r="T86" s="203"/>
      <c r="U86" s="204"/>
      <c r="V86" s="70"/>
      <c r="W86" s="203"/>
      <c r="X86" s="204"/>
      <c r="Y86" s="70"/>
      <c r="Z86" s="203"/>
      <c r="AA86" s="204"/>
      <c r="AB86" s="70"/>
      <c r="AC86" s="203"/>
      <c r="AD86" s="204"/>
      <c r="AE86" s="7"/>
    </row>
    <row r="87" spans="2:31" x14ac:dyDescent="0.25">
      <c r="B87" s="5"/>
      <c r="C87" s="75" t="s">
        <v>111</v>
      </c>
      <c r="D87" s="66"/>
      <c r="E87" s="142"/>
      <c r="F87" s="181"/>
      <c r="G87" s="182"/>
      <c r="H87" s="129"/>
      <c r="I87" s="244" t="s">
        <v>152</v>
      </c>
      <c r="J87" s="245"/>
      <c r="K87" s="245"/>
      <c r="L87" s="245"/>
      <c r="M87" s="245"/>
      <c r="N87" s="245"/>
      <c r="O87" s="245"/>
      <c r="P87" s="245"/>
      <c r="Q87" s="245"/>
      <c r="R87" s="246"/>
      <c r="S87" s="62"/>
      <c r="T87" s="65">
        <f>IF('1. ZWB'!R72=0,'1. ZWB'!Q72,'1. ZWB'!R72)</f>
        <v>0</v>
      </c>
      <c r="U87" s="162">
        <f>'1. ZWB'!S72</f>
        <v>0</v>
      </c>
      <c r="V87" s="70"/>
      <c r="W87" s="65">
        <f>IF('2. ZWB'!R72=0,'2. ZWB'!Q72,'2. ZWB'!R72)</f>
        <v>0</v>
      </c>
      <c r="X87" s="162">
        <f>'2. ZWB'!S72</f>
        <v>0</v>
      </c>
      <c r="Y87" s="70"/>
      <c r="Z87" s="65">
        <f>IF('3. ZWB'!R72=0,'3. ZWB'!Q72,'3. ZWB'!R72)</f>
        <v>0</v>
      </c>
      <c r="AA87" s="162">
        <f>'3. ZWB'!S72</f>
        <v>0</v>
      </c>
      <c r="AB87" s="70"/>
      <c r="AC87" s="65">
        <f>IF(EB!R72=0,EB!Q72,EB!R72)</f>
        <v>0</v>
      </c>
      <c r="AD87" s="162">
        <f>EB!S72</f>
        <v>0</v>
      </c>
      <c r="AE87" s="7"/>
    </row>
    <row r="88" spans="2:31" x14ac:dyDescent="0.25">
      <c r="B88" s="5"/>
      <c r="C88" s="75" t="s">
        <v>112</v>
      </c>
      <c r="D88" s="66"/>
      <c r="E88" s="142"/>
      <c r="F88" s="181"/>
      <c r="G88" s="182"/>
      <c r="H88" s="129"/>
      <c r="I88" s="247"/>
      <c r="J88" s="248"/>
      <c r="K88" s="248"/>
      <c r="L88" s="248"/>
      <c r="M88" s="248"/>
      <c r="N88" s="248"/>
      <c r="O88" s="248"/>
      <c r="P88" s="248"/>
      <c r="Q88" s="248"/>
      <c r="R88" s="249"/>
      <c r="S88" s="62"/>
      <c r="T88" s="65">
        <f>IF('1. ZWB'!R73=0,'1. ZWB'!Q73,'1. ZWB'!R73)</f>
        <v>0</v>
      </c>
      <c r="U88" s="162">
        <f>'1. ZWB'!S73</f>
        <v>0</v>
      </c>
      <c r="V88" s="70"/>
      <c r="W88" s="65">
        <f>IF('2. ZWB'!R73=0,'2. ZWB'!Q73,'2. ZWB'!R73)</f>
        <v>0</v>
      </c>
      <c r="X88" s="162">
        <f>'2. ZWB'!S73</f>
        <v>0</v>
      </c>
      <c r="Y88" s="70"/>
      <c r="Z88" s="65">
        <f>IF('3. ZWB'!R73=0,'3. ZWB'!Q73,'3. ZWB'!R73)</f>
        <v>0</v>
      </c>
      <c r="AA88" s="162">
        <f>'3. ZWB'!S73</f>
        <v>0</v>
      </c>
      <c r="AB88" s="70"/>
      <c r="AC88" s="65">
        <f>IF(EB!R73=0,EB!Q73,EB!R73)</f>
        <v>0</v>
      </c>
      <c r="AD88" s="162">
        <f>EB!S73</f>
        <v>0</v>
      </c>
      <c r="AE88" s="7"/>
    </row>
    <row r="89" spans="2:31" x14ac:dyDescent="0.25">
      <c r="B89" s="5"/>
      <c r="C89" s="75" t="s">
        <v>113</v>
      </c>
      <c r="D89" s="66"/>
      <c r="E89" s="142"/>
      <c r="F89" s="181"/>
      <c r="G89" s="182"/>
      <c r="H89" s="129"/>
      <c r="I89" s="247"/>
      <c r="J89" s="248"/>
      <c r="K89" s="248"/>
      <c r="L89" s="248"/>
      <c r="M89" s="248"/>
      <c r="N89" s="248"/>
      <c r="O89" s="248"/>
      <c r="P89" s="248"/>
      <c r="Q89" s="248"/>
      <c r="R89" s="249"/>
      <c r="S89" s="62"/>
      <c r="T89" s="65">
        <f>IF('1. ZWB'!R74=0,'1. ZWB'!Q74,'1. ZWB'!R74)</f>
        <v>0</v>
      </c>
      <c r="U89" s="162">
        <f>'1. ZWB'!S74</f>
        <v>0</v>
      </c>
      <c r="V89" s="70"/>
      <c r="W89" s="65">
        <f>IF('2. ZWB'!R74=0,'2. ZWB'!Q74,'2. ZWB'!R74)</f>
        <v>0</v>
      </c>
      <c r="X89" s="162">
        <f>'2. ZWB'!S74</f>
        <v>0</v>
      </c>
      <c r="Y89" s="70"/>
      <c r="Z89" s="65">
        <f>IF('3. ZWB'!R74=0,'3. ZWB'!Q74,'3. ZWB'!R74)</f>
        <v>0</v>
      </c>
      <c r="AA89" s="162">
        <f>'3. ZWB'!S74</f>
        <v>0</v>
      </c>
      <c r="AB89" s="70"/>
      <c r="AC89" s="65">
        <f>IF(EB!R74=0,EB!Q74,EB!R74)</f>
        <v>0</v>
      </c>
      <c r="AD89" s="162">
        <f>EB!S74</f>
        <v>0</v>
      </c>
      <c r="AE89" s="7"/>
    </row>
    <row r="90" spans="2:31" x14ac:dyDescent="0.25">
      <c r="B90" s="5"/>
      <c r="C90" s="75" t="s">
        <v>114</v>
      </c>
      <c r="D90" s="66"/>
      <c r="E90" s="142"/>
      <c r="F90" s="181"/>
      <c r="G90" s="182"/>
      <c r="H90" s="129"/>
      <c r="I90" s="247"/>
      <c r="J90" s="248"/>
      <c r="K90" s="248"/>
      <c r="L90" s="248"/>
      <c r="M90" s="248"/>
      <c r="N90" s="248"/>
      <c r="O90" s="248"/>
      <c r="P90" s="248"/>
      <c r="Q90" s="248"/>
      <c r="R90" s="249"/>
      <c r="S90" s="62"/>
      <c r="T90" s="65">
        <f>IF('1. ZWB'!R75=0,'1. ZWB'!Q75,'1. ZWB'!R75)</f>
        <v>2</v>
      </c>
      <c r="U90" s="162">
        <f>'1. ZWB'!S75</f>
        <v>0</v>
      </c>
      <c r="V90" s="70"/>
      <c r="W90" s="65">
        <f>IF('2. ZWB'!R75=0,'2. ZWB'!Q75,'2. ZWB'!R75)</f>
        <v>6</v>
      </c>
      <c r="X90" s="162">
        <f>'2. ZWB'!S75</f>
        <v>0</v>
      </c>
      <c r="Y90" s="70"/>
      <c r="Z90" s="65">
        <f>IF('3. ZWB'!R75=0,'3. ZWB'!Q75,'3. ZWB'!R75)</f>
        <v>9</v>
      </c>
      <c r="AA90" s="162">
        <f>'3. ZWB'!S75</f>
        <v>0</v>
      </c>
      <c r="AB90" s="70"/>
      <c r="AC90" s="65">
        <f>IF(EB!R75=0,EB!Q75,EB!R75)</f>
        <v>10</v>
      </c>
      <c r="AD90" s="162">
        <f>EB!S75</f>
        <v>0</v>
      </c>
      <c r="AE90" s="7"/>
    </row>
    <row r="91" spans="2:31" x14ac:dyDescent="0.25">
      <c r="B91" s="5"/>
      <c r="C91" s="75" t="s">
        <v>115</v>
      </c>
      <c r="D91" s="66"/>
      <c r="E91" s="142"/>
      <c r="F91" s="181"/>
      <c r="G91" s="182"/>
      <c r="H91" s="129"/>
      <c r="I91" s="247"/>
      <c r="J91" s="248"/>
      <c r="K91" s="248"/>
      <c r="L91" s="248"/>
      <c r="M91" s="248"/>
      <c r="N91" s="248"/>
      <c r="O91" s="248"/>
      <c r="P91" s="248"/>
      <c r="Q91" s="248"/>
      <c r="R91" s="249"/>
      <c r="S91" s="62"/>
      <c r="T91" s="65">
        <f>IF('1. ZWB'!R76=0,'1. ZWB'!Q76,'1. ZWB'!R76)</f>
        <v>23</v>
      </c>
      <c r="U91" s="162">
        <f>'1. ZWB'!S76</f>
        <v>0</v>
      </c>
      <c r="V91" s="70"/>
      <c r="W91" s="65">
        <f>IF('2. ZWB'!R76=0,'2. ZWB'!Q76,'2. ZWB'!R76)</f>
        <v>29</v>
      </c>
      <c r="X91" s="162">
        <f>'2. ZWB'!S76</f>
        <v>0</v>
      </c>
      <c r="Y91" s="70"/>
      <c r="Z91" s="65">
        <f>IF('3. ZWB'!R76=0,'3. ZWB'!Q76,'3. ZWB'!R76)</f>
        <v>40</v>
      </c>
      <c r="AA91" s="162">
        <f>'3. ZWB'!S76</f>
        <v>0</v>
      </c>
      <c r="AB91" s="70"/>
      <c r="AC91" s="65">
        <f>IF(EB!R76=0,EB!Q76,EB!R76)</f>
        <v>45</v>
      </c>
      <c r="AD91" s="162">
        <f>EB!S76</f>
        <v>0</v>
      </c>
      <c r="AE91" s="7"/>
    </row>
    <row r="92" spans="2:31" x14ac:dyDescent="0.25">
      <c r="B92" s="5"/>
      <c r="C92" s="75" t="s">
        <v>82</v>
      </c>
      <c r="D92" s="66"/>
      <c r="E92" s="142"/>
      <c r="F92" s="181"/>
      <c r="G92" s="182"/>
      <c r="H92" s="129"/>
      <c r="I92" s="250"/>
      <c r="J92" s="251"/>
      <c r="K92" s="251"/>
      <c r="L92" s="251"/>
      <c r="M92" s="251"/>
      <c r="N92" s="251"/>
      <c r="O92" s="251"/>
      <c r="P92" s="251"/>
      <c r="Q92" s="251"/>
      <c r="R92" s="252"/>
      <c r="S92" s="62"/>
      <c r="T92" s="65">
        <f>IF('1. ZWB'!R77=0,'1. ZWB'!Q77,'1. ZWB'!R77)</f>
        <v>17</v>
      </c>
      <c r="U92" s="162">
        <f>'1. ZWB'!S77</f>
        <v>0</v>
      </c>
      <c r="V92" s="70"/>
      <c r="W92" s="65">
        <f>IF('2. ZWB'!R77=0,'2. ZWB'!Q77,'2. ZWB'!R77)</f>
        <v>20</v>
      </c>
      <c r="X92" s="162">
        <f>'2. ZWB'!S77</f>
        <v>0</v>
      </c>
      <c r="Y92" s="70"/>
      <c r="Z92" s="65">
        <f>IF('3. ZWB'!R77=0,'3. ZWB'!Q77,'3. ZWB'!R77)</f>
        <v>25</v>
      </c>
      <c r="AA92" s="162">
        <f>'3. ZWB'!S77</f>
        <v>0</v>
      </c>
      <c r="AB92" s="70"/>
      <c r="AC92" s="65">
        <f>IF(EB!R77=0,EB!Q77,EB!R77)</f>
        <v>27</v>
      </c>
      <c r="AD92" s="162">
        <f>EB!S77</f>
        <v>0</v>
      </c>
      <c r="AE92" s="7"/>
    </row>
    <row r="93" spans="2:31" x14ac:dyDescent="0.25">
      <c r="B93" s="5"/>
      <c r="C93" s="75" t="s">
        <v>103</v>
      </c>
      <c r="D93" s="137">
        <f>SUM(D87:D92)</f>
        <v>0</v>
      </c>
      <c r="E93" s="137">
        <f>SUM(E87:E92)</f>
        <v>0</v>
      </c>
      <c r="F93" s="243"/>
      <c r="G93" s="243"/>
      <c r="H93" s="129"/>
      <c r="I93" s="200"/>
      <c r="J93" s="201"/>
      <c r="K93" s="201"/>
      <c r="L93" s="201"/>
      <c r="M93" s="201"/>
      <c r="N93" s="201"/>
      <c r="O93" s="201"/>
      <c r="P93" s="201"/>
      <c r="Q93" s="201"/>
      <c r="R93" s="202"/>
      <c r="S93" s="62"/>
      <c r="T93" s="65">
        <f>IF('1. ZWB'!R78=0,'1. ZWB'!Q78,'1. ZWB'!R78)</f>
        <v>42</v>
      </c>
      <c r="U93" s="162">
        <f>'1. ZWB'!S78</f>
        <v>0</v>
      </c>
      <c r="V93" s="70"/>
      <c r="W93" s="65">
        <f>IF('2. ZWB'!R78=0,'2. ZWB'!Q78,'2. ZWB'!R78)</f>
        <v>55</v>
      </c>
      <c r="X93" s="162">
        <f>'2. ZWB'!S78</f>
        <v>0</v>
      </c>
      <c r="Y93" s="70"/>
      <c r="Z93" s="65">
        <f>IF('3. ZWB'!R78=0,'3. ZWB'!Q78,'3. ZWB'!R78)</f>
        <v>74</v>
      </c>
      <c r="AA93" s="162">
        <f>'3. ZWB'!S78</f>
        <v>0</v>
      </c>
      <c r="AB93" s="70"/>
      <c r="AC93" s="65">
        <f>IF(EB!R78=0,EB!Q78,EB!R78)</f>
        <v>82</v>
      </c>
      <c r="AD93" s="162">
        <f>EB!S78</f>
        <v>0</v>
      </c>
      <c r="AE93" s="7"/>
    </row>
    <row r="94" spans="2:31" ht="13.15" customHeight="1" x14ac:dyDescent="0.25">
      <c r="B94" s="5"/>
      <c r="C94" s="53" t="s">
        <v>93</v>
      </c>
      <c r="D94" s="178"/>
      <c r="E94" s="178"/>
      <c r="F94" s="178"/>
      <c r="G94" s="179"/>
      <c r="H94" s="129"/>
      <c r="I94" s="200"/>
      <c r="J94" s="201"/>
      <c r="K94" s="201"/>
      <c r="L94" s="201"/>
      <c r="M94" s="201"/>
      <c r="N94" s="201"/>
      <c r="O94" s="201"/>
      <c r="P94" s="201"/>
      <c r="Q94" s="201"/>
      <c r="R94" s="202"/>
      <c r="S94" s="62"/>
      <c r="T94" s="65"/>
      <c r="U94" s="162"/>
      <c r="V94" s="70"/>
      <c r="W94" s="65"/>
      <c r="X94" s="162"/>
      <c r="Y94" s="70"/>
      <c r="Z94" s="65"/>
      <c r="AA94" s="162"/>
      <c r="AB94" s="70"/>
      <c r="AC94" s="65"/>
      <c r="AD94" s="162"/>
      <c r="AE94" s="7"/>
    </row>
    <row r="95" spans="2:31" ht="13.15" customHeight="1" x14ac:dyDescent="0.25">
      <c r="B95" s="5"/>
      <c r="C95" s="75" t="s">
        <v>32</v>
      </c>
      <c r="D95" s="68"/>
      <c r="E95" s="142"/>
      <c r="F95" s="181"/>
      <c r="G95" s="182"/>
      <c r="H95" s="129"/>
      <c r="I95" s="244" t="s">
        <v>152</v>
      </c>
      <c r="J95" s="245"/>
      <c r="K95" s="245"/>
      <c r="L95" s="245"/>
      <c r="M95" s="245"/>
      <c r="N95" s="245"/>
      <c r="O95" s="245"/>
      <c r="P95" s="245"/>
      <c r="Q95" s="245"/>
      <c r="R95" s="246"/>
      <c r="S95" s="62"/>
      <c r="T95" s="65">
        <f>IF('1. ZWB'!R80=0,'1. ZWB'!Q79,'1. ZWB'!R80)</f>
        <v>22</v>
      </c>
      <c r="U95" s="162">
        <f>'1. ZWB'!S80</f>
        <v>0</v>
      </c>
      <c r="V95" s="70"/>
      <c r="W95" s="65">
        <f>IF('2. ZWB'!R80=0,'2. ZWB'!Q80,'2. ZWB'!R80)</f>
        <v>32</v>
      </c>
      <c r="X95" s="162">
        <f>'2. ZWB'!S80</f>
        <v>0</v>
      </c>
      <c r="Y95" s="70"/>
      <c r="Z95" s="65">
        <f>IF('3. ZWB'!R80=0,'3. ZWB'!Q80,'3. ZWB'!R80)</f>
        <v>44</v>
      </c>
      <c r="AA95" s="162">
        <f>'3. ZWB'!S80</f>
        <v>0</v>
      </c>
      <c r="AB95" s="70"/>
      <c r="AC95" s="65">
        <f>IF(EB!R80=0,EB!Q80,EB!R80)</f>
        <v>47</v>
      </c>
      <c r="AD95" s="162">
        <f>EB!S80</f>
        <v>0</v>
      </c>
      <c r="AE95" s="7"/>
    </row>
    <row r="96" spans="2:31" x14ac:dyDescent="0.25">
      <c r="B96" s="5"/>
      <c r="C96" s="75" t="s">
        <v>33</v>
      </c>
      <c r="D96" s="68"/>
      <c r="E96" s="142"/>
      <c r="F96" s="181"/>
      <c r="G96" s="182"/>
      <c r="H96" s="129"/>
      <c r="I96" s="247"/>
      <c r="J96" s="248"/>
      <c r="K96" s="248"/>
      <c r="L96" s="248"/>
      <c r="M96" s="248"/>
      <c r="N96" s="248"/>
      <c r="O96" s="248"/>
      <c r="P96" s="248"/>
      <c r="Q96" s="248"/>
      <c r="R96" s="249"/>
      <c r="S96" s="62"/>
      <c r="T96" s="65">
        <f>IF('1. ZWB'!R81=0,'1. ZWB'!Q80,'1. ZWB'!R81)</f>
        <v>20</v>
      </c>
      <c r="U96" s="162">
        <f>'1. ZWB'!S81</f>
        <v>0</v>
      </c>
      <c r="V96" s="70"/>
      <c r="W96" s="65">
        <f>IF('2. ZWB'!R81=0,'2. ZWB'!Q81,'2. ZWB'!R81)</f>
        <v>23</v>
      </c>
      <c r="X96" s="162">
        <f>'2. ZWB'!S81</f>
        <v>0</v>
      </c>
      <c r="Y96" s="70"/>
      <c r="Z96" s="65">
        <f>IF('3. ZWB'!R81=0,'3. ZWB'!Q81,'3. ZWB'!R81)</f>
        <v>30</v>
      </c>
      <c r="AA96" s="162">
        <f>'3. ZWB'!S81</f>
        <v>0</v>
      </c>
      <c r="AB96" s="70"/>
      <c r="AC96" s="65">
        <f>IF(EB!R81=0,EB!Q81,EB!R81)</f>
        <v>35</v>
      </c>
      <c r="AD96" s="162">
        <f>EB!S81</f>
        <v>0</v>
      </c>
      <c r="AE96" s="7"/>
    </row>
    <row r="97" spans="2:31" x14ac:dyDescent="0.25">
      <c r="B97" s="5"/>
      <c r="C97" s="75" t="s">
        <v>83</v>
      </c>
      <c r="D97" s="68"/>
      <c r="E97" s="142"/>
      <c r="F97" s="181"/>
      <c r="G97" s="182"/>
      <c r="H97" s="129"/>
      <c r="I97" s="247"/>
      <c r="J97" s="248"/>
      <c r="K97" s="248"/>
      <c r="L97" s="248"/>
      <c r="M97" s="248"/>
      <c r="N97" s="248"/>
      <c r="O97" s="248"/>
      <c r="P97" s="248"/>
      <c r="Q97" s="248"/>
      <c r="R97" s="249"/>
      <c r="S97" s="62"/>
      <c r="T97" s="65">
        <f>IF('1. ZWB'!R82=0,'1. ZWB'!Q82,'1. ZWB'!R82)</f>
        <v>0</v>
      </c>
      <c r="U97" s="162">
        <f>'1. ZWB'!S82</f>
        <v>0</v>
      </c>
      <c r="V97" s="70"/>
      <c r="W97" s="65">
        <f>IF('2. ZWB'!R82=0,'2. ZWB'!Q82,'2. ZWB'!R82)</f>
        <v>0</v>
      </c>
      <c r="X97" s="162">
        <f>'2. ZWB'!S82</f>
        <v>0</v>
      </c>
      <c r="Y97" s="70"/>
      <c r="Z97" s="65">
        <f>IF('3. ZWB'!R82=0,'3. ZWB'!Q82,'3. ZWB'!R82)</f>
        <v>0</v>
      </c>
      <c r="AA97" s="162">
        <f>'3. ZWB'!S82</f>
        <v>0</v>
      </c>
      <c r="AB97" s="70"/>
      <c r="AC97" s="65">
        <f>IF(EB!R82=0,EB!Q82,EB!R82)</f>
        <v>0</v>
      </c>
      <c r="AD97" s="162">
        <f>EB!S82</f>
        <v>0</v>
      </c>
      <c r="AE97" s="7"/>
    </row>
    <row r="98" spans="2:31" x14ac:dyDescent="0.25">
      <c r="B98" s="5"/>
      <c r="C98" s="75" t="s">
        <v>116</v>
      </c>
      <c r="D98" s="68"/>
      <c r="E98" s="142"/>
      <c r="F98" s="181"/>
      <c r="G98" s="182"/>
      <c r="H98" s="129"/>
      <c r="I98" s="247"/>
      <c r="J98" s="248"/>
      <c r="K98" s="248"/>
      <c r="L98" s="248"/>
      <c r="M98" s="248"/>
      <c r="N98" s="248"/>
      <c r="O98" s="248"/>
      <c r="P98" s="248"/>
      <c r="Q98" s="248"/>
      <c r="R98" s="249"/>
      <c r="S98" s="62"/>
      <c r="T98" s="65">
        <f>IF('1. ZWB'!R83=0,'1. ZWB'!Q83,'1. ZWB'!R83)</f>
        <v>0</v>
      </c>
      <c r="U98" s="162">
        <f>'1. ZWB'!S83</f>
        <v>0</v>
      </c>
      <c r="V98" s="70"/>
      <c r="W98" s="65">
        <f>IF('2. ZWB'!R83=0,'2. ZWB'!Q83,'2. ZWB'!R83)</f>
        <v>0</v>
      </c>
      <c r="X98" s="162">
        <f>'2. ZWB'!S83</f>
        <v>0</v>
      </c>
      <c r="Y98" s="70"/>
      <c r="Z98" s="65">
        <f>IF('3. ZWB'!R83=0,'3. ZWB'!Q83,'3. ZWB'!R83)</f>
        <v>0</v>
      </c>
      <c r="AA98" s="162">
        <f>'3. ZWB'!S83</f>
        <v>0</v>
      </c>
      <c r="AB98" s="70"/>
      <c r="AC98" s="65">
        <f>IF(EB!R83=0,EB!Q83,EB!R83)</f>
        <v>0</v>
      </c>
      <c r="AD98" s="162">
        <f>EB!S83</f>
        <v>0</v>
      </c>
      <c r="AE98" s="7"/>
    </row>
    <row r="99" spans="2:31" x14ac:dyDescent="0.25">
      <c r="B99" s="5"/>
      <c r="C99" s="75" t="s">
        <v>84</v>
      </c>
      <c r="D99" s="68"/>
      <c r="E99" s="142"/>
      <c r="F99" s="181"/>
      <c r="G99" s="182"/>
      <c r="H99" s="129"/>
      <c r="I99" s="247"/>
      <c r="J99" s="248"/>
      <c r="K99" s="248"/>
      <c r="L99" s="248"/>
      <c r="M99" s="248"/>
      <c r="N99" s="248"/>
      <c r="O99" s="248"/>
      <c r="P99" s="248"/>
      <c r="Q99" s="248"/>
      <c r="R99" s="249"/>
      <c r="S99" s="62"/>
      <c r="T99" s="65">
        <f>IF('1. ZWB'!R84=0,'1. ZWB'!Q84,'1. ZWB'!R84)</f>
        <v>0</v>
      </c>
      <c r="U99" s="162">
        <f>'1. ZWB'!S84</f>
        <v>0</v>
      </c>
      <c r="V99" s="70"/>
      <c r="W99" s="65">
        <f>IF('2. ZWB'!R84=0,'2. ZWB'!Q84,'2. ZWB'!R84)</f>
        <v>0</v>
      </c>
      <c r="X99" s="162">
        <f>'2. ZWB'!S84</f>
        <v>0</v>
      </c>
      <c r="Y99" s="70"/>
      <c r="Z99" s="65">
        <f>IF('3. ZWB'!R84=0,'3. ZWB'!Q84,'3. ZWB'!R84)</f>
        <v>0</v>
      </c>
      <c r="AA99" s="162">
        <f>'3. ZWB'!S84</f>
        <v>0</v>
      </c>
      <c r="AB99" s="70"/>
      <c r="AC99" s="65">
        <f>IF(EB!R84=0,EB!Q84,EB!R84)</f>
        <v>0</v>
      </c>
      <c r="AD99" s="162">
        <f>EB!S84</f>
        <v>0</v>
      </c>
      <c r="AE99" s="7"/>
    </row>
    <row r="100" spans="2:31" x14ac:dyDescent="0.25">
      <c r="B100" s="5"/>
      <c r="C100" s="75" t="s">
        <v>85</v>
      </c>
      <c r="D100" s="68"/>
      <c r="E100" s="142"/>
      <c r="F100" s="181"/>
      <c r="G100" s="182"/>
      <c r="H100" s="129"/>
      <c r="I100" s="247"/>
      <c r="J100" s="248"/>
      <c r="K100" s="248"/>
      <c r="L100" s="248"/>
      <c r="M100" s="248"/>
      <c r="N100" s="248"/>
      <c r="O100" s="248"/>
      <c r="P100" s="248"/>
      <c r="Q100" s="248"/>
      <c r="R100" s="249"/>
      <c r="S100" s="62"/>
      <c r="T100" s="65">
        <f>IF('1. ZWB'!R85=0,'1. ZWB'!Q85,'1. ZWB'!R85)</f>
        <v>0</v>
      </c>
      <c r="U100" s="162">
        <f>'1. ZWB'!S85</f>
        <v>0</v>
      </c>
      <c r="V100" s="70"/>
      <c r="W100" s="65">
        <f>IF('2. ZWB'!R85=0,'2. ZWB'!Q85,'2. ZWB'!R85)</f>
        <v>0</v>
      </c>
      <c r="X100" s="162">
        <f>'2. ZWB'!S85</f>
        <v>0</v>
      </c>
      <c r="Y100" s="70"/>
      <c r="Z100" s="65">
        <f>IF('3. ZWB'!R85=0,'3. ZWB'!Q85,'3. ZWB'!R85)</f>
        <v>0</v>
      </c>
      <c r="AA100" s="162">
        <f>'3. ZWB'!S85</f>
        <v>0</v>
      </c>
      <c r="AB100" s="70"/>
      <c r="AC100" s="65">
        <f>IF(EB!R85=0,EB!Q85,EB!R85)</f>
        <v>0</v>
      </c>
      <c r="AD100" s="162">
        <f>EB!S85</f>
        <v>0</v>
      </c>
      <c r="AE100" s="7"/>
    </row>
    <row r="101" spans="2:31" x14ac:dyDescent="0.25">
      <c r="B101" s="5"/>
      <c r="C101" s="75" t="s">
        <v>86</v>
      </c>
      <c r="D101" s="68"/>
      <c r="E101" s="142"/>
      <c r="F101" s="181"/>
      <c r="G101" s="182"/>
      <c r="H101" s="129"/>
      <c r="I101" s="250"/>
      <c r="J101" s="251"/>
      <c r="K101" s="251"/>
      <c r="L101" s="251"/>
      <c r="M101" s="251"/>
      <c r="N101" s="251"/>
      <c r="O101" s="251"/>
      <c r="P101" s="251"/>
      <c r="Q101" s="251"/>
      <c r="R101" s="252"/>
      <c r="S101" s="62"/>
      <c r="T101" s="65">
        <f>IF('1. ZWB'!R86=0,'1. ZWB'!Q86,'1. ZWB'!R86)</f>
        <v>0</v>
      </c>
      <c r="U101" s="162">
        <f>'1. ZWB'!S86</f>
        <v>0</v>
      </c>
      <c r="V101" s="70"/>
      <c r="W101" s="65">
        <f>IF('2. ZWB'!R86=0,'2. ZWB'!Q86,'2. ZWB'!R86)</f>
        <v>0</v>
      </c>
      <c r="X101" s="162">
        <f>'2. ZWB'!S86</f>
        <v>0</v>
      </c>
      <c r="Y101" s="70"/>
      <c r="Z101" s="65">
        <f>IF('3. ZWB'!R86=0,'3. ZWB'!Q86,'3. ZWB'!R86)</f>
        <v>0</v>
      </c>
      <c r="AA101" s="162">
        <f>'3. ZWB'!S86</f>
        <v>0</v>
      </c>
      <c r="AB101" s="70"/>
      <c r="AC101" s="65">
        <f>IF(EB!R86=0,EB!Q86,EB!R86)</f>
        <v>0</v>
      </c>
      <c r="AD101" s="162">
        <f>EB!S86</f>
        <v>0</v>
      </c>
      <c r="AE101" s="7"/>
    </row>
    <row r="102" spans="2:31" x14ac:dyDescent="0.25">
      <c r="B102" s="5"/>
      <c r="C102" s="75" t="s">
        <v>103</v>
      </c>
      <c r="D102" s="137">
        <f>SUM(D95:D101)</f>
        <v>0</v>
      </c>
      <c r="E102" s="137">
        <f>SUM(E95:E101)</f>
        <v>0</v>
      </c>
      <c r="F102" s="243"/>
      <c r="G102" s="243"/>
      <c r="H102" s="129"/>
      <c r="I102" s="200"/>
      <c r="J102" s="201"/>
      <c r="K102" s="201"/>
      <c r="L102" s="201"/>
      <c r="M102" s="201"/>
      <c r="N102" s="201"/>
      <c r="O102" s="201"/>
      <c r="P102" s="201"/>
      <c r="Q102" s="201"/>
      <c r="R102" s="202"/>
      <c r="S102" s="62"/>
      <c r="T102" s="65">
        <f>IF('1. ZWB'!R87=0,'1. ZWB'!Q87,'1. ZWB'!R87)</f>
        <v>42</v>
      </c>
      <c r="U102" s="162">
        <f>'1. ZWB'!S87</f>
        <v>0</v>
      </c>
      <c r="V102" s="70"/>
      <c r="W102" s="65">
        <f>IF('2. ZWB'!R87=0,'2. ZWB'!Q87,'2. ZWB'!R87)</f>
        <v>55</v>
      </c>
      <c r="X102" s="162">
        <f>'2. ZWB'!S87</f>
        <v>0</v>
      </c>
      <c r="Y102" s="70"/>
      <c r="Z102" s="65">
        <f>IF('3. ZWB'!R87=0,'3. ZWB'!Q87,'3. ZWB'!R87)</f>
        <v>74</v>
      </c>
      <c r="AA102" s="162">
        <f>'3. ZWB'!S87</f>
        <v>0</v>
      </c>
      <c r="AB102" s="70"/>
      <c r="AC102" s="65">
        <f>IF(EB!R87=0,EB!Q87,EB!R87)</f>
        <v>82</v>
      </c>
      <c r="AD102" s="162">
        <f>EB!S87</f>
        <v>0</v>
      </c>
      <c r="AE102" s="7"/>
    </row>
    <row r="103" spans="2:31" ht="14.65" customHeight="1" x14ac:dyDescent="0.25">
      <c r="B103" s="5"/>
      <c r="C103" s="53" t="s">
        <v>31</v>
      </c>
      <c r="D103" s="169">
        <f t="shared" ref="D103" si="2">SUM(I103:R103)</f>
        <v>0</v>
      </c>
      <c r="E103" s="141"/>
      <c r="F103" s="181"/>
      <c r="G103" s="182"/>
      <c r="H103" s="129"/>
      <c r="I103" s="134"/>
      <c r="J103" s="134"/>
      <c r="K103" s="134"/>
      <c r="L103" s="134"/>
      <c r="M103" s="134"/>
      <c r="N103" s="134"/>
      <c r="O103" s="134"/>
      <c r="P103" s="134"/>
      <c r="Q103" s="134"/>
      <c r="R103" s="134"/>
      <c r="S103" s="62"/>
      <c r="T103" s="65">
        <f>IF('1. ZWB'!R88=0,'1. ZWB'!Q88,'1. ZWB'!R88)</f>
        <v>34</v>
      </c>
      <c r="U103" s="162">
        <f>'1. ZWB'!S88</f>
        <v>0</v>
      </c>
      <c r="V103" s="70"/>
      <c r="W103" s="65">
        <f>IF('2. ZWB'!R88=0,'2. ZWB'!Q88,'2. ZWB'!R88)</f>
        <v>43</v>
      </c>
      <c r="X103" s="162">
        <f>'2. ZWB'!S88</f>
        <v>0</v>
      </c>
      <c r="Y103" s="70"/>
      <c r="Z103" s="65">
        <f>IF('3. ZWB'!R88=0,'3. ZWB'!Q88,'3. ZWB'!R88)</f>
        <v>61</v>
      </c>
      <c r="AA103" s="162">
        <f>'3. ZWB'!S88</f>
        <v>0</v>
      </c>
      <c r="AB103" s="70"/>
      <c r="AC103" s="65">
        <f>IF(EB!R88=0,EB!Q88,EB!R88)</f>
        <v>69</v>
      </c>
      <c r="AD103" s="162">
        <f>EB!S88</f>
        <v>0</v>
      </c>
      <c r="AE103" s="7"/>
    </row>
    <row r="104" spans="2:31" ht="14.65" customHeight="1" x14ac:dyDescent="0.25">
      <c r="B104" s="81"/>
      <c r="C104" s="30"/>
      <c r="D104" s="147"/>
      <c r="E104" s="147"/>
      <c r="F104" s="147"/>
      <c r="G104" s="147"/>
      <c r="H104" s="129"/>
      <c r="I104" s="30"/>
      <c r="J104" s="30"/>
      <c r="K104" s="30"/>
      <c r="L104" s="30"/>
      <c r="M104" s="30"/>
      <c r="N104" s="30"/>
      <c r="O104" s="30"/>
      <c r="P104" s="30"/>
      <c r="Q104" s="30"/>
      <c r="R104" s="30"/>
      <c r="S104" s="62"/>
      <c r="T104" s="100"/>
      <c r="U104" s="30"/>
      <c r="V104" s="30"/>
      <c r="W104" s="30"/>
      <c r="X104" s="30"/>
      <c r="Y104" s="30"/>
      <c r="Z104" s="30"/>
      <c r="AA104" s="30"/>
      <c r="AB104" s="30"/>
      <c r="AC104" s="30"/>
      <c r="AD104" s="30"/>
      <c r="AE104" s="31"/>
    </row>
    <row r="105" spans="2:31" ht="45" customHeight="1" x14ac:dyDescent="0.25">
      <c r="B105" s="5"/>
      <c r="C105" s="8" t="s">
        <v>38</v>
      </c>
      <c r="D105" s="85" t="s">
        <v>72</v>
      </c>
      <c r="E105" s="85" t="s">
        <v>126</v>
      </c>
      <c r="F105" s="180" t="s">
        <v>146</v>
      </c>
      <c r="G105" s="180"/>
      <c r="H105" s="129"/>
      <c r="I105" s="86" t="s">
        <v>129</v>
      </c>
      <c r="J105" s="86" t="s">
        <v>130</v>
      </c>
      <c r="K105" s="86" t="s">
        <v>131</v>
      </c>
      <c r="L105" s="86" t="s">
        <v>132</v>
      </c>
      <c r="M105" s="86" t="s">
        <v>133</v>
      </c>
      <c r="N105" s="86" t="s">
        <v>134</v>
      </c>
      <c r="O105" s="86" t="s">
        <v>135</v>
      </c>
      <c r="P105" s="86" t="s">
        <v>136</v>
      </c>
      <c r="Q105" s="86" t="s">
        <v>137</v>
      </c>
      <c r="R105" s="86" t="s">
        <v>138</v>
      </c>
      <c r="S105" s="62"/>
      <c r="T105" s="85" t="s">
        <v>140</v>
      </c>
      <c r="U105" s="161" t="s">
        <v>8</v>
      </c>
      <c r="V105" s="27"/>
      <c r="W105" s="85" t="s">
        <v>139</v>
      </c>
      <c r="X105" s="161" t="s">
        <v>8</v>
      </c>
      <c r="Y105" s="27"/>
      <c r="Z105" s="85" t="s">
        <v>142</v>
      </c>
      <c r="AA105" s="161" t="s">
        <v>8</v>
      </c>
      <c r="AB105" s="27"/>
      <c r="AC105" s="85" t="s">
        <v>143</v>
      </c>
      <c r="AD105" s="161" t="s">
        <v>8</v>
      </c>
      <c r="AE105" s="7"/>
    </row>
    <row r="106" spans="2:31" ht="30" x14ac:dyDescent="0.25">
      <c r="B106" s="5"/>
      <c r="C106" s="53" t="s">
        <v>148</v>
      </c>
      <c r="D106" s="169">
        <f>SUM(I106:R106)</f>
        <v>0</v>
      </c>
      <c r="E106" s="141"/>
      <c r="F106" s="181"/>
      <c r="G106" s="182"/>
      <c r="H106" s="129"/>
      <c r="I106" s="134"/>
      <c r="J106" s="134"/>
      <c r="K106" s="134"/>
      <c r="L106" s="134"/>
      <c r="M106" s="134"/>
      <c r="N106" s="134"/>
      <c r="O106" s="134"/>
      <c r="P106" s="134"/>
      <c r="Q106" s="134"/>
      <c r="R106" s="134"/>
      <c r="S106" s="62"/>
      <c r="T106" s="65">
        <f>IF('1. ZWB'!R91=0,'1. ZWB'!Q91,'1. ZWB'!R91)</f>
        <v>0</v>
      </c>
      <c r="U106" s="162">
        <f>'1. ZWB'!S91</f>
        <v>0</v>
      </c>
      <c r="V106" s="70"/>
      <c r="W106" s="65">
        <f>IF('2. ZWB'!R91=0,'2. ZWB'!Q91,'2. ZWB'!R91)</f>
        <v>0</v>
      </c>
      <c r="X106" s="162">
        <f>'2. ZWB'!S91</f>
        <v>0</v>
      </c>
      <c r="Y106" s="70"/>
      <c r="Z106" s="65">
        <f>IF('3. ZWB'!R91=0,'3. ZWB'!Q91,'3. ZWB'!R91)</f>
        <v>0</v>
      </c>
      <c r="AA106" s="162">
        <f>'3. ZWB'!S91</f>
        <v>0</v>
      </c>
      <c r="AB106" s="70"/>
      <c r="AC106" s="65">
        <f>IF(EB!R91=0,EB!Q91,EB!R91)</f>
        <v>0</v>
      </c>
      <c r="AD106" s="162">
        <f>EB!S91</f>
        <v>0</v>
      </c>
      <c r="AE106" s="7"/>
    </row>
    <row r="107" spans="2:31" ht="30" x14ac:dyDescent="0.25">
      <c r="B107" s="5"/>
      <c r="C107" s="53" t="s">
        <v>80</v>
      </c>
      <c r="D107" s="169">
        <f t="shared" ref="D107:D113" si="3">SUM(I107:R107)</f>
        <v>0</v>
      </c>
      <c r="E107" s="141"/>
      <c r="F107" s="181"/>
      <c r="G107" s="182"/>
      <c r="H107" s="129"/>
      <c r="I107" s="134"/>
      <c r="J107" s="134"/>
      <c r="K107" s="134"/>
      <c r="L107" s="134"/>
      <c r="M107" s="134"/>
      <c r="N107" s="134"/>
      <c r="O107" s="134"/>
      <c r="P107" s="134"/>
      <c r="Q107" s="134"/>
      <c r="R107" s="134"/>
      <c r="S107" s="62"/>
      <c r="T107" s="65">
        <f>IF('1. ZWB'!R92=0,'1. ZWB'!Q92,'1. ZWB'!R92)</f>
        <v>2</v>
      </c>
      <c r="U107" s="162">
        <f>'1. ZWB'!S92</f>
        <v>0</v>
      </c>
      <c r="V107" s="70"/>
      <c r="W107" s="65">
        <f>IF('2. ZWB'!R92=0,'2. ZWB'!Q92,'2. ZWB'!R92)</f>
        <v>9</v>
      </c>
      <c r="X107" s="162">
        <f>'2. ZWB'!S92</f>
        <v>0</v>
      </c>
      <c r="Y107" s="70"/>
      <c r="Z107" s="65">
        <f>IF('3. ZWB'!R92=0,'3. ZWB'!Q92,'3. ZWB'!R92)</f>
        <v>12</v>
      </c>
      <c r="AA107" s="162">
        <f>'3. ZWB'!S92</f>
        <v>0</v>
      </c>
      <c r="AB107" s="70"/>
      <c r="AC107" s="65">
        <f>IF(EB!R92=0,EB!Q92,EB!R92)</f>
        <v>15</v>
      </c>
      <c r="AD107" s="162">
        <f>EB!S92</f>
        <v>0</v>
      </c>
      <c r="AE107" s="7"/>
    </row>
    <row r="108" spans="2:31" ht="45" customHeight="1" x14ac:dyDescent="0.25">
      <c r="B108" s="5"/>
      <c r="C108" s="53" t="s">
        <v>77</v>
      </c>
      <c r="D108" s="169">
        <f t="shared" si="3"/>
        <v>0</v>
      </c>
      <c r="E108" s="141"/>
      <c r="F108" s="181"/>
      <c r="G108" s="182"/>
      <c r="H108" s="129"/>
      <c r="I108" s="134"/>
      <c r="J108" s="134"/>
      <c r="K108" s="134"/>
      <c r="L108" s="134"/>
      <c r="M108" s="134"/>
      <c r="N108" s="134"/>
      <c r="O108" s="134"/>
      <c r="P108" s="134"/>
      <c r="Q108" s="134"/>
      <c r="R108" s="134"/>
      <c r="S108" s="62"/>
      <c r="T108" s="65">
        <f>IF('1. ZWB'!R93=0,'1. ZWB'!Q93,'1. ZWB'!R93)</f>
        <v>1</v>
      </c>
      <c r="U108" s="162">
        <f>'1. ZWB'!S93</f>
        <v>0</v>
      </c>
      <c r="V108" s="70"/>
      <c r="W108" s="65">
        <f>IF('2. ZWB'!R93=0,'2. ZWB'!Q93,'2. ZWB'!R93)</f>
        <v>1</v>
      </c>
      <c r="X108" s="162">
        <f>'2. ZWB'!S93</f>
        <v>0</v>
      </c>
      <c r="Y108" s="70"/>
      <c r="Z108" s="65">
        <f>IF('3. ZWB'!R93=0,'3. ZWB'!Q93,'3. ZWB'!R93)</f>
        <v>6</v>
      </c>
      <c r="AA108" s="162">
        <f>'3. ZWB'!S93</f>
        <v>0</v>
      </c>
      <c r="AB108" s="70"/>
      <c r="AC108" s="65">
        <f>IF(EB!R93=0,EB!Q93,EB!R93)</f>
        <v>10</v>
      </c>
      <c r="AD108" s="162">
        <f>EB!S93</f>
        <v>0</v>
      </c>
      <c r="AE108" s="7"/>
    </row>
    <row r="109" spans="2:31" ht="45" x14ac:dyDescent="0.25">
      <c r="B109" s="5"/>
      <c r="C109" s="53" t="s">
        <v>153</v>
      </c>
      <c r="D109" s="169">
        <f t="shared" si="3"/>
        <v>0</v>
      </c>
      <c r="E109" s="141"/>
      <c r="F109" s="181"/>
      <c r="G109" s="182"/>
      <c r="H109" s="125"/>
      <c r="I109" s="134"/>
      <c r="J109" s="134"/>
      <c r="K109" s="134"/>
      <c r="L109" s="134"/>
      <c r="M109" s="134"/>
      <c r="N109" s="134"/>
      <c r="O109" s="134"/>
      <c r="P109" s="134"/>
      <c r="Q109" s="134"/>
      <c r="R109" s="134"/>
      <c r="S109" s="62"/>
      <c r="T109" s="65">
        <f>IF('1. ZWB'!R94=0,'1. ZWB'!Q94,'1. ZWB'!R94)</f>
        <v>0</v>
      </c>
      <c r="U109" s="162">
        <f>'1. ZWB'!S94</f>
        <v>0</v>
      </c>
      <c r="V109" s="70"/>
      <c r="W109" s="65">
        <f>IF('2. ZWB'!R94=0,'2. ZWB'!Q94,'2. ZWB'!R94)</f>
        <v>0</v>
      </c>
      <c r="X109" s="162">
        <f>'2. ZWB'!S94</f>
        <v>0</v>
      </c>
      <c r="Y109" s="70"/>
      <c r="Z109" s="65">
        <f>IF('3. ZWB'!R94=0,'3. ZWB'!Q94,'3. ZWB'!R94)</f>
        <v>0</v>
      </c>
      <c r="AA109" s="162">
        <f>'3. ZWB'!S94</f>
        <v>0</v>
      </c>
      <c r="AB109" s="70"/>
      <c r="AC109" s="65">
        <f>IF(EB!R94=0,EB!Q94,EB!R94)</f>
        <v>0</v>
      </c>
      <c r="AD109" s="162">
        <f>EB!S94</f>
        <v>0</v>
      </c>
      <c r="AE109" s="7"/>
    </row>
    <row r="110" spans="2:31" ht="30" x14ac:dyDescent="0.25">
      <c r="B110" s="5"/>
      <c r="C110" s="53" t="s">
        <v>101</v>
      </c>
      <c r="D110" s="169">
        <f t="shared" si="3"/>
        <v>0</v>
      </c>
      <c r="E110" s="141"/>
      <c r="F110" s="181"/>
      <c r="G110" s="182"/>
      <c r="H110" s="125"/>
      <c r="I110" s="134"/>
      <c r="J110" s="134"/>
      <c r="K110" s="134"/>
      <c r="L110" s="134"/>
      <c r="M110" s="134"/>
      <c r="N110" s="134"/>
      <c r="O110" s="134"/>
      <c r="P110" s="134"/>
      <c r="Q110" s="134"/>
      <c r="R110" s="134"/>
      <c r="S110" s="62"/>
      <c r="T110" s="65">
        <f>IF('1. ZWB'!R95=0,'1. ZWB'!Q95,'1. ZWB'!R95)</f>
        <v>1</v>
      </c>
      <c r="U110" s="162">
        <f>'1. ZWB'!S95</f>
        <v>0</v>
      </c>
      <c r="V110" s="70"/>
      <c r="W110" s="65">
        <f>IF('2. ZWB'!R95=0,'2. ZWB'!Q95,'2. ZWB'!R95)</f>
        <v>1</v>
      </c>
      <c r="X110" s="162">
        <f>'2. ZWB'!S95</f>
        <v>0</v>
      </c>
      <c r="Y110" s="70"/>
      <c r="Z110" s="65">
        <f>IF('3. ZWB'!R95=0,'3. ZWB'!Q95,'3. ZWB'!R95)</f>
        <v>5</v>
      </c>
      <c r="AA110" s="162">
        <f>'3. ZWB'!S95</f>
        <v>0</v>
      </c>
      <c r="AB110" s="70"/>
      <c r="AC110" s="65">
        <f>IF(EB!R95=0,EB!Q95,EB!R95)</f>
        <v>7</v>
      </c>
      <c r="AD110" s="162">
        <f>EB!S95</f>
        <v>0</v>
      </c>
      <c r="AE110" s="7"/>
    </row>
    <row r="111" spans="2:31" ht="30" x14ac:dyDescent="0.25">
      <c r="B111" s="5"/>
      <c r="C111" s="53" t="s">
        <v>79</v>
      </c>
      <c r="D111" s="169">
        <f t="shared" si="3"/>
        <v>0</v>
      </c>
      <c r="E111" s="141"/>
      <c r="F111" s="181"/>
      <c r="G111" s="182"/>
      <c r="H111" s="125"/>
      <c r="I111" s="134"/>
      <c r="J111" s="134"/>
      <c r="K111" s="134"/>
      <c r="L111" s="134"/>
      <c r="M111" s="134"/>
      <c r="N111" s="134"/>
      <c r="O111" s="134"/>
      <c r="P111" s="134"/>
      <c r="Q111" s="134"/>
      <c r="R111" s="134"/>
      <c r="S111" s="62"/>
      <c r="T111" s="65">
        <f>IF('1. ZWB'!R96=0,'1. ZWB'!Q96,'1. ZWB'!R96)</f>
        <v>2</v>
      </c>
      <c r="U111" s="162">
        <f>'1. ZWB'!S96</f>
        <v>0</v>
      </c>
      <c r="V111" s="70"/>
      <c r="W111" s="65">
        <f>IF('2. ZWB'!R96=0,'2. ZWB'!Q96,'2. ZWB'!R96)</f>
        <v>4</v>
      </c>
      <c r="X111" s="162">
        <f>'2. ZWB'!S96</f>
        <v>0</v>
      </c>
      <c r="Y111" s="70"/>
      <c r="Z111" s="65">
        <f>IF('3. ZWB'!R96=0,'3. ZWB'!Q96,'3. ZWB'!R96)</f>
        <v>7</v>
      </c>
      <c r="AA111" s="162">
        <f>'3. ZWB'!S96</f>
        <v>0</v>
      </c>
      <c r="AB111" s="70"/>
      <c r="AC111" s="65">
        <f>IF(EB!R96=0,EB!Q96,EB!R96)</f>
        <v>9</v>
      </c>
      <c r="AD111" s="162">
        <f>EB!S96</f>
        <v>0</v>
      </c>
      <c r="AE111" s="7"/>
    </row>
    <row r="112" spans="2:31" ht="45" customHeight="1" x14ac:dyDescent="0.25">
      <c r="B112" s="5"/>
      <c r="C112" s="53" t="s">
        <v>78</v>
      </c>
      <c r="D112" s="169">
        <f t="shared" si="3"/>
        <v>0</v>
      </c>
      <c r="E112" s="141"/>
      <c r="F112" s="181"/>
      <c r="G112" s="182"/>
      <c r="H112" s="125"/>
      <c r="I112" s="134"/>
      <c r="J112" s="134"/>
      <c r="K112" s="134"/>
      <c r="L112" s="134"/>
      <c r="M112" s="134"/>
      <c r="N112" s="134"/>
      <c r="O112" s="134"/>
      <c r="P112" s="134"/>
      <c r="Q112" s="134"/>
      <c r="R112" s="134"/>
      <c r="S112" s="61"/>
      <c r="T112" s="65">
        <f>IF('1. ZWB'!R97=0,'1. ZWB'!Q97,'1. ZWB'!R97)</f>
        <v>2</v>
      </c>
      <c r="U112" s="162">
        <f>'1. ZWB'!S97</f>
        <v>0</v>
      </c>
      <c r="V112" s="70"/>
      <c r="W112" s="65">
        <f>IF('2. ZWB'!R97=0,'2. ZWB'!Q97,'2. ZWB'!R97)</f>
        <v>5</v>
      </c>
      <c r="X112" s="162">
        <f>'2. ZWB'!S97</f>
        <v>0</v>
      </c>
      <c r="Y112" s="70"/>
      <c r="Z112" s="65">
        <f>IF('3. ZWB'!R97=0,'3. ZWB'!Q97,'3. ZWB'!R97)</f>
        <v>10</v>
      </c>
      <c r="AA112" s="162">
        <f>'3. ZWB'!S97</f>
        <v>0</v>
      </c>
      <c r="AB112" s="70"/>
      <c r="AC112" s="65">
        <f>IF(EB!R97=0,EB!Q97,EB!R97)</f>
        <v>14</v>
      </c>
      <c r="AD112" s="162">
        <f>EB!S97</f>
        <v>0</v>
      </c>
      <c r="AE112" s="7"/>
    </row>
    <row r="113" spans="2:55" ht="26.25" customHeight="1" x14ac:dyDescent="0.25">
      <c r="B113" s="5"/>
      <c r="C113" s="174" t="s">
        <v>158</v>
      </c>
      <c r="D113" s="169">
        <f t="shared" si="3"/>
        <v>0</v>
      </c>
      <c r="E113" s="141"/>
      <c r="F113" s="181"/>
      <c r="G113" s="182"/>
      <c r="H113" s="126"/>
      <c r="I113" s="134"/>
      <c r="J113" s="134"/>
      <c r="K113" s="134"/>
      <c r="L113" s="134"/>
      <c r="M113" s="134"/>
      <c r="N113" s="134"/>
      <c r="O113" s="134"/>
      <c r="P113" s="134"/>
      <c r="Q113" s="134"/>
      <c r="R113" s="134"/>
      <c r="S113" s="62"/>
      <c r="T113" s="65">
        <f>IF('1. ZWB'!R98=0,'1. ZWB'!Q98,'1. ZWB'!R98)</f>
        <v>22</v>
      </c>
      <c r="U113" s="162">
        <f>'1. ZWB'!S98</f>
        <v>0</v>
      </c>
      <c r="V113" s="83"/>
      <c r="W113" s="65">
        <f>IF('2. ZWB'!R98=0,'2. ZWB'!Q98,'2. ZWB'!R98)</f>
        <v>26</v>
      </c>
      <c r="X113" s="162">
        <f>'2. ZWB'!S98</f>
        <v>0</v>
      </c>
      <c r="Y113" s="83"/>
      <c r="Z113" s="65">
        <f>IF('3. ZWB'!R98=0,'3. ZWB'!Q98,'3. ZWB'!R98)</f>
        <v>29</v>
      </c>
      <c r="AA113" s="162">
        <f>'3. ZWB'!S98</f>
        <v>0</v>
      </c>
      <c r="AB113" s="83"/>
      <c r="AC113" s="65">
        <f>IF(EB!R98=0,EB!Q98,EB!R98)</f>
        <v>33</v>
      </c>
      <c r="AD113" s="162">
        <f>EB!S98</f>
        <v>0</v>
      </c>
      <c r="AE113" s="7"/>
    </row>
    <row r="114" spans="2:55" s="9" customFormat="1" ht="25.15" customHeight="1" x14ac:dyDescent="0.25">
      <c r="B114" s="38"/>
      <c r="C114" s="34" t="s">
        <v>0</v>
      </c>
      <c r="D114" s="11"/>
      <c r="E114" s="11"/>
      <c r="F114" s="11"/>
      <c r="G114" s="148"/>
      <c r="H114" s="14"/>
      <c r="I114" s="127"/>
      <c r="J114" s="127"/>
      <c r="K114" s="127"/>
      <c r="L114" s="127"/>
      <c r="M114" s="127"/>
      <c r="N114" s="127"/>
      <c r="O114" s="127"/>
      <c r="P114" s="127"/>
      <c r="Q114" s="127"/>
      <c r="R114" s="14"/>
      <c r="S114" s="14"/>
      <c r="T114" s="166"/>
      <c r="U114" s="14"/>
      <c r="V114" s="14"/>
      <c r="W114" s="14"/>
      <c r="X114" s="14"/>
      <c r="Y114" s="14"/>
      <c r="Z114" s="14"/>
      <c r="AA114" s="14"/>
      <c r="AB114" s="14"/>
      <c r="AC114" s="14"/>
      <c r="AD114" s="14"/>
      <c r="AE114" s="5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row>
    <row r="115" spans="2:55" s="46" customFormat="1" x14ac:dyDescent="0.25">
      <c r="D115" s="149"/>
      <c r="E115" s="149"/>
      <c r="F115" s="149"/>
      <c r="G115" s="149"/>
      <c r="T115" s="167"/>
    </row>
    <row r="116" spans="2:55" s="46" customFormat="1" x14ac:dyDescent="0.25">
      <c r="D116" s="149"/>
      <c r="E116" s="149"/>
      <c r="F116" s="149"/>
      <c r="G116" s="149"/>
      <c r="T116" s="167"/>
    </row>
    <row r="117" spans="2:55" s="46" customFormat="1" x14ac:dyDescent="0.25">
      <c r="D117" s="149"/>
      <c r="E117" s="149"/>
      <c r="F117" s="149"/>
      <c r="G117" s="149"/>
      <c r="T117" s="167"/>
    </row>
    <row r="118" spans="2:55" s="46" customFormat="1" x14ac:dyDescent="0.25">
      <c r="D118" s="149"/>
      <c r="E118" s="149"/>
      <c r="F118" s="149"/>
      <c r="G118" s="149"/>
      <c r="T118" s="167"/>
    </row>
    <row r="119" spans="2:55" s="46" customFormat="1" x14ac:dyDescent="0.25">
      <c r="D119" s="149"/>
      <c r="E119" s="149"/>
      <c r="F119" s="149"/>
      <c r="G119" s="149"/>
      <c r="T119" s="167"/>
    </row>
    <row r="120" spans="2:55" s="46" customFormat="1" x14ac:dyDescent="0.25">
      <c r="D120" s="149"/>
      <c r="E120" s="149"/>
      <c r="F120" s="149"/>
      <c r="G120" s="149"/>
      <c r="T120" s="167"/>
    </row>
    <row r="121" spans="2:55" s="46" customFormat="1" x14ac:dyDescent="0.25">
      <c r="D121" s="149"/>
      <c r="E121" s="149"/>
      <c r="F121" s="149"/>
      <c r="G121" s="149"/>
      <c r="T121" s="167"/>
    </row>
    <row r="122" spans="2:55" s="46" customFormat="1" x14ac:dyDescent="0.25">
      <c r="D122" s="149"/>
      <c r="E122" s="149"/>
      <c r="F122" s="149"/>
      <c r="G122" s="149"/>
      <c r="T122" s="167"/>
    </row>
    <row r="123" spans="2:55" s="46" customFormat="1" x14ac:dyDescent="0.25">
      <c r="D123" s="149"/>
      <c r="E123" s="149"/>
      <c r="F123" s="149"/>
      <c r="G123" s="149"/>
      <c r="T123" s="167"/>
    </row>
    <row r="124" spans="2:55" s="46" customFormat="1" x14ac:dyDescent="0.25">
      <c r="D124" s="149"/>
      <c r="E124" s="149"/>
      <c r="F124" s="149"/>
      <c r="G124" s="149"/>
      <c r="T124" s="167"/>
    </row>
    <row r="125" spans="2:55" s="46" customFormat="1" x14ac:dyDescent="0.25">
      <c r="D125" s="149"/>
      <c r="E125" s="149"/>
      <c r="F125" s="149"/>
      <c r="G125" s="149"/>
      <c r="T125" s="167"/>
    </row>
    <row r="126" spans="2:55" s="46" customFormat="1" x14ac:dyDescent="0.25">
      <c r="D126" s="149"/>
      <c r="E126" s="149"/>
      <c r="F126" s="149"/>
      <c r="G126" s="149"/>
      <c r="T126" s="167"/>
    </row>
    <row r="127" spans="2:55" s="46" customFormat="1" x14ac:dyDescent="0.25">
      <c r="D127" s="149"/>
      <c r="E127" s="149"/>
      <c r="F127" s="149"/>
      <c r="G127" s="149"/>
      <c r="T127" s="167"/>
    </row>
    <row r="128" spans="2:55" s="46" customFormat="1" x14ac:dyDescent="0.25">
      <c r="D128" s="149"/>
      <c r="E128" s="149"/>
      <c r="F128" s="149"/>
      <c r="G128" s="149"/>
      <c r="T128" s="167"/>
    </row>
    <row r="129" spans="4:20" s="46" customFormat="1" x14ac:dyDescent="0.25">
      <c r="D129" s="149"/>
      <c r="E129" s="149"/>
      <c r="F129" s="149"/>
      <c r="G129" s="149"/>
      <c r="T129" s="167"/>
    </row>
    <row r="130" spans="4:20" s="46" customFormat="1" x14ac:dyDescent="0.25">
      <c r="D130" s="149"/>
      <c r="E130" s="149"/>
      <c r="F130" s="149"/>
      <c r="G130" s="149"/>
      <c r="T130" s="167"/>
    </row>
    <row r="131" spans="4:20" s="46" customFormat="1" x14ac:dyDescent="0.25">
      <c r="D131" s="149"/>
      <c r="E131" s="149"/>
      <c r="F131" s="149"/>
      <c r="G131" s="149"/>
      <c r="T131" s="167"/>
    </row>
    <row r="132" spans="4:20" s="46" customFormat="1" x14ac:dyDescent="0.25">
      <c r="D132" s="149"/>
      <c r="E132" s="149"/>
      <c r="F132" s="149"/>
      <c r="G132" s="149"/>
      <c r="T132" s="167"/>
    </row>
    <row r="133" spans="4:20" s="46" customFormat="1" x14ac:dyDescent="0.25">
      <c r="D133" s="149"/>
      <c r="E133" s="149"/>
      <c r="F133" s="149"/>
      <c r="G133" s="149"/>
      <c r="T133" s="167"/>
    </row>
    <row r="134" spans="4:20" s="46" customFormat="1" x14ac:dyDescent="0.25">
      <c r="D134" s="149"/>
      <c r="E134" s="149"/>
      <c r="F134" s="149"/>
      <c r="G134" s="149"/>
      <c r="T134" s="167"/>
    </row>
    <row r="135" spans="4:20" s="46" customFormat="1" x14ac:dyDescent="0.25">
      <c r="D135" s="149"/>
      <c r="E135" s="149"/>
      <c r="F135" s="149"/>
      <c r="G135" s="149"/>
      <c r="T135" s="167"/>
    </row>
    <row r="136" spans="4:20" s="46" customFormat="1" x14ac:dyDescent="0.25">
      <c r="D136" s="149"/>
      <c r="E136" s="149"/>
      <c r="F136" s="149"/>
      <c r="G136" s="149"/>
      <c r="T136" s="167"/>
    </row>
    <row r="137" spans="4:20" s="46" customFormat="1" x14ac:dyDescent="0.25">
      <c r="D137" s="149"/>
      <c r="E137" s="149"/>
      <c r="F137" s="149"/>
      <c r="G137" s="149"/>
      <c r="T137" s="167"/>
    </row>
    <row r="138" spans="4:20" s="46" customFormat="1" x14ac:dyDescent="0.25">
      <c r="D138" s="149"/>
      <c r="E138" s="149"/>
      <c r="F138" s="149"/>
      <c r="G138" s="149"/>
      <c r="T138" s="167"/>
    </row>
    <row r="139" spans="4:20" s="46" customFormat="1" x14ac:dyDescent="0.25">
      <c r="D139" s="149"/>
      <c r="E139" s="149"/>
      <c r="F139" s="149"/>
      <c r="G139" s="149"/>
      <c r="T139" s="167"/>
    </row>
    <row r="140" spans="4:20" s="46" customFormat="1" x14ac:dyDescent="0.25">
      <c r="D140" s="149"/>
      <c r="E140" s="149"/>
      <c r="F140" s="149"/>
      <c r="G140" s="149"/>
      <c r="T140" s="167"/>
    </row>
    <row r="141" spans="4:20" s="46" customFormat="1" x14ac:dyDescent="0.25">
      <c r="D141" s="149"/>
      <c r="E141" s="149"/>
      <c r="F141" s="149"/>
      <c r="G141" s="149"/>
      <c r="T141" s="167"/>
    </row>
    <row r="142" spans="4:20" s="46" customFormat="1" x14ac:dyDescent="0.25">
      <c r="D142" s="149"/>
      <c r="E142" s="149"/>
      <c r="F142" s="149"/>
      <c r="G142" s="149"/>
      <c r="T142" s="167"/>
    </row>
    <row r="143" spans="4:20" s="46" customFormat="1" x14ac:dyDescent="0.25">
      <c r="D143" s="149"/>
      <c r="E143" s="149"/>
      <c r="F143" s="149"/>
      <c r="G143" s="149"/>
      <c r="T143" s="167"/>
    </row>
    <row r="144" spans="4:20" s="46" customFormat="1" x14ac:dyDescent="0.25">
      <c r="D144" s="149"/>
      <c r="E144" s="149"/>
      <c r="F144" s="149"/>
      <c r="G144" s="149"/>
      <c r="T144" s="167"/>
    </row>
    <row r="145" spans="4:20" s="46" customFormat="1" x14ac:dyDescent="0.25">
      <c r="D145" s="149"/>
      <c r="E145" s="149"/>
      <c r="F145" s="149"/>
      <c r="G145" s="149"/>
      <c r="T145" s="167"/>
    </row>
    <row r="146" spans="4:20" s="46" customFormat="1" x14ac:dyDescent="0.25">
      <c r="D146" s="149"/>
      <c r="E146" s="149"/>
      <c r="F146" s="149"/>
      <c r="G146" s="149"/>
      <c r="T146" s="167"/>
    </row>
    <row r="147" spans="4:20" s="46" customFormat="1" x14ac:dyDescent="0.25">
      <c r="D147" s="149"/>
      <c r="E147" s="149"/>
      <c r="F147" s="149"/>
      <c r="G147" s="149"/>
      <c r="T147" s="167"/>
    </row>
    <row r="148" spans="4:20" s="46" customFormat="1" x14ac:dyDescent="0.25">
      <c r="D148" s="149"/>
      <c r="E148" s="149"/>
      <c r="F148" s="149"/>
      <c r="G148" s="149"/>
      <c r="T148" s="167"/>
    </row>
    <row r="149" spans="4:20" s="46" customFormat="1" x14ac:dyDescent="0.25">
      <c r="D149" s="149"/>
      <c r="E149" s="149"/>
      <c r="F149" s="149"/>
      <c r="G149" s="149"/>
      <c r="T149" s="167"/>
    </row>
    <row r="150" spans="4:20" s="46" customFormat="1" x14ac:dyDescent="0.25">
      <c r="D150" s="149"/>
      <c r="E150" s="149"/>
      <c r="F150" s="149"/>
      <c r="G150" s="149"/>
      <c r="T150" s="167"/>
    </row>
    <row r="151" spans="4:20" s="46" customFormat="1" x14ac:dyDescent="0.25">
      <c r="D151" s="149"/>
      <c r="E151" s="149"/>
      <c r="F151" s="149"/>
      <c r="G151" s="149"/>
      <c r="T151" s="167"/>
    </row>
    <row r="152" spans="4:20" s="46" customFormat="1" x14ac:dyDescent="0.25">
      <c r="D152" s="149"/>
      <c r="E152" s="149"/>
      <c r="F152" s="149"/>
      <c r="G152" s="149"/>
      <c r="T152" s="167"/>
    </row>
    <row r="153" spans="4:20" s="46" customFormat="1" x14ac:dyDescent="0.25">
      <c r="D153" s="149"/>
      <c r="E153" s="149"/>
      <c r="F153" s="149"/>
      <c r="G153" s="149"/>
      <c r="T153" s="167"/>
    </row>
    <row r="154" spans="4:20" s="46" customFormat="1" x14ac:dyDescent="0.25">
      <c r="D154" s="149"/>
      <c r="E154" s="149"/>
      <c r="F154" s="149"/>
      <c r="G154" s="149"/>
      <c r="T154" s="167"/>
    </row>
    <row r="155" spans="4:20" s="46" customFormat="1" x14ac:dyDescent="0.25">
      <c r="D155" s="149"/>
      <c r="E155" s="149"/>
      <c r="F155" s="149"/>
      <c r="G155" s="149"/>
      <c r="T155" s="167"/>
    </row>
    <row r="156" spans="4:20" s="46" customFormat="1" x14ac:dyDescent="0.25">
      <c r="D156" s="149"/>
      <c r="E156" s="149"/>
      <c r="F156" s="149"/>
      <c r="G156" s="149"/>
      <c r="T156" s="167"/>
    </row>
    <row r="157" spans="4:20" s="46" customFormat="1" x14ac:dyDescent="0.25">
      <c r="D157" s="149"/>
      <c r="E157" s="149"/>
      <c r="F157" s="149"/>
      <c r="G157" s="149"/>
      <c r="T157" s="167"/>
    </row>
    <row r="158" spans="4:20" s="46" customFormat="1" x14ac:dyDescent="0.25">
      <c r="D158" s="149"/>
      <c r="E158" s="149"/>
      <c r="F158" s="149"/>
      <c r="G158" s="149"/>
      <c r="T158" s="167"/>
    </row>
    <row r="159" spans="4:20" s="46" customFormat="1" x14ac:dyDescent="0.25">
      <c r="D159" s="149"/>
      <c r="E159" s="149"/>
      <c r="F159" s="149"/>
      <c r="G159" s="149"/>
      <c r="T159" s="167"/>
    </row>
    <row r="160" spans="4:20" s="46" customFormat="1" x14ac:dyDescent="0.25">
      <c r="D160" s="149"/>
      <c r="E160" s="149"/>
      <c r="F160" s="149"/>
      <c r="G160" s="149"/>
      <c r="T160" s="167"/>
    </row>
    <row r="161" spans="4:20" s="46" customFormat="1" x14ac:dyDescent="0.25">
      <c r="D161" s="149"/>
      <c r="E161" s="149"/>
      <c r="F161" s="149"/>
      <c r="G161" s="149"/>
      <c r="T161" s="167"/>
    </row>
    <row r="162" spans="4:20" s="46" customFormat="1" x14ac:dyDescent="0.25">
      <c r="D162" s="149"/>
      <c r="E162" s="149"/>
      <c r="F162" s="149"/>
      <c r="G162" s="149"/>
      <c r="T162" s="167"/>
    </row>
    <row r="163" spans="4:20" s="46" customFormat="1" x14ac:dyDescent="0.25">
      <c r="D163" s="149"/>
      <c r="E163" s="149"/>
      <c r="F163" s="149"/>
      <c r="G163" s="149"/>
      <c r="T163" s="167"/>
    </row>
    <row r="164" spans="4:20" s="46" customFormat="1" x14ac:dyDescent="0.25">
      <c r="D164" s="149"/>
      <c r="E164" s="149"/>
      <c r="F164" s="149"/>
      <c r="G164" s="149"/>
      <c r="T164" s="167"/>
    </row>
    <row r="165" spans="4:20" s="46" customFormat="1" x14ac:dyDescent="0.25">
      <c r="D165" s="149"/>
      <c r="E165" s="149"/>
      <c r="F165" s="149"/>
      <c r="G165" s="149"/>
      <c r="T165" s="167"/>
    </row>
    <row r="166" spans="4:20" s="46" customFormat="1" x14ac:dyDescent="0.25">
      <c r="D166" s="149"/>
      <c r="E166" s="149"/>
      <c r="F166" s="149"/>
      <c r="G166" s="149"/>
      <c r="T166" s="167"/>
    </row>
    <row r="167" spans="4:20" s="46" customFormat="1" x14ac:dyDescent="0.25">
      <c r="D167" s="149"/>
      <c r="E167" s="149"/>
      <c r="F167" s="149"/>
      <c r="G167" s="149"/>
      <c r="T167" s="167"/>
    </row>
    <row r="168" spans="4:20" s="46" customFormat="1" x14ac:dyDescent="0.25">
      <c r="D168" s="149"/>
      <c r="E168" s="149"/>
      <c r="F168" s="149"/>
      <c r="G168" s="149"/>
      <c r="T168" s="167"/>
    </row>
    <row r="169" spans="4:20" s="46" customFormat="1" x14ac:dyDescent="0.25">
      <c r="D169" s="149"/>
      <c r="E169" s="149"/>
      <c r="F169" s="149"/>
      <c r="G169" s="149"/>
      <c r="T169" s="167"/>
    </row>
    <row r="170" spans="4:20" s="46" customFormat="1" x14ac:dyDescent="0.25">
      <c r="D170" s="149"/>
      <c r="E170" s="149"/>
      <c r="F170" s="149"/>
      <c r="G170" s="149"/>
      <c r="T170" s="167"/>
    </row>
    <row r="171" spans="4:20" s="46" customFormat="1" x14ac:dyDescent="0.25">
      <c r="D171" s="149"/>
      <c r="E171" s="149"/>
      <c r="F171" s="149"/>
      <c r="G171" s="149"/>
      <c r="T171" s="167"/>
    </row>
    <row r="172" spans="4:20" s="46" customFormat="1" x14ac:dyDescent="0.25">
      <c r="D172" s="149"/>
      <c r="E172" s="149"/>
      <c r="F172" s="149"/>
      <c r="G172" s="149"/>
      <c r="T172" s="167"/>
    </row>
    <row r="173" spans="4:20" s="46" customFormat="1" x14ac:dyDescent="0.25">
      <c r="D173" s="149"/>
      <c r="E173" s="149"/>
      <c r="F173" s="149"/>
      <c r="G173" s="149"/>
      <c r="T173" s="167"/>
    </row>
    <row r="174" spans="4:20" s="46" customFormat="1" x14ac:dyDescent="0.25">
      <c r="D174" s="149"/>
      <c r="E174" s="149"/>
      <c r="F174" s="149"/>
      <c r="G174" s="149"/>
      <c r="T174" s="167"/>
    </row>
    <row r="175" spans="4:20" s="46" customFormat="1" x14ac:dyDescent="0.25">
      <c r="D175" s="149"/>
      <c r="E175" s="149"/>
      <c r="F175" s="149"/>
      <c r="G175" s="149"/>
      <c r="T175" s="167"/>
    </row>
    <row r="176" spans="4:20" s="46" customFormat="1" x14ac:dyDescent="0.25">
      <c r="D176" s="149"/>
      <c r="E176" s="149"/>
      <c r="F176" s="149"/>
      <c r="G176" s="149"/>
      <c r="T176" s="167"/>
    </row>
    <row r="177" spans="4:20" s="46" customFormat="1" x14ac:dyDescent="0.25">
      <c r="D177" s="149"/>
      <c r="E177" s="149"/>
      <c r="F177" s="149"/>
      <c r="G177" s="149"/>
      <c r="T177" s="167"/>
    </row>
    <row r="178" spans="4:20" s="46" customFormat="1" x14ac:dyDescent="0.25">
      <c r="D178" s="149"/>
      <c r="E178" s="149"/>
      <c r="F178" s="149"/>
      <c r="G178" s="149"/>
      <c r="T178" s="167"/>
    </row>
    <row r="179" spans="4:20" s="46" customFormat="1" x14ac:dyDescent="0.25">
      <c r="D179" s="149"/>
      <c r="E179" s="149"/>
      <c r="F179" s="149"/>
      <c r="G179" s="149"/>
      <c r="T179" s="167"/>
    </row>
    <row r="180" spans="4:20" s="46" customFormat="1" x14ac:dyDescent="0.25">
      <c r="D180" s="149"/>
      <c r="E180" s="149"/>
      <c r="F180" s="149"/>
      <c r="G180" s="149"/>
      <c r="T180" s="167"/>
    </row>
    <row r="181" spans="4:20" s="46" customFormat="1" x14ac:dyDescent="0.25">
      <c r="D181" s="149"/>
      <c r="E181" s="149"/>
      <c r="F181" s="149"/>
      <c r="G181" s="149"/>
      <c r="T181" s="167"/>
    </row>
    <row r="182" spans="4:20" s="46" customFormat="1" x14ac:dyDescent="0.25">
      <c r="D182" s="149"/>
      <c r="E182" s="149"/>
      <c r="F182" s="149"/>
      <c r="G182" s="149"/>
      <c r="T182" s="167"/>
    </row>
    <row r="183" spans="4:20" s="46" customFormat="1" x14ac:dyDescent="0.25">
      <c r="D183" s="149"/>
      <c r="E183" s="149"/>
      <c r="F183" s="149"/>
      <c r="G183" s="149"/>
      <c r="T183" s="167"/>
    </row>
    <row r="184" spans="4:20" s="46" customFormat="1" x14ac:dyDescent="0.25">
      <c r="D184" s="149"/>
      <c r="E184" s="149"/>
      <c r="F184" s="149"/>
      <c r="G184" s="149"/>
      <c r="T184" s="167"/>
    </row>
    <row r="185" spans="4:20" s="46" customFormat="1" x14ac:dyDescent="0.25">
      <c r="D185" s="149"/>
      <c r="E185" s="149"/>
      <c r="F185" s="149"/>
      <c r="G185" s="149"/>
      <c r="T185" s="167"/>
    </row>
    <row r="186" spans="4:20" s="46" customFormat="1" x14ac:dyDescent="0.25">
      <c r="D186" s="149"/>
      <c r="E186" s="149"/>
      <c r="F186" s="149"/>
      <c r="G186" s="149"/>
      <c r="T186" s="167"/>
    </row>
    <row r="187" spans="4:20" s="46" customFormat="1" x14ac:dyDescent="0.25">
      <c r="D187" s="149"/>
      <c r="E187" s="149"/>
      <c r="F187" s="149"/>
      <c r="G187" s="149"/>
      <c r="T187" s="167"/>
    </row>
    <row r="188" spans="4:20" s="46" customFormat="1" x14ac:dyDescent="0.25">
      <c r="D188" s="149"/>
      <c r="E188" s="149"/>
      <c r="F188" s="149"/>
      <c r="G188" s="149"/>
      <c r="T188" s="167"/>
    </row>
    <row r="189" spans="4:20" s="46" customFormat="1" x14ac:dyDescent="0.25">
      <c r="D189" s="149"/>
      <c r="E189" s="149"/>
      <c r="F189" s="149"/>
      <c r="G189" s="149"/>
      <c r="T189" s="167"/>
    </row>
    <row r="190" spans="4:20" s="46" customFormat="1" x14ac:dyDescent="0.25">
      <c r="D190" s="149"/>
      <c r="E190" s="149"/>
      <c r="F190" s="149"/>
      <c r="G190" s="149"/>
      <c r="T190" s="167"/>
    </row>
    <row r="191" spans="4:20" s="46" customFormat="1" x14ac:dyDescent="0.25">
      <c r="D191" s="149"/>
      <c r="E191" s="149"/>
      <c r="F191" s="149"/>
      <c r="G191" s="149"/>
      <c r="T191" s="167"/>
    </row>
    <row r="192" spans="4:20" s="46" customFormat="1" x14ac:dyDescent="0.25">
      <c r="D192" s="149"/>
      <c r="E192" s="149"/>
      <c r="F192" s="149"/>
      <c r="G192" s="149"/>
      <c r="T192" s="167"/>
    </row>
    <row r="193" spans="4:20" s="46" customFormat="1" x14ac:dyDescent="0.25">
      <c r="D193" s="149"/>
      <c r="E193" s="149"/>
      <c r="F193" s="149"/>
      <c r="G193" s="149"/>
      <c r="T193" s="167"/>
    </row>
    <row r="194" spans="4:20" s="46" customFormat="1" x14ac:dyDescent="0.25">
      <c r="D194" s="149"/>
      <c r="E194" s="149"/>
      <c r="F194" s="149"/>
      <c r="G194" s="149"/>
      <c r="T194" s="167"/>
    </row>
    <row r="195" spans="4:20" s="46" customFormat="1" x14ac:dyDescent="0.25">
      <c r="D195" s="149"/>
      <c r="E195" s="149"/>
      <c r="F195" s="149"/>
      <c r="G195" s="149"/>
      <c r="T195" s="167"/>
    </row>
    <row r="196" spans="4:20" s="46" customFormat="1" x14ac:dyDescent="0.25">
      <c r="D196" s="149"/>
      <c r="E196" s="149"/>
      <c r="F196" s="149"/>
      <c r="G196" s="149"/>
      <c r="T196" s="167"/>
    </row>
    <row r="197" spans="4:20" s="46" customFormat="1" x14ac:dyDescent="0.25">
      <c r="D197" s="149"/>
      <c r="E197" s="149"/>
      <c r="F197" s="149"/>
      <c r="G197" s="149"/>
      <c r="T197" s="167"/>
    </row>
    <row r="198" spans="4:20" s="46" customFormat="1" x14ac:dyDescent="0.25">
      <c r="D198" s="149"/>
      <c r="E198" s="149"/>
      <c r="F198" s="149"/>
      <c r="G198" s="149"/>
      <c r="T198" s="167"/>
    </row>
    <row r="199" spans="4:20" s="46" customFormat="1" x14ac:dyDescent="0.25">
      <c r="D199" s="149"/>
      <c r="E199" s="149"/>
      <c r="F199" s="149"/>
      <c r="G199" s="149"/>
      <c r="T199" s="167"/>
    </row>
    <row r="200" spans="4:20" s="46" customFormat="1" x14ac:dyDescent="0.25">
      <c r="D200" s="149"/>
      <c r="E200" s="149"/>
      <c r="F200" s="149"/>
      <c r="G200" s="149"/>
      <c r="T200" s="167"/>
    </row>
    <row r="201" spans="4:20" s="46" customFormat="1" x14ac:dyDescent="0.25">
      <c r="D201" s="149"/>
      <c r="E201" s="149"/>
      <c r="F201" s="149"/>
      <c r="G201" s="149"/>
      <c r="T201" s="167"/>
    </row>
    <row r="202" spans="4:20" s="46" customFormat="1" x14ac:dyDescent="0.25">
      <c r="D202" s="149"/>
      <c r="E202" s="149"/>
      <c r="F202" s="149"/>
      <c r="G202" s="149"/>
      <c r="T202" s="167"/>
    </row>
    <row r="203" spans="4:20" s="46" customFormat="1" x14ac:dyDescent="0.25">
      <c r="D203" s="149"/>
      <c r="E203" s="149"/>
      <c r="F203" s="149"/>
      <c r="G203" s="149"/>
      <c r="T203" s="167"/>
    </row>
    <row r="204" spans="4:20" s="46" customFormat="1" x14ac:dyDescent="0.25">
      <c r="D204" s="149"/>
      <c r="E204" s="149"/>
      <c r="F204" s="149"/>
      <c r="G204" s="149"/>
      <c r="T204" s="167"/>
    </row>
    <row r="205" spans="4:20" s="46" customFormat="1" x14ac:dyDescent="0.25">
      <c r="D205" s="149"/>
      <c r="E205" s="149"/>
      <c r="F205" s="149"/>
      <c r="G205" s="149"/>
      <c r="T205" s="167"/>
    </row>
    <row r="206" spans="4:20" s="46" customFormat="1" x14ac:dyDescent="0.25">
      <c r="D206" s="149"/>
      <c r="E206" s="149"/>
      <c r="F206" s="149"/>
      <c r="G206" s="149"/>
      <c r="T206" s="167"/>
    </row>
    <row r="207" spans="4:20" s="46" customFormat="1" x14ac:dyDescent="0.25">
      <c r="D207" s="149"/>
      <c r="E207" s="149"/>
      <c r="F207" s="149"/>
      <c r="G207" s="149"/>
      <c r="T207" s="167"/>
    </row>
    <row r="208" spans="4:20" s="46" customFormat="1" x14ac:dyDescent="0.25">
      <c r="D208" s="149"/>
      <c r="E208" s="149"/>
      <c r="F208" s="149"/>
      <c r="G208" s="149"/>
      <c r="T208" s="167"/>
    </row>
    <row r="209" spans="4:20" s="46" customFormat="1" x14ac:dyDescent="0.25">
      <c r="D209" s="149"/>
      <c r="E209" s="149"/>
      <c r="F209" s="149"/>
      <c r="G209" s="149"/>
      <c r="T209" s="167"/>
    </row>
    <row r="210" spans="4:20" s="46" customFormat="1" x14ac:dyDescent="0.25">
      <c r="D210" s="149"/>
      <c r="E210" s="149"/>
      <c r="F210" s="149"/>
      <c r="G210" s="149"/>
      <c r="T210" s="167"/>
    </row>
    <row r="211" spans="4:20" s="46" customFormat="1" x14ac:dyDescent="0.25">
      <c r="D211" s="149"/>
      <c r="E211" s="149"/>
      <c r="F211" s="149"/>
      <c r="G211" s="149"/>
      <c r="T211" s="167"/>
    </row>
    <row r="212" spans="4:20" s="46" customFormat="1" x14ac:dyDescent="0.25">
      <c r="D212" s="149"/>
      <c r="E212" s="149"/>
      <c r="F212" s="149"/>
      <c r="G212" s="149"/>
      <c r="T212" s="167"/>
    </row>
    <row r="213" spans="4:20" s="46" customFormat="1" x14ac:dyDescent="0.25">
      <c r="D213" s="149"/>
      <c r="E213" s="149"/>
      <c r="F213" s="149"/>
      <c r="G213" s="149"/>
      <c r="T213" s="167"/>
    </row>
    <row r="214" spans="4:20" s="46" customFormat="1" x14ac:dyDescent="0.25">
      <c r="D214" s="149"/>
      <c r="E214" s="149"/>
      <c r="F214" s="149"/>
      <c r="G214" s="149"/>
      <c r="T214" s="167"/>
    </row>
    <row r="215" spans="4:20" s="46" customFormat="1" x14ac:dyDescent="0.25">
      <c r="D215" s="149"/>
      <c r="E215" s="149"/>
      <c r="F215" s="149"/>
      <c r="G215" s="149"/>
      <c r="T215" s="167"/>
    </row>
    <row r="216" spans="4:20" s="46" customFormat="1" x14ac:dyDescent="0.25">
      <c r="D216" s="149"/>
      <c r="E216" s="149"/>
      <c r="F216" s="149"/>
      <c r="G216" s="149"/>
      <c r="T216" s="167"/>
    </row>
    <row r="217" spans="4:20" s="46" customFormat="1" x14ac:dyDescent="0.25">
      <c r="D217" s="149"/>
      <c r="E217" s="149"/>
      <c r="F217" s="149"/>
      <c r="G217" s="149"/>
      <c r="T217" s="167"/>
    </row>
    <row r="218" spans="4:20" s="46" customFormat="1" x14ac:dyDescent="0.25">
      <c r="D218" s="149"/>
      <c r="E218" s="149"/>
      <c r="F218" s="149"/>
      <c r="G218" s="149"/>
      <c r="T218" s="167"/>
    </row>
    <row r="219" spans="4:20" s="46" customFormat="1" x14ac:dyDescent="0.25">
      <c r="D219" s="149"/>
      <c r="E219" s="149"/>
      <c r="F219" s="149"/>
      <c r="G219" s="149"/>
      <c r="T219" s="167"/>
    </row>
    <row r="220" spans="4:20" s="46" customFormat="1" x14ac:dyDescent="0.25">
      <c r="D220" s="149"/>
      <c r="E220" s="149"/>
      <c r="F220" s="149"/>
      <c r="G220" s="149"/>
      <c r="T220" s="167"/>
    </row>
    <row r="221" spans="4:20" s="46" customFormat="1" x14ac:dyDescent="0.25">
      <c r="D221" s="149"/>
      <c r="E221" s="149"/>
      <c r="F221" s="149"/>
      <c r="G221" s="149"/>
      <c r="T221" s="167"/>
    </row>
    <row r="222" spans="4:20" s="46" customFormat="1" x14ac:dyDescent="0.25">
      <c r="D222" s="149"/>
      <c r="E222" s="149"/>
      <c r="F222" s="149"/>
      <c r="G222" s="149"/>
      <c r="T222" s="167"/>
    </row>
    <row r="223" spans="4:20" s="46" customFormat="1" x14ac:dyDescent="0.25">
      <c r="D223" s="149"/>
      <c r="E223" s="149"/>
      <c r="F223" s="149"/>
      <c r="G223" s="149"/>
      <c r="T223" s="167"/>
    </row>
    <row r="224" spans="4:20" s="46" customFormat="1" x14ac:dyDescent="0.25">
      <c r="D224" s="149"/>
      <c r="E224" s="149"/>
      <c r="F224" s="149"/>
      <c r="G224" s="149"/>
      <c r="T224" s="167"/>
    </row>
    <row r="225" spans="4:20" s="46" customFormat="1" x14ac:dyDescent="0.25">
      <c r="D225" s="149"/>
      <c r="E225" s="149"/>
      <c r="F225" s="149"/>
      <c r="G225" s="149"/>
      <c r="T225" s="167"/>
    </row>
    <row r="226" spans="4:20" s="46" customFormat="1" x14ac:dyDescent="0.25">
      <c r="D226" s="149"/>
      <c r="E226" s="149"/>
      <c r="F226" s="149"/>
      <c r="G226" s="149"/>
      <c r="T226" s="167"/>
    </row>
    <row r="227" spans="4:20" s="46" customFormat="1" x14ac:dyDescent="0.25">
      <c r="D227" s="149"/>
      <c r="E227" s="149"/>
      <c r="F227" s="149"/>
      <c r="G227" s="149"/>
      <c r="T227" s="167"/>
    </row>
    <row r="228" spans="4:20" s="46" customFormat="1" x14ac:dyDescent="0.25">
      <c r="D228" s="149"/>
      <c r="E228" s="149"/>
      <c r="F228" s="149"/>
      <c r="G228" s="149"/>
      <c r="T228" s="167"/>
    </row>
    <row r="229" spans="4:20" s="46" customFormat="1" x14ac:dyDescent="0.25">
      <c r="D229" s="149"/>
      <c r="E229" s="149"/>
      <c r="F229" s="149"/>
      <c r="G229" s="149"/>
      <c r="T229" s="167"/>
    </row>
    <row r="230" spans="4:20" s="46" customFormat="1" x14ac:dyDescent="0.25">
      <c r="D230" s="149"/>
      <c r="E230" s="149"/>
      <c r="F230" s="149"/>
      <c r="G230" s="149"/>
      <c r="T230" s="167"/>
    </row>
    <row r="231" spans="4:20" s="46" customFormat="1" x14ac:dyDescent="0.25">
      <c r="D231" s="149"/>
      <c r="E231" s="149"/>
      <c r="F231" s="149"/>
      <c r="G231" s="149"/>
      <c r="T231" s="167"/>
    </row>
    <row r="232" spans="4:20" s="46" customFormat="1" x14ac:dyDescent="0.25">
      <c r="D232" s="149"/>
      <c r="E232" s="149"/>
      <c r="F232" s="149"/>
      <c r="G232" s="149"/>
      <c r="T232" s="167"/>
    </row>
    <row r="233" spans="4:20" s="46" customFormat="1" x14ac:dyDescent="0.25">
      <c r="D233" s="149"/>
      <c r="E233" s="149"/>
      <c r="F233" s="149"/>
      <c r="G233" s="149"/>
      <c r="T233" s="167"/>
    </row>
    <row r="234" spans="4:20" s="46" customFormat="1" x14ac:dyDescent="0.25">
      <c r="D234" s="149"/>
      <c r="E234" s="149"/>
      <c r="F234" s="149"/>
      <c r="G234" s="149"/>
      <c r="T234" s="167"/>
    </row>
    <row r="235" spans="4:20" s="46" customFormat="1" x14ac:dyDescent="0.25">
      <c r="D235" s="149"/>
      <c r="E235" s="149"/>
      <c r="F235" s="149"/>
      <c r="G235" s="149"/>
      <c r="T235" s="167"/>
    </row>
    <row r="236" spans="4:20" s="46" customFormat="1" x14ac:dyDescent="0.25">
      <c r="D236" s="149"/>
      <c r="E236" s="149"/>
      <c r="F236" s="149"/>
      <c r="G236" s="149"/>
      <c r="T236" s="167"/>
    </row>
    <row r="237" spans="4:20" s="46" customFormat="1" x14ac:dyDescent="0.25">
      <c r="D237" s="149"/>
      <c r="E237" s="149"/>
      <c r="F237" s="149"/>
      <c r="G237" s="149"/>
      <c r="T237" s="167"/>
    </row>
    <row r="238" spans="4:20" s="46" customFormat="1" x14ac:dyDescent="0.25">
      <c r="D238" s="149"/>
      <c r="E238" s="149"/>
      <c r="F238" s="149"/>
      <c r="G238" s="149"/>
      <c r="T238" s="167"/>
    </row>
    <row r="239" spans="4:20" s="46" customFormat="1" x14ac:dyDescent="0.25">
      <c r="D239" s="149"/>
      <c r="E239" s="149"/>
      <c r="F239" s="149"/>
      <c r="G239" s="149"/>
      <c r="T239" s="167"/>
    </row>
    <row r="240" spans="4:20" s="46" customFormat="1" x14ac:dyDescent="0.25">
      <c r="D240" s="149"/>
      <c r="E240" s="149"/>
      <c r="F240" s="149"/>
      <c r="G240" s="149"/>
      <c r="T240" s="167"/>
    </row>
    <row r="241" spans="4:20" s="46" customFormat="1" x14ac:dyDescent="0.25">
      <c r="D241" s="149"/>
      <c r="E241" s="149"/>
      <c r="F241" s="149"/>
      <c r="G241" s="149"/>
      <c r="T241" s="167"/>
    </row>
    <row r="242" spans="4:20" s="46" customFormat="1" x14ac:dyDescent="0.25">
      <c r="D242" s="149"/>
      <c r="E242" s="149"/>
      <c r="F242" s="149"/>
      <c r="G242" s="149"/>
      <c r="T242" s="167"/>
    </row>
    <row r="243" spans="4:20" s="46" customFormat="1" x14ac:dyDescent="0.25">
      <c r="D243" s="149"/>
      <c r="E243" s="149"/>
      <c r="F243" s="149"/>
      <c r="G243" s="149"/>
      <c r="T243" s="167"/>
    </row>
    <row r="244" spans="4:20" s="46" customFormat="1" x14ac:dyDescent="0.25">
      <c r="D244" s="149"/>
      <c r="E244" s="149"/>
      <c r="F244" s="149"/>
      <c r="G244" s="149"/>
      <c r="T244" s="167"/>
    </row>
    <row r="245" spans="4:20" s="46" customFormat="1" x14ac:dyDescent="0.25">
      <c r="D245" s="149"/>
      <c r="E245" s="149"/>
      <c r="F245" s="149"/>
      <c r="G245" s="149"/>
      <c r="T245" s="167"/>
    </row>
    <row r="246" spans="4:20" s="46" customFormat="1" x14ac:dyDescent="0.25">
      <c r="D246" s="149"/>
      <c r="E246" s="149"/>
      <c r="F246" s="149"/>
      <c r="G246" s="149"/>
      <c r="T246" s="167"/>
    </row>
    <row r="247" spans="4:20" s="46" customFormat="1" x14ac:dyDescent="0.25">
      <c r="D247" s="149"/>
      <c r="E247" s="149"/>
      <c r="F247" s="149"/>
      <c r="G247" s="149"/>
      <c r="T247" s="167"/>
    </row>
    <row r="248" spans="4:20" s="46" customFormat="1" x14ac:dyDescent="0.25">
      <c r="D248" s="149"/>
      <c r="E248" s="149"/>
      <c r="F248" s="149"/>
      <c r="G248" s="149"/>
      <c r="T248" s="167"/>
    </row>
    <row r="249" spans="4:20" s="46" customFormat="1" x14ac:dyDescent="0.25">
      <c r="D249" s="149"/>
      <c r="E249" s="149"/>
      <c r="F249" s="149"/>
      <c r="G249" s="149"/>
      <c r="T249" s="167"/>
    </row>
    <row r="250" spans="4:20" s="46" customFormat="1" x14ac:dyDescent="0.25">
      <c r="D250" s="149"/>
      <c r="E250" s="149"/>
      <c r="F250" s="149"/>
      <c r="G250" s="149"/>
      <c r="T250" s="167"/>
    </row>
    <row r="251" spans="4:20" s="46" customFormat="1" x14ac:dyDescent="0.25">
      <c r="D251" s="149"/>
      <c r="E251" s="149"/>
      <c r="F251" s="149"/>
      <c r="G251" s="149"/>
      <c r="T251" s="167"/>
    </row>
    <row r="252" spans="4:20" s="46" customFormat="1" x14ac:dyDescent="0.25">
      <c r="D252" s="149"/>
      <c r="E252" s="149"/>
      <c r="F252" s="149"/>
      <c r="G252" s="149"/>
      <c r="T252" s="167"/>
    </row>
    <row r="253" spans="4:20" s="46" customFormat="1" x14ac:dyDescent="0.25">
      <c r="D253" s="149"/>
      <c r="E253" s="149"/>
      <c r="F253" s="149"/>
      <c r="G253" s="149"/>
      <c r="T253" s="167"/>
    </row>
    <row r="254" spans="4:20" s="46" customFormat="1" x14ac:dyDescent="0.25">
      <c r="D254" s="149"/>
      <c r="E254" s="149"/>
      <c r="F254" s="149"/>
      <c r="G254" s="149"/>
      <c r="T254" s="167"/>
    </row>
    <row r="255" spans="4:20" s="46" customFormat="1" x14ac:dyDescent="0.25">
      <c r="D255" s="149"/>
      <c r="E255" s="149"/>
      <c r="F255" s="149"/>
      <c r="G255" s="149"/>
      <c r="T255" s="167"/>
    </row>
    <row r="256" spans="4:20" s="46" customFormat="1" x14ac:dyDescent="0.25">
      <c r="D256" s="149"/>
      <c r="E256" s="149"/>
      <c r="F256" s="149"/>
      <c r="G256" s="149"/>
      <c r="T256" s="167"/>
    </row>
    <row r="257" spans="4:20" s="46" customFormat="1" x14ac:dyDescent="0.25">
      <c r="D257" s="149"/>
      <c r="E257" s="149"/>
      <c r="F257" s="149"/>
      <c r="G257" s="149"/>
      <c r="T257" s="167"/>
    </row>
    <row r="258" spans="4:20" s="46" customFormat="1" x14ac:dyDescent="0.25">
      <c r="D258" s="149"/>
      <c r="E258" s="149"/>
      <c r="F258" s="149"/>
      <c r="G258" s="149"/>
      <c r="T258" s="167"/>
    </row>
    <row r="259" spans="4:20" s="46" customFormat="1" x14ac:dyDescent="0.25">
      <c r="D259" s="149"/>
      <c r="E259" s="149"/>
      <c r="F259" s="149"/>
      <c r="G259" s="149"/>
      <c r="T259" s="167"/>
    </row>
    <row r="260" spans="4:20" s="46" customFormat="1" x14ac:dyDescent="0.25">
      <c r="D260" s="149"/>
      <c r="E260" s="149"/>
      <c r="F260" s="149"/>
      <c r="G260" s="149"/>
      <c r="T260" s="167"/>
    </row>
    <row r="261" spans="4:20" s="46" customFormat="1" x14ac:dyDescent="0.25">
      <c r="D261" s="149"/>
      <c r="E261" s="149"/>
      <c r="F261" s="149"/>
      <c r="G261" s="149"/>
      <c r="T261" s="167"/>
    </row>
    <row r="262" spans="4:20" s="46" customFormat="1" x14ac:dyDescent="0.25">
      <c r="D262" s="149"/>
      <c r="E262" s="149"/>
      <c r="F262" s="149"/>
      <c r="G262" s="149"/>
      <c r="T262" s="167"/>
    </row>
    <row r="263" spans="4:20" s="46" customFormat="1" x14ac:dyDescent="0.25">
      <c r="D263" s="149"/>
      <c r="E263" s="149"/>
      <c r="F263" s="149"/>
      <c r="G263" s="149"/>
      <c r="T263" s="167"/>
    </row>
    <row r="264" spans="4:20" s="46" customFormat="1" x14ac:dyDescent="0.25">
      <c r="D264" s="149"/>
      <c r="E264" s="149"/>
      <c r="F264" s="149"/>
      <c r="G264" s="149"/>
      <c r="T264" s="167"/>
    </row>
    <row r="265" spans="4:20" s="46" customFormat="1" x14ac:dyDescent="0.25">
      <c r="D265" s="149"/>
      <c r="E265" s="149"/>
      <c r="F265" s="149"/>
      <c r="G265" s="149"/>
      <c r="T265" s="167"/>
    </row>
    <row r="266" spans="4:20" s="46" customFormat="1" x14ac:dyDescent="0.25">
      <c r="D266" s="149"/>
      <c r="E266" s="149"/>
      <c r="F266" s="149"/>
      <c r="G266" s="149"/>
      <c r="T266" s="167"/>
    </row>
    <row r="267" spans="4:20" s="46" customFormat="1" x14ac:dyDescent="0.25">
      <c r="D267" s="149"/>
      <c r="E267" s="149"/>
      <c r="F267" s="149"/>
      <c r="G267" s="149"/>
      <c r="T267" s="167"/>
    </row>
    <row r="268" spans="4:20" s="46" customFormat="1" x14ac:dyDescent="0.25">
      <c r="D268" s="149"/>
      <c r="E268" s="149"/>
      <c r="F268" s="149"/>
      <c r="G268" s="149"/>
      <c r="T268" s="167"/>
    </row>
    <row r="269" spans="4:20" s="46" customFormat="1" x14ac:dyDescent="0.25">
      <c r="D269" s="149"/>
      <c r="E269" s="149"/>
      <c r="F269" s="149"/>
      <c r="G269" s="149"/>
      <c r="T269" s="167"/>
    </row>
    <row r="270" spans="4:20" s="46" customFormat="1" x14ac:dyDescent="0.25">
      <c r="D270" s="149"/>
      <c r="E270" s="149"/>
      <c r="F270" s="149"/>
      <c r="G270" s="149"/>
      <c r="T270" s="167"/>
    </row>
    <row r="271" spans="4:20" s="46" customFormat="1" x14ac:dyDescent="0.25">
      <c r="D271" s="149"/>
      <c r="E271" s="149"/>
      <c r="F271" s="149"/>
      <c r="G271" s="149"/>
      <c r="T271" s="167"/>
    </row>
    <row r="272" spans="4:20" s="46" customFormat="1" x14ac:dyDescent="0.25">
      <c r="D272" s="149"/>
      <c r="E272" s="149"/>
      <c r="F272" s="149"/>
      <c r="G272" s="149"/>
      <c r="T272" s="167"/>
    </row>
    <row r="273" spans="4:20" s="46" customFormat="1" x14ac:dyDescent="0.25">
      <c r="D273" s="149"/>
      <c r="E273" s="149"/>
      <c r="F273" s="149"/>
      <c r="G273" s="149"/>
      <c r="T273" s="167"/>
    </row>
    <row r="274" spans="4:20" s="46" customFormat="1" x14ac:dyDescent="0.25">
      <c r="D274" s="149"/>
      <c r="E274" s="149"/>
      <c r="F274" s="149"/>
      <c r="G274" s="149"/>
      <c r="T274" s="167"/>
    </row>
    <row r="275" spans="4:20" s="46" customFormat="1" x14ac:dyDescent="0.25">
      <c r="D275" s="149"/>
      <c r="E275" s="149"/>
      <c r="F275" s="149"/>
      <c r="G275" s="149"/>
      <c r="T275" s="167"/>
    </row>
    <row r="276" spans="4:20" s="46" customFormat="1" x14ac:dyDescent="0.25">
      <c r="D276" s="149"/>
      <c r="E276" s="149"/>
      <c r="F276" s="149"/>
      <c r="G276" s="149"/>
      <c r="T276" s="167"/>
    </row>
    <row r="277" spans="4:20" s="46" customFormat="1" x14ac:dyDescent="0.25">
      <c r="D277" s="149"/>
      <c r="E277" s="149"/>
      <c r="F277" s="149"/>
      <c r="G277" s="149"/>
      <c r="T277" s="167"/>
    </row>
    <row r="278" spans="4:20" s="46" customFormat="1" x14ac:dyDescent="0.25">
      <c r="D278" s="149"/>
      <c r="E278" s="149"/>
      <c r="F278" s="149"/>
      <c r="G278" s="149"/>
      <c r="T278" s="167"/>
    </row>
    <row r="279" spans="4:20" s="46" customFormat="1" x14ac:dyDescent="0.25">
      <c r="D279" s="149"/>
      <c r="E279" s="149"/>
      <c r="F279" s="149"/>
      <c r="G279" s="149"/>
      <c r="T279" s="167"/>
    </row>
    <row r="280" spans="4:20" s="46" customFormat="1" x14ac:dyDescent="0.25">
      <c r="D280" s="149"/>
      <c r="E280" s="149"/>
      <c r="F280" s="149"/>
      <c r="G280" s="149"/>
      <c r="T280" s="167"/>
    </row>
    <row r="281" spans="4:20" s="46" customFormat="1" x14ac:dyDescent="0.25">
      <c r="D281" s="149"/>
      <c r="E281" s="149"/>
      <c r="F281" s="149"/>
      <c r="G281" s="149"/>
      <c r="T281" s="167"/>
    </row>
    <row r="282" spans="4:20" s="46" customFormat="1" x14ac:dyDescent="0.25">
      <c r="D282" s="149"/>
      <c r="E282" s="149"/>
      <c r="F282" s="149"/>
      <c r="G282" s="149"/>
      <c r="T282" s="167"/>
    </row>
    <row r="283" spans="4:20" s="46" customFormat="1" x14ac:dyDescent="0.25">
      <c r="D283" s="149"/>
      <c r="E283" s="149"/>
      <c r="F283" s="149"/>
      <c r="G283" s="149"/>
      <c r="T283" s="167"/>
    </row>
    <row r="284" spans="4:20" s="46" customFormat="1" x14ac:dyDescent="0.25">
      <c r="D284" s="149"/>
      <c r="E284" s="149"/>
      <c r="F284" s="149"/>
      <c r="G284" s="149"/>
      <c r="T284" s="167"/>
    </row>
    <row r="285" spans="4:20" s="46" customFormat="1" x14ac:dyDescent="0.25">
      <c r="D285" s="149"/>
      <c r="E285" s="149"/>
      <c r="F285" s="149"/>
      <c r="G285" s="149"/>
      <c r="T285" s="167"/>
    </row>
    <row r="286" spans="4:20" s="46" customFormat="1" x14ac:dyDescent="0.25">
      <c r="D286" s="149"/>
      <c r="E286" s="149"/>
      <c r="F286" s="149"/>
      <c r="G286" s="149"/>
      <c r="T286" s="167"/>
    </row>
    <row r="287" spans="4:20" s="46" customFormat="1" x14ac:dyDescent="0.25">
      <c r="D287" s="149"/>
      <c r="E287" s="149"/>
      <c r="F287" s="149"/>
      <c r="G287" s="149"/>
      <c r="T287" s="167"/>
    </row>
    <row r="288" spans="4:20" s="46" customFormat="1" x14ac:dyDescent="0.25">
      <c r="D288" s="149"/>
      <c r="E288" s="149"/>
      <c r="F288" s="149"/>
      <c r="G288" s="149"/>
      <c r="T288" s="167"/>
    </row>
    <row r="289" spans="4:20" s="46" customFormat="1" x14ac:dyDescent="0.25">
      <c r="D289" s="149"/>
      <c r="E289" s="149"/>
      <c r="F289" s="149"/>
      <c r="G289" s="149"/>
      <c r="T289" s="167"/>
    </row>
    <row r="290" spans="4:20" s="46" customFormat="1" x14ac:dyDescent="0.25">
      <c r="D290" s="149"/>
      <c r="E290" s="149"/>
      <c r="F290" s="149"/>
      <c r="G290" s="149"/>
      <c r="T290" s="167"/>
    </row>
    <row r="291" spans="4:20" s="46" customFormat="1" x14ac:dyDescent="0.25">
      <c r="D291" s="149"/>
      <c r="E291" s="149"/>
      <c r="F291" s="149"/>
      <c r="G291" s="149"/>
      <c r="T291" s="167"/>
    </row>
    <row r="292" spans="4:20" s="46" customFormat="1" x14ac:dyDescent="0.25">
      <c r="D292" s="149"/>
      <c r="E292" s="149"/>
      <c r="F292" s="149"/>
      <c r="G292" s="149"/>
      <c r="T292" s="167"/>
    </row>
    <row r="293" spans="4:20" s="46" customFormat="1" x14ac:dyDescent="0.25">
      <c r="D293" s="149"/>
      <c r="E293" s="149"/>
      <c r="F293" s="149"/>
      <c r="G293" s="149"/>
      <c r="T293" s="167"/>
    </row>
    <row r="294" spans="4:20" s="46" customFormat="1" x14ac:dyDescent="0.25">
      <c r="D294" s="149"/>
      <c r="E294" s="149"/>
      <c r="F294" s="149"/>
      <c r="G294" s="149"/>
      <c r="T294" s="167"/>
    </row>
    <row r="295" spans="4:20" s="46" customFormat="1" x14ac:dyDescent="0.25">
      <c r="D295" s="149"/>
      <c r="E295" s="149"/>
      <c r="F295" s="149"/>
      <c r="G295" s="149"/>
      <c r="T295" s="167"/>
    </row>
    <row r="296" spans="4:20" s="46" customFormat="1" x14ac:dyDescent="0.25">
      <c r="D296" s="149"/>
      <c r="E296" s="149"/>
      <c r="F296" s="149"/>
      <c r="G296" s="149"/>
      <c r="T296" s="167"/>
    </row>
    <row r="297" spans="4:20" s="46" customFormat="1" x14ac:dyDescent="0.25">
      <c r="D297" s="149"/>
      <c r="E297" s="149"/>
      <c r="F297" s="149"/>
      <c r="G297" s="149"/>
      <c r="T297" s="167"/>
    </row>
    <row r="298" spans="4:20" s="46" customFormat="1" x14ac:dyDescent="0.25">
      <c r="D298" s="149"/>
      <c r="E298" s="149"/>
      <c r="F298" s="149"/>
      <c r="G298" s="149"/>
      <c r="T298" s="167"/>
    </row>
    <row r="299" spans="4:20" s="46" customFormat="1" x14ac:dyDescent="0.25">
      <c r="D299" s="149"/>
      <c r="E299" s="149"/>
      <c r="F299" s="149"/>
      <c r="G299" s="149"/>
      <c r="T299" s="167"/>
    </row>
    <row r="300" spans="4:20" s="46" customFormat="1" x14ac:dyDescent="0.25">
      <c r="D300" s="149"/>
      <c r="E300" s="149"/>
      <c r="F300" s="149"/>
      <c r="G300" s="149"/>
      <c r="T300" s="167"/>
    </row>
    <row r="301" spans="4:20" s="46" customFormat="1" x14ac:dyDescent="0.25">
      <c r="D301" s="149"/>
      <c r="E301" s="149"/>
      <c r="F301" s="149"/>
      <c r="G301" s="149"/>
      <c r="T301" s="167"/>
    </row>
    <row r="302" spans="4:20" s="46" customFormat="1" x14ac:dyDescent="0.25">
      <c r="D302" s="149"/>
      <c r="E302" s="149"/>
      <c r="F302" s="149"/>
      <c r="G302" s="149"/>
      <c r="T302" s="167"/>
    </row>
    <row r="303" spans="4:20" s="46" customFormat="1" x14ac:dyDescent="0.25">
      <c r="D303" s="149"/>
      <c r="E303" s="149"/>
      <c r="F303" s="149"/>
      <c r="G303" s="149"/>
      <c r="T303" s="167"/>
    </row>
    <row r="304" spans="4:20" s="46" customFormat="1" x14ac:dyDescent="0.25">
      <c r="D304" s="149"/>
      <c r="E304" s="149"/>
      <c r="F304" s="149"/>
      <c r="G304" s="149"/>
      <c r="T304" s="167"/>
    </row>
    <row r="305" spans="4:20" s="46" customFormat="1" x14ac:dyDescent="0.25">
      <c r="D305" s="149"/>
      <c r="E305" s="149"/>
      <c r="F305" s="149"/>
      <c r="G305" s="149"/>
      <c r="T305" s="167"/>
    </row>
    <row r="306" spans="4:20" s="46" customFormat="1" x14ac:dyDescent="0.25">
      <c r="D306" s="149"/>
      <c r="E306" s="149"/>
      <c r="F306" s="149"/>
      <c r="G306" s="149"/>
      <c r="T306" s="167"/>
    </row>
    <row r="307" spans="4:20" s="46" customFormat="1" x14ac:dyDescent="0.25">
      <c r="D307" s="149"/>
      <c r="E307" s="149"/>
      <c r="F307" s="149"/>
      <c r="G307" s="149"/>
      <c r="T307" s="167"/>
    </row>
    <row r="308" spans="4:20" s="46" customFormat="1" x14ac:dyDescent="0.25">
      <c r="D308" s="149"/>
      <c r="E308" s="149"/>
      <c r="F308" s="149"/>
      <c r="G308" s="149"/>
      <c r="T308" s="167"/>
    </row>
    <row r="309" spans="4:20" s="46" customFormat="1" x14ac:dyDescent="0.25">
      <c r="D309" s="149"/>
      <c r="E309" s="149"/>
      <c r="F309" s="149"/>
      <c r="G309" s="149"/>
      <c r="T309" s="167"/>
    </row>
    <row r="310" spans="4:20" s="46" customFormat="1" x14ac:dyDescent="0.25">
      <c r="D310" s="149"/>
      <c r="E310" s="149"/>
      <c r="F310" s="149"/>
      <c r="G310" s="149"/>
      <c r="T310" s="167"/>
    </row>
    <row r="311" spans="4:20" s="46" customFormat="1" x14ac:dyDescent="0.25">
      <c r="D311" s="149"/>
      <c r="E311" s="149"/>
      <c r="F311" s="149"/>
      <c r="G311" s="149"/>
      <c r="T311" s="167"/>
    </row>
    <row r="312" spans="4:20" s="46" customFormat="1" x14ac:dyDescent="0.25">
      <c r="D312" s="149"/>
      <c r="E312" s="149"/>
      <c r="F312" s="149"/>
      <c r="G312" s="149"/>
      <c r="T312" s="167"/>
    </row>
    <row r="313" spans="4:20" s="46" customFormat="1" x14ac:dyDescent="0.25">
      <c r="D313" s="149"/>
      <c r="E313" s="149"/>
      <c r="F313" s="149"/>
      <c r="G313" s="149"/>
      <c r="T313" s="167"/>
    </row>
    <row r="314" spans="4:20" s="46" customFormat="1" x14ac:dyDescent="0.25">
      <c r="D314" s="149"/>
      <c r="E314" s="149"/>
      <c r="F314" s="149"/>
      <c r="G314" s="149"/>
      <c r="T314" s="167"/>
    </row>
    <row r="315" spans="4:20" s="46" customFormat="1" x14ac:dyDescent="0.25">
      <c r="D315" s="149"/>
      <c r="E315" s="149"/>
      <c r="F315" s="149"/>
      <c r="G315" s="149"/>
      <c r="T315" s="167"/>
    </row>
    <row r="316" spans="4:20" s="46" customFormat="1" x14ac:dyDescent="0.25">
      <c r="D316" s="149"/>
      <c r="E316" s="149"/>
      <c r="F316" s="149"/>
      <c r="G316" s="149"/>
      <c r="T316" s="167"/>
    </row>
    <row r="317" spans="4:20" s="46" customFormat="1" x14ac:dyDescent="0.25">
      <c r="D317" s="149"/>
      <c r="E317" s="149"/>
      <c r="F317" s="149"/>
      <c r="G317" s="149"/>
      <c r="T317" s="167"/>
    </row>
    <row r="318" spans="4:20" s="46" customFormat="1" x14ac:dyDescent="0.25">
      <c r="D318" s="149"/>
      <c r="E318" s="149"/>
      <c r="F318" s="149"/>
      <c r="G318" s="149"/>
      <c r="T318" s="167"/>
    </row>
    <row r="319" spans="4:20" s="46" customFormat="1" x14ac:dyDescent="0.25">
      <c r="D319" s="149"/>
      <c r="E319" s="149"/>
      <c r="F319" s="149"/>
      <c r="G319" s="149"/>
      <c r="T319" s="167"/>
    </row>
    <row r="320" spans="4:20" s="46" customFormat="1" x14ac:dyDescent="0.25">
      <c r="D320" s="149"/>
      <c r="E320" s="149"/>
      <c r="F320" s="149"/>
      <c r="G320" s="149"/>
      <c r="T320" s="167"/>
    </row>
    <row r="321" spans="4:20" s="46" customFormat="1" x14ac:dyDescent="0.25">
      <c r="D321" s="149"/>
      <c r="E321" s="149"/>
      <c r="F321" s="149"/>
      <c r="G321" s="149"/>
      <c r="T321" s="167"/>
    </row>
    <row r="322" spans="4:20" s="46" customFormat="1" x14ac:dyDescent="0.25">
      <c r="D322" s="149"/>
      <c r="E322" s="149"/>
      <c r="F322" s="149"/>
      <c r="G322" s="149"/>
      <c r="T322" s="167"/>
    </row>
    <row r="323" spans="4:20" s="46" customFormat="1" x14ac:dyDescent="0.25">
      <c r="D323" s="149"/>
      <c r="E323" s="149"/>
      <c r="F323" s="149"/>
      <c r="G323" s="149"/>
      <c r="T323" s="167"/>
    </row>
    <row r="324" spans="4:20" s="46" customFormat="1" x14ac:dyDescent="0.25">
      <c r="D324" s="149"/>
      <c r="E324" s="149"/>
      <c r="F324" s="149"/>
      <c r="G324" s="149"/>
      <c r="T324" s="167"/>
    </row>
    <row r="325" spans="4:20" s="46" customFormat="1" x14ac:dyDescent="0.25">
      <c r="D325" s="149"/>
      <c r="E325" s="149"/>
      <c r="F325" s="149"/>
      <c r="G325" s="149"/>
      <c r="T325" s="167"/>
    </row>
    <row r="326" spans="4:20" s="46" customFormat="1" x14ac:dyDescent="0.25">
      <c r="D326" s="149"/>
      <c r="E326" s="149"/>
      <c r="F326" s="149"/>
      <c r="G326" s="149"/>
      <c r="T326" s="167"/>
    </row>
    <row r="327" spans="4:20" s="46" customFormat="1" x14ac:dyDescent="0.25">
      <c r="D327" s="149"/>
      <c r="E327" s="149"/>
      <c r="F327" s="149"/>
      <c r="G327" s="149"/>
      <c r="T327" s="167"/>
    </row>
    <row r="328" spans="4:20" s="46" customFormat="1" x14ac:dyDescent="0.25">
      <c r="D328" s="149"/>
      <c r="E328" s="149"/>
      <c r="F328" s="149"/>
      <c r="G328" s="149"/>
      <c r="T328" s="167"/>
    </row>
    <row r="329" spans="4:20" s="46" customFormat="1" x14ac:dyDescent="0.25">
      <c r="D329" s="149"/>
      <c r="E329" s="149"/>
      <c r="F329" s="149"/>
      <c r="G329" s="149"/>
      <c r="T329" s="167"/>
    </row>
    <row r="330" spans="4:20" s="46" customFormat="1" x14ac:dyDescent="0.25">
      <c r="D330" s="149"/>
      <c r="E330" s="149"/>
      <c r="F330" s="149"/>
      <c r="G330" s="149"/>
      <c r="T330" s="167"/>
    </row>
    <row r="331" spans="4:20" s="46" customFormat="1" x14ac:dyDescent="0.25">
      <c r="D331" s="149"/>
      <c r="E331" s="149"/>
      <c r="F331" s="149"/>
      <c r="G331" s="149"/>
      <c r="T331" s="167"/>
    </row>
    <row r="332" spans="4:20" s="46" customFormat="1" x14ac:dyDescent="0.25">
      <c r="D332" s="149"/>
      <c r="E332" s="149"/>
      <c r="F332" s="149"/>
      <c r="G332" s="149"/>
      <c r="T332" s="167"/>
    </row>
    <row r="333" spans="4:20" s="46" customFormat="1" x14ac:dyDescent="0.25">
      <c r="D333" s="149"/>
      <c r="E333" s="149"/>
      <c r="F333" s="149"/>
      <c r="G333" s="149"/>
      <c r="T333" s="167"/>
    </row>
    <row r="334" spans="4:20" s="46" customFormat="1" x14ac:dyDescent="0.25">
      <c r="D334" s="149"/>
      <c r="E334" s="149"/>
      <c r="F334" s="149"/>
      <c r="G334" s="149"/>
      <c r="T334" s="167"/>
    </row>
    <row r="335" spans="4:20" s="46" customFormat="1" x14ac:dyDescent="0.25">
      <c r="D335" s="149"/>
      <c r="E335" s="149"/>
      <c r="F335" s="149"/>
      <c r="G335" s="149"/>
      <c r="T335" s="167"/>
    </row>
    <row r="336" spans="4:20" s="46" customFormat="1" x14ac:dyDescent="0.25">
      <c r="D336" s="149"/>
      <c r="E336" s="149"/>
      <c r="F336" s="149"/>
      <c r="G336" s="149"/>
      <c r="T336" s="167"/>
    </row>
    <row r="337" spans="4:20" s="46" customFormat="1" x14ac:dyDescent="0.25">
      <c r="D337" s="149"/>
      <c r="E337" s="149"/>
      <c r="F337" s="149"/>
      <c r="G337" s="149"/>
      <c r="T337" s="167"/>
    </row>
    <row r="338" spans="4:20" s="46" customFormat="1" x14ac:dyDescent="0.25">
      <c r="D338" s="149"/>
      <c r="E338" s="149"/>
      <c r="F338" s="149"/>
      <c r="G338" s="149"/>
      <c r="T338" s="167"/>
    </row>
    <row r="339" spans="4:20" s="46" customFormat="1" x14ac:dyDescent="0.25">
      <c r="D339" s="149"/>
      <c r="E339" s="149"/>
      <c r="F339" s="149"/>
      <c r="G339" s="149"/>
      <c r="T339" s="167"/>
    </row>
    <row r="340" spans="4:20" s="46" customFormat="1" x14ac:dyDescent="0.25">
      <c r="D340" s="149"/>
      <c r="E340" s="149"/>
      <c r="F340" s="149"/>
      <c r="G340" s="149"/>
      <c r="T340" s="167"/>
    </row>
    <row r="341" spans="4:20" s="46" customFormat="1" x14ac:dyDescent="0.25">
      <c r="D341" s="149"/>
      <c r="E341" s="149"/>
      <c r="F341" s="149"/>
      <c r="G341" s="149"/>
      <c r="T341" s="167"/>
    </row>
    <row r="342" spans="4:20" s="46" customFormat="1" x14ac:dyDescent="0.25">
      <c r="D342" s="149"/>
      <c r="E342" s="149"/>
      <c r="F342" s="149"/>
      <c r="G342" s="149"/>
      <c r="T342" s="167"/>
    </row>
    <row r="343" spans="4:20" s="46" customFormat="1" x14ac:dyDescent="0.25">
      <c r="D343" s="149"/>
      <c r="E343" s="149"/>
      <c r="F343" s="149"/>
      <c r="G343" s="149"/>
      <c r="T343" s="167"/>
    </row>
    <row r="344" spans="4:20" s="46" customFormat="1" x14ac:dyDescent="0.25">
      <c r="D344" s="149"/>
      <c r="E344" s="149"/>
      <c r="F344" s="149"/>
      <c r="G344" s="149"/>
      <c r="T344" s="167"/>
    </row>
    <row r="345" spans="4:20" s="46" customFormat="1" x14ac:dyDescent="0.25">
      <c r="D345" s="149"/>
      <c r="E345" s="149"/>
      <c r="F345" s="149"/>
      <c r="G345" s="149"/>
      <c r="T345" s="167"/>
    </row>
    <row r="346" spans="4:20" s="46" customFormat="1" x14ac:dyDescent="0.25">
      <c r="D346" s="149"/>
      <c r="E346" s="149"/>
      <c r="F346" s="149"/>
      <c r="G346" s="149"/>
      <c r="T346" s="167"/>
    </row>
    <row r="347" spans="4:20" s="46" customFormat="1" x14ac:dyDescent="0.25">
      <c r="D347" s="149"/>
      <c r="E347" s="149"/>
      <c r="F347" s="149"/>
      <c r="G347" s="149"/>
      <c r="T347" s="167"/>
    </row>
    <row r="348" spans="4:20" s="46" customFormat="1" x14ac:dyDescent="0.25">
      <c r="D348" s="149"/>
      <c r="E348" s="149"/>
      <c r="F348" s="149"/>
      <c r="G348" s="149"/>
      <c r="T348" s="167"/>
    </row>
    <row r="349" spans="4:20" s="46" customFormat="1" x14ac:dyDescent="0.25">
      <c r="D349" s="149"/>
      <c r="E349" s="149"/>
      <c r="F349" s="149"/>
      <c r="G349" s="149"/>
      <c r="T349" s="167"/>
    </row>
    <row r="350" spans="4:20" s="46" customFormat="1" x14ac:dyDescent="0.25">
      <c r="D350" s="149"/>
      <c r="E350" s="149"/>
      <c r="F350" s="149"/>
      <c r="G350" s="149"/>
      <c r="T350" s="167"/>
    </row>
    <row r="351" spans="4:20" s="46" customFormat="1" x14ac:dyDescent="0.25">
      <c r="D351" s="149"/>
      <c r="E351" s="149"/>
      <c r="F351" s="149"/>
      <c r="G351" s="149"/>
      <c r="T351" s="167"/>
    </row>
    <row r="352" spans="4:20" s="46" customFormat="1" x14ac:dyDescent="0.25">
      <c r="D352" s="149"/>
      <c r="E352" s="149"/>
      <c r="F352" s="149"/>
      <c r="G352" s="149"/>
      <c r="T352" s="167"/>
    </row>
    <row r="353" spans="4:20" s="46" customFormat="1" x14ac:dyDescent="0.25">
      <c r="D353" s="149"/>
      <c r="E353" s="149"/>
      <c r="F353" s="149"/>
      <c r="G353" s="149"/>
      <c r="T353" s="167"/>
    </row>
    <row r="354" spans="4:20" s="46" customFormat="1" x14ac:dyDescent="0.25">
      <c r="D354" s="149"/>
      <c r="E354" s="149"/>
      <c r="F354" s="149"/>
      <c r="G354" s="149"/>
      <c r="T354" s="167"/>
    </row>
    <row r="355" spans="4:20" s="46" customFormat="1" x14ac:dyDescent="0.25">
      <c r="D355" s="149"/>
      <c r="E355" s="149"/>
      <c r="F355" s="149"/>
      <c r="G355" s="149"/>
      <c r="T355" s="167"/>
    </row>
    <row r="356" spans="4:20" s="46" customFormat="1" x14ac:dyDescent="0.25">
      <c r="D356" s="149"/>
      <c r="E356" s="149"/>
      <c r="F356" s="149"/>
      <c r="G356" s="149"/>
      <c r="T356" s="167"/>
    </row>
    <row r="357" spans="4:20" s="46" customFormat="1" x14ac:dyDescent="0.25">
      <c r="D357" s="149"/>
      <c r="E357" s="149"/>
      <c r="F357" s="149"/>
      <c r="G357" s="149"/>
      <c r="T357" s="167"/>
    </row>
    <row r="358" spans="4:20" s="46" customFormat="1" x14ac:dyDescent="0.25">
      <c r="D358" s="149"/>
      <c r="E358" s="149"/>
      <c r="F358" s="149"/>
      <c r="G358" s="149"/>
      <c r="T358" s="167"/>
    </row>
    <row r="359" spans="4:20" s="46" customFormat="1" x14ac:dyDescent="0.25">
      <c r="D359" s="149"/>
      <c r="E359" s="149"/>
      <c r="F359" s="149"/>
      <c r="G359" s="149"/>
      <c r="T359" s="167"/>
    </row>
    <row r="360" spans="4:20" s="46" customFormat="1" x14ac:dyDescent="0.25">
      <c r="D360" s="149"/>
      <c r="E360" s="149"/>
      <c r="F360" s="149"/>
      <c r="G360" s="149"/>
      <c r="T360" s="167"/>
    </row>
    <row r="361" spans="4:20" s="46" customFormat="1" x14ac:dyDescent="0.25">
      <c r="D361" s="149"/>
      <c r="E361" s="149"/>
      <c r="F361" s="149"/>
      <c r="G361" s="149"/>
      <c r="T361" s="167"/>
    </row>
    <row r="362" spans="4:20" s="46" customFormat="1" x14ac:dyDescent="0.25">
      <c r="D362" s="149"/>
      <c r="E362" s="149"/>
      <c r="F362" s="149"/>
      <c r="G362" s="149"/>
      <c r="T362" s="167"/>
    </row>
    <row r="363" spans="4:20" s="46" customFormat="1" x14ac:dyDescent="0.25">
      <c r="D363" s="149"/>
      <c r="E363" s="149"/>
      <c r="F363" s="149"/>
      <c r="G363" s="149"/>
      <c r="T363" s="167"/>
    </row>
    <row r="364" spans="4:20" s="46" customFormat="1" x14ac:dyDescent="0.25">
      <c r="D364" s="149"/>
      <c r="E364" s="149"/>
      <c r="F364" s="149"/>
      <c r="G364" s="149"/>
      <c r="T364" s="167"/>
    </row>
    <row r="365" spans="4:20" s="46" customFormat="1" x14ac:dyDescent="0.25">
      <c r="D365" s="149"/>
      <c r="E365" s="149"/>
      <c r="F365" s="149"/>
      <c r="G365" s="149"/>
      <c r="T365" s="167"/>
    </row>
    <row r="366" spans="4:20" s="46" customFormat="1" x14ac:dyDescent="0.25">
      <c r="D366" s="149"/>
      <c r="E366" s="149"/>
      <c r="F366" s="149"/>
      <c r="G366" s="149"/>
      <c r="T366" s="167"/>
    </row>
    <row r="367" spans="4:20" s="46" customFormat="1" x14ac:dyDescent="0.25">
      <c r="D367" s="149"/>
      <c r="E367" s="149"/>
      <c r="F367" s="149"/>
      <c r="G367" s="149"/>
      <c r="T367" s="167"/>
    </row>
    <row r="368" spans="4:20" s="46" customFormat="1" x14ac:dyDescent="0.25">
      <c r="D368" s="149"/>
      <c r="E368" s="149"/>
      <c r="F368" s="149"/>
      <c r="G368" s="149"/>
      <c r="T368" s="167"/>
    </row>
    <row r="369" spans="4:20" s="46" customFormat="1" x14ac:dyDescent="0.25">
      <c r="D369" s="149"/>
      <c r="E369" s="149"/>
      <c r="F369" s="149"/>
      <c r="G369" s="149"/>
      <c r="T369" s="167"/>
    </row>
    <row r="370" spans="4:20" s="46" customFormat="1" x14ac:dyDescent="0.25">
      <c r="D370" s="149"/>
      <c r="E370" s="149"/>
      <c r="F370" s="149"/>
      <c r="G370" s="149"/>
      <c r="T370" s="167"/>
    </row>
    <row r="371" spans="4:20" s="46" customFormat="1" x14ac:dyDescent="0.25">
      <c r="D371" s="149"/>
      <c r="E371" s="149"/>
      <c r="F371" s="149"/>
      <c r="G371" s="149"/>
      <c r="T371" s="167"/>
    </row>
    <row r="372" spans="4:20" s="46" customFormat="1" x14ac:dyDescent="0.25">
      <c r="D372" s="149"/>
      <c r="E372" s="149"/>
      <c r="F372" s="149"/>
      <c r="G372" s="149"/>
      <c r="T372" s="167"/>
    </row>
    <row r="373" spans="4:20" s="46" customFormat="1" x14ac:dyDescent="0.25">
      <c r="D373" s="149"/>
      <c r="E373" s="149"/>
      <c r="F373" s="149"/>
      <c r="G373" s="149"/>
      <c r="T373" s="167"/>
    </row>
    <row r="374" spans="4:20" s="46" customFormat="1" x14ac:dyDescent="0.25">
      <c r="D374" s="149"/>
      <c r="E374" s="149"/>
      <c r="F374" s="149"/>
      <c r="G374" s="149"/>
      <c r="T374" s="167"/>
    </row>
    <row r="375" spans="4:20" s="46" customFormat="1" x14ac:dyDescent="0.25">
      <c r="D375" s="149"/>
      <c r="E375" s="149"/>
      <c r="F375" s="149"/>
      <c r="G375" s="149"/>
      <c r="T375" s="167"/>
    </row>
    <row r="376" spans="4:20" s="46" customFormat="1" x14ac:dyDescent="0.25">
      <c r="D376" s="149"/>
      <c r="E376" s="149"/>
      <c r="F376" s="149"/>
      <c r="G376" s="149"/>
      <c r="T376" s="167"/>
    </row>
    <row r="377" spans="4:20" s="46" customFormat="1" x14ac:dyDescent="0.25">
      <c r="D377" s="149"/>
      <c r="E377" s="149"/>
      <c r="F377" s="149"/>
      <c r="G377" s="149"/>
      <c r="T377" s="167"/>
    </row>
    <row r="378" spans="4:20" s="46" customFormat="1" x14ac:dyDescent="0.25">
      <c r="D378" s="149"/>
      <c r="E378" s="149"/>
      <c r="F378" s="149"/>
      <c r="G378" s="149"/>
      <c r="T378" s="167"/>
    </row>
    <row r="379" spans="4:20" s="46" customFormat="1" x14ac:dyDescent="0.25">
      <c r="D379" s="149"/>
      <c r="E379" s="149"/>
      <c r="F379" s="149"/>
      <c r="G379" s="149"/>
      <c r="T379" s="167"/>
    </row>
    <row r="380" spans="4:20" s="46" customFormat="1" x14ac:dyDescent="0.25">
      <c r="D380" s="149"/>
      <c r="E380" s="149"/>
      <c r="F380" s="149"/>
      <c r="G380" s="149"/>
      <c r="T380" s="167"/>
    </row>
    <row r="381" spans="4:20" s="46" customFormat="1" x14ac:dyDescent="0.25">
      <c r="D381" s="149"/>
      <c r="E381" s="149"/>
      <c r="F381" s="149"/>
      <c r="G381" s="149"/>
      <c r="T381" s="167"/>
    </row>
    <row r="382" spans="4:20" s="46" customFormat="1" x14ac:dyDescent="0.25">
      <c r="D382" s="149"/>
      <c r="E382" s="149"/>
      <c r="F382" s="149"/>
      <c r="G382" s="149"/>
      <c r="T382" s="167"/>
    </row>
    <row r="383" spans="4:20" s="46" customFormat="1" x14ac:dyDescent="0.25">
      <c r="D383" s="149"/>
      <c r="E383" s="149"/>
      <c r="F383" s="149"/>
      <c r="G383" s="149"/>
      <c r="T383" s="167"/>
    </row>
    <row r="384" spans="4:20" s="46" customFormat="1" x14ac:dyDescent="0.25">
      <c r="D384" s="149"/>
      <c r="E384" s="149"/>
      <c r="F384" s="149"/>
      <c r="G384" s="149"/>
      <c r="T384" s="167"/>
    </row>
    <row r="385" spans="4:20" s="46" customFormat="1" x14ac:dyDescent="0.25">
      <c r="D385" s="149"/>
      <c r="E385" s="149"/>
      <c r="F385" s="149"/>
      <c r="G385" s="149"/>
      <c r="T385" s="167"/>
    </row>
    <row r="386" spans="4:20" s="46" customFormat="1" x14ac:dyDescent="0.25">
      <c r="D386" s="149"/>
      <c r="E386" s="149"/>
      <c r="F386" s="149"/>
      <c r="G386" s="149"/>
      <c r="T386" s="167"/>
    </row>
    <row r="387" spans="4:20" s="46" customFormat="1" x14ac:dyDescent="0.25">
      <c r="D387" s="149"/>
      <c r="E387" s="149"/>
      <c r="F387" s="149"/>
      <c r="G387" s="149"/>
      <c r="T387" s="167"/>
    </row>
    <row r="388" spans="4:20" s="46" customFormat="1" x14ac:dyDescent="0.25">
      <c r="D388" s="149"/>
      <c r="E388" s="149"/>
      <c r="F388" s="149"/>
      <c r="G388" s="149"/>
      <c r="T388" s="167"/>
    </row>
    <row r="389" spans="4:20" s="46" customFormat="1" x14ac:dyDescent="0.25">
      <c r="D389" s="149"/>
      <c r="E389" s="149"/>
      <c r="F389" s="149"/>
      <c r="G389" s="149"/>
      <c r="T389" s="167"/>
    </row>
    <row r="390" spans="4:20" s="46" customFormat="1" x14ac:dyDescent="0.25">
      <c r="D390" s="149"/>
      <c r="E390" s="149"/>
      <c r="F390" s="149"/>
      <c r="G390" s="149"/>
      <c r="T390" s="167"/>
    </row>
    <row r="391" spans="4:20" s="46" customFormat="1" x14ac:dyDescent="0.25">
      <c r="D391" s="149"/>
      <c r="E391" s="149"/>
      <c r="F391" s="149"/>
      <c r="G391" s="149"/>
      <c r="T391" s="167"/>
    </row>
    <row r="392" spans="4:20" s="46" customFormat="1" x14ac:dyDescent="0.25">
      <c r="D392" s="149"/>
      <c r="E392" s="149"/>
      <c r="F392" s="149"/>
      <c r="G392" s="149"/>
      <c r="T392" s="167"/>
    </row>
    <row r="393" spans="4:20" s="46" customFormat="1" x14ac:dyDescent="0.25">
      <c r="D393" s="149"/>
      <c r="E393" s="149"/>
      <c r="F393" s="149"/>
      <c r="G393" s="149"/>
      <c r="T393" s="167"/>
    </row>
    <row r="394" spans="4:20" s="46" customFormat="1" x14ac:dyDescent="0.25">
      <c r="D394" s="149"/>
      <c r="E394" s="149"/>
      <c r="F394" s="149"/>
      <c r="G394" s="149"/>
      <c r="T394" s="167"/>
    </row>
    <row r="395" spans="4:20" s="46" customFormat="1" x14ac:dyDescent="0.25">
      <c r="D395" s="149"/>
      <c r="E395" s="149"/>
      <c r="F395" s="149"/>
      <c r="G395" s="149"/>
      <c r="T395" s="167"/>
    </row>
    <row r="396" spans="4:20" s="46" customFormat="1" x14ac:dyDescent="0.25">
      <c r="D396" s="149"/>
      <c r="E396" s="149"/>
      <c r="F396" s="149"/>
      <c r="G396" s="149"/>
      <c r="T396" s="167"/>
    </row>
    <row r="397" spans="4:20" s="46" customFormat="1" x14ac:dyDescent="0.25">
      <c r="D397" s="149"/>
      <c r="E397" s="149"/>
      <c r="F397" s="149"/>
      <c r="G397" s="149"/>
      <c r="T397" s="167"/>
    </row>
    <row r="398" spans="4:20" s="46" customFormat="1" x14ac:dyDescent="0.25">
      <c r="D398" s="149"/>
      <c r="E398" s="149"/>
      <c r="F398" s="149"/>
      <c r="G398" s="149"/>
      <c r="T398" s="167"/>
    </row>
    <row r="399" spans="4:20" s="46" customFormat="1" x14ac:dyDescent="0.25">
      <c r="D399" s="149"/>
      <c r="E399" s="149"/>
      <c r="F399" s="149"/>
      <c r="G399" s="149"/>
      <c r="T399" s="167"/>
    </row>
    <row r="400" spans="4:20" s="46" customFormat="1" x14ac:dyDescent="0.25">
      <c r="D400" s="149"/>
      <c r="E400" s="149"/>
      <c r="F400" s="149"/>
      <c r="G400" s="149"/>
      <c r="T400" s="167"/>
    </row>
    <row r="401" spans="4:20" s="46" customFormat="1" x14ac:dyDescent="0.25">
      <c r="D401" s="149"/>
      <c r="E401" s="149"/>
      <c r="F401" s="149"/>
      <c r="G401" s="149"/>
      <c r="T401" s="167"/>
    </row>
    <row r="402" spans="4:20" s="46" customFormat="1" x14ac:dyDescent="0.25">
      <c r="D402" s="149"/>
      <c r="E402" s="149"/>
      <c r="F402" s="149"/>
      <c r="G402" s="149"/>
      <c r="T402" s="167"/>
    </row>
    <row r="403" spans="4:20" s="46" customFormat="1" x14ac:dyDescent="0.25">
      <c r="D403" s="149"/>
      <c r="E403" s="149"/>
      <c r="F403" s="149"/>
      <c r="G403" s="149"/>
      <c r="T403" s="167"/>
    </row>
    <row r="404" spans="4:20" s="46" customFormat="1" x14ac:dyDescent="0.25">
      <c r="D404" s="149"/>
      <c r="E404" s="149"/>
      <c r="F404" s="149"/>
      <c r="G404" s="149"/>
      <c r="T404" s="167"/>
    </row>
    <row r="405" spans="4:20" s="46" customFormat="1" x14ac:dyDescent="0.25">
      <c r="D405" s="149"/>
      <c r="E405" s="149"/>
      <c r="F405" s="149"/>
      <c r="G405" s="149"/>
      <c r="T405" s="167"/>
    </row>
    <row r="406" spans="4:20" s="46" customFormat="1" x14ac:dyDescent="0.25">
      <c r="D406" s="149"/>
      <c r="E406" s="149"/>
      <c r="F406" s="149"/>
      <c r="G406" s="149"/>
      <c r="T406" s="167"/>
    </row>
    <row r="407" spans="4:20" s="46" customFormat="1" x14ac:dyDescent="0.25">
      <c r="D407" s="149"/>
      <c r="E407" s="149"/>
      <c r="F407" s="149"/>
      <c r="G407" s="149"/>
      <c r="T407" s="167"/>
    </row>
    <row r="408" spans="4:20" s="46" customFormat="1" x14ac:dyDescent="0.25">
      <c r="D408" s="149"/>
      <c r="E408" s="149"/>
      <c r="F408" s="149"/>
      <c r="G408" s="149"/>
      <c r="T408" s="167"/>
    </row>
    <row r="409" spans="4:20" s="46" customFormat="1" x14ac:dyDescent="0.25">
      <c r="D409" s="149"/>
      <c r="E409" s="149"/>
      <c r="F409" s="149"/>
      <c r="G409" s="149"/>
      <c r="T409" s="167"/>
    </row>
    <row r="410" spans="4:20" s="46" customFormat="1" x14ac:dyDescent="0.25">
      <c r="D410" s="149"/>
      <c r="E410" s="149"/>
      <c r="F410" s="149"/>
      <c r="G410" s="149"/>
      <c r="T410" s="167"/>
    </row>
    <row r="411" spans="4:20" s="46" customFormat="1" x14ac:dyDescent="0.25">
      <c r="D411" s="149"/>
      <c r="E411" s="149"/>
      <c r="F411" s="149"/>
      <c r="G411" s="149"/>
      <c r="T411" s="167"/>
    </row>
    <row r="412" spans="4:20" s="46" customFormat="1" x14ac:dyDescent="0.25">
      <c r="D412" s="149"/>
      <c r="E412" s="149"/>
      <c r="F412" s="149"/>
      <c r="G412" s="149"/>
      <c r="T412" s="167"/>
    </row>
    <row r="413" spans="4:20" s="46" customFormat="1" x14ac:dyDescent="0.25">
      <c r="D413" s="149"/>
      <c r="E413" s="149"/>
      <c r="F413" s="149"/>
      <c r="G413" s="149"/>
      <c r="T413" s="167"/>
    </row>
    <row r="414" spans="4:20" s="46" customFormat="1" x14ac:dyDescent="0.25">
      <c r="D414" s="149"/>
      <c r="E414" s="149"/>
      <c r="F414" s="149"/>
      <c r="G414" s="149"/>
      <c r="T414" s="167"/>
    </row>
    <row r="415" spans="4:20" s="46" customFormat="1" x14ac:dyDescent="0.25">
      <c r="D415" s="149"/>
      <c r="E415" s="149"/>
      <c r="F415" s="149"/>
      <c r="G415" s="149"/>
      <c r="T415" s="167"/>
    </row>
    <row r="416" spans="4:20" s="46" customFormat="1" x14ac:dyDescent="0.25">
      <c r="D416" s="149"/>
      <c r="E416" s="149"/>
      <c r="F416" s="149"/>
      <c r="G416" s="149"/>
      <c r="T416" s="167"/>
    </row>
    <row r="417" spans="4:20" s="46" customFormat="1" x14ac:dyDescent="0.25">
      <c r="D417" s="149"/>
      <c r="E417" s="149"/>
      <c r="F417" s="149"/>
      <c r="G417" s="149"/>
      <c r="T417" s="167"/>
    </row>
    <row r="418" spans="4:20" s="46" customFormat="1" x14ac:dyDescent="0.25">
      <c r="D418" s="149"/>
      <c r="E418" s="149"/>
      <c r="F418" s="149"/>
      <c r="G418" s="149"/>
      <c r="T418" s="167"/>
    </row>
    <row r="419" spans="4:20" s="46" customFormat="1" x14ac:dyDescent="0.25">
      <c r="D419" s="149"/>
      <c r="E419" s="149"/>
      <c r="F419" s="149"/>
      <c r="G419" s="149"/>
      <c r="T419" s="167"/>
    </row>
    <row r="420" spans="4:20" s="46" customFormat="1" x14ac:dyDescent="0.25">
      <c r="D420" s="149"/>
      <c r="E420" s="149"/>
      <c r="F420" s="149"/>
      <c r="G420" s="149"/>
      <c r="T420" s="167"/>
    </row>
    <row r="421" spans="4:20" s="46" customFormat="1" x14ac:dyDescent="0.25">
      <c r="D421" s="149"/>
      <c r="E421" s="149"/>
      <c r="F421" s="149"/>
      <c r="G421" s="149"/>
      <c r="T421" s="167"/>
    </row>
    <row r="422" spans="4:20" s="46" customFormat="1" x14ac:dyDescent="0.25">
      <c r="D422" s="149"/>
      <c r="E422" s="149"/>
      <c r="F422" s="149"/>
      <c r="G422" s="149"/>
      <c r="T422" s="167"/>
    </row>
    <row r="423" spans="4:20" s="46" customFormat="1" x14ac:dyDescent="0.25">
      <c r="D423" s="149"/>
      <c r="E423" s="149"/>
      <c r="F423" s="149"/>
      <c r="G423" s="149"/>
      <c r="T423" s="167"/>
    </row>
    <row r="424" spans="4:20" s="46" customFormat="1" x14ac:dyDescent="0.25">
      <c r="D424" s="149"/>
      <c r="E424" s="149"/>
      <c r="F424" s="149"/>
      <c r="G424" s="149"/>
      <c r="T424" s="167"/>
    </row>
    <row r="425" spans="4:20" s="46" customFormat="1" x14ac:dyDescent="0.25">
      <c r="D425" s="149"/>
      <c r="E425" s="149"/>
      <c r="F425" s="149"/>
      <c r="G425" s="149"/>
      <c r="T425" s="167"/>
    </row>
    <row r="426" spans="4:20" s="46" customFormat="1" x14ac:dyDescent="0.25">
      <c r="D426" s="149"/>
      <c r="E426" s="149"/>
      <c r="F426" s="149"/>
      <c r="G426" s="149"/>
      <c r="T426" s="167"/>
    </row>
    <row r="427" spans="4:20" s="46" customFormat="1" x14ac:dyDescent="0.25">
      <c r="D427" s="149"/>
      <c r="E427" s="149"/>
      <c r="F427" s="149"/>
      <c r="G427" s="149"/>
      <c r="T427" s="167"/>
    </row>
    <row r="428" spans="4:20" s="46" customFormat="1" x14ac:dyDescent="0.25">
      <c r="D428" s="149"/>
      <c r="E428" s="149"/>
      <c r="F428" s="149"/>
      <c r="G428" s="149"/>
      <c r="T428" s="167"/>
    </row>
    <row r="429" spans="4:20" s="46" customFormat="1" x14ac:dyDescent="0.25">
      <c r="D429" s="149"/>
      <c r="E429" s="149"/>
      <c r="F429" s="149"/>
      <c r="G429" s="149"/>
      <c r="T429" s="167"/>
    </row>
    <row r="430" spans="4:20" s="46" customFormat="1" x14ac:dyDescent="0.25">
      <c r="D430" s="149"/>
      <c r="E430" s="149"/>
      <c r="F430" s="149"/>
      <c r="G430" s="149"/>
      <c r="T430" s="167"/>
    </row>
    <row r="431" spans="4:20" s="46" customFormat="1" x14ac:dyDescent="0.25">
      <c r="D431" s="149"/>
      <c r="E431" s="149"/>
      <c r="F431" s="149"/>
      <c r="G431" s="149"/>
      <c r="T431" s="167"/>
    </row>
    <row r="432" spans="4:20" s="46" customFormat="1" x14ac:dyDescent="0.25">
      <c r="D432" s="149"/>
      <c r="E432" s="149"/>
      <c r="F432" s="149"/>
      <c r="G432" s="149"/>
      <c r="T432" s="167"/>
    </row>
    <row r="433" spans="4:20" s="46" customFormat="1" x14ac:dyDescent="0.25">
      <c r="D433" s="149"/>
      <c r="E433" s="149"/>
      <c r="F433" s="149"/>
      <c r="G433" s="149"/>
      <c r="T433" s="167"/>
    </row>
    <row r="434" spans="4:20" s="46" customFormat="1" x14ac:dyDescent="0.25">
      <c r="D434" s="149"/>
      <c r="E434" s="149"/>
      <c r="F434" s="149"/>
      <c r="G434" s="149"/>
      <c r="T434" s="167"/>
    </row>
    <row r="435" spans="4:20" s="46" customFormat="1" x14ac:dyDescent="0.25">
      <c r="D435" s="149"/>
      <c r="E435" s="149"/>
      <c r="F435" s="149"/>
      <c r="G435" s="149"/>
      <c r="T435" s="167"/>
    </row>
    <row r="436" spans="4:20" s="46" customFormat="1" x14ac:dyDescent="0.25">
      <c r="D436" s="149"/>
      <c r="E436" s="149"/>
      <c r="F436" s="149"/>
      <c r="G436" s="149"/>
      <c r="T436" s="167"/>
    </row>
    <row r="437" spans="4:20" s="46" customFormat="1" x14ac:dyDescent="0.25">
      <c r="D437" s="149"/>
      <c r="E437" s="149"/>
      <c r="F437" s="149"/>
      <c r="G437" s="149"/>
      <c r="T437" s="167"/>
    </row>
    <row r="438" spans="4:20" s="46" customFormat="1" x14ac:dyDescent="0.25">
      <c r="D438" s="149"/>
      <c r="E438" s="149"/>
      <c r="F438" s="149"/>
      <c r="G438" s="149"/>
      <c r="T438" s="167"/>
    </row>
    <row r="439" spans="4:20" s="46" customFormat="1" x14ac:dyDescent="0.25">
      <c r="D439" s="149"/>
      <c r="E439" s="149"/>
      <c r="F439" s="149"/>
      <c r="G439" s="149"/>
      <c r="T439" s="167"/>
    </row>
    <row r="440" spans="4:20" s="46" customFormat="1" x14ac:dyDescent="0.25">
      <c r="D440" s="149"/>
      <c r="E440" s="149"/>
      <c r="F440" s="149"/>
      <c r="G440" s="149"/>
      <c r="T440" s="167"/>
    </row>
    <row r="441" spans="4:20" s="46" customFormat="1" x14ac:dyDescent="0.25">
      <c r="D441" s="149"/>
      <c r="E441" s="149"/>
      <c r="F441" s="149"/>
      <c r="G441" s="149"/>
      <c r="T441" s="167"/>
    </row>
    <row r="442" spans="4:20" s="46" customFormat="1" x14ac:dyDescent="0.25">
      <c r="D442" s="149"/>
      <c r="E442" s="149"/>
      <c r="F442" s="149"/>
      <c r="G442" s="149"/>
      <c r="T442" s="167"/>
    </row>
    <row r="443" spans="4:20" s="46" customFormat="1" x14ac:dyDescent="0.25">
      <c r="D443" s="149"/>
      <c r="E443" s="149"/>
      <c r="F443" s="149"/>
      <c r="G443" s="149"/>
      <c r="T443" s="167"/>
    </row>
    <row r="444" spans="4:20" s="46" customFormat="1" x14ac:dyDescent="0.25">
      <c r="D444" s="149"/>
      <c r="E444" s="149"/>
      <c r="F444" s="149"/>
      <c r="G444" s="149"/>
      <c r="T444" s="167"/>
    </row>
    <row r="445" spans="4:20" s="46" customFormat="1" x14ac:dyDescent="0.25">
      <c r="D445" s="149"/>
      <c r="E445" s="149"/>
      <c r="F445" s="149"/>
      <c r="G445" s="149"/>
      <c r="T445" s="167"/>
    </row>
    <row r="446" spans="4:20" s="46" customFormat="1" x14ac:dyDescent="0.25">
      <c r="D446" s="149"/>
      <c r="E446" s="149"/>
      <c r="F446" s="149"/>
      <c r="G446" s="149"/>
      <c r="T446" s="167"/>
    </row>
    <row r="447" spans="4:20" s="46" customFormat="1" x14ac:dyDescent="0.25">
      <c r="D447" s="149"/>
      <c r="E447" s="149"/>
      <c r="F447" s="149"/>
      <c r="G447" s="149"/>
      <c r="T447" s="167"/>
    </row>
    <row r="448" spans="4:20" s="46" customFormat="1" x14ac:dyDescent="0.25">
      <c r="D448" s="149"/>
      <c r="E448" s="149"/>
      <c r="F448" s="149"/>
      <c r="G448" s="149"/>
      <c r="T448" s="167"/>
    </row>
    <row r="449" spans="4:20" s="46" customFormat="1" x14ac:dyDescent="0.25">
      <c r="D449" s="149"/>
      <c r="E449" s="149"/>
      <c r="F449" s="149"/>
      <c r="G449" s="149"/>
      <c r="T449" s="167"/>
    </row>
    <row r="450" spans="4:20" s="46" customFormat="1" x14ac:dyDescent="0.25">
      <c r="D450" s="149"/>
      <c r="E450" s="149"/>
      <c r="F450" s="149"/>
      <c r="G450" s="149"/>
      <c r="T450" s="167"/>
    </row>
    <row r="451" spans="4:20" s="46" customFormat="1" x14ac:dyDescent="0.25">
      <c r="D451" s="149"/>
      <c r="E451" s="149"/>
      <c r="F451" s="149"/>
      <c r="G451" s="149"/>
      <c r="T451" s="167"/>
    </row>
    <row r="452" spans="4:20" s="46" customFormat="1" x14ac:dyDescent="0.25">
      <c r="D452" s="149"/>
      <c r="E452" s="149"/>
      <c r="F452" s="149"/>
      <c r="G452" s="149"/>
      <c r="T452" s="167"/>
    </row>
    <row r="453" spans="4:20" s="46" customFormat="1" x14ac:dyDescent="0.25">
      <c r="D453" s="149"/>
      <c r="E453" s="149"/>
      <c r="F453" s="149"/>
      <c r="G453" s="149"/>
      <c r="T453" s="167"/>
    </row>
    <row r="454" spans="4:20" s="46" customFormat="1" x14ac:dyDescent="0.25">
      <c r="D454" s="149"/>
      <c r="E454" s="149"/>
      <c r="F454" s="149"/>
      <c r="G454" s="149"/>
      <c r="T454" s="167"/>
    </row>
    <row r="455" spans="4:20" s="46" customFormat="1" x14ac:dyDescent="0.25">
      <c r="D455" s="149"/>
      <c r="E455" s="149"/>
      <c r="F455" s="149"/>
      <c r="G455" s="149"/>
      <c r="T455" s="167"/>
    </row>
    <row r="456" spans="4:20" s="46" customFormat="1" x14ac:dyDescent="0.25">
      <c r="D456" s="149"/>
      <c r="E456" s="149"/>
      <c r="F456" s="149"/>
      <c r="G456" s="149"/>
      <c r="T456" s="167"/>
    </row>
    <row r="457" spans="4:20" s="46" customFormat="1" x14ac:dyDescent="0.25">
      <c r="D457" s="149"/>
      <c r="E457" s="149"/>
      <c r="F457" s="149"/>
      <c r="G457" s="149"/>
      <c r="T457" s="167"/>
    </row>
    <row r="458" spans="4:20" s="46" customFormat="1" x14ac:dyDescent="0.25">
      <c r="D458" s="149"/>
      <c r="E458" s="149"/>
      <c r="F458" s="149"/>
      <c r="G458" s="149"/>
      <c r="T458" s="167"/>
    </row>
    <row r="459" spans="4:20" s="46" customFormat="1" x14ac:dyDescent="0.25">
      <c r="D459" s="149"/>
      <c r="E459" s="149"/>
      <c r="F459" s="149"/>
      <c r="G459" s="149"/>
      <c r="T459" s="167"/>
    </row>
    <row r="460" spans="4:20" s="46" customFormat="1" x14ac:dyDescent="0.25">
      <c r="D460" s="149"/>
      <c r="E460" s="149"/>
      <c r="F460" s="149"/>
      <c r="G460" s="149"/>
      <c r="T460" s="167"/>
    </row>
    <row r="461" spans="4:20" s="46" customFormat="1" x14ac:dyDescent="0.25">
      <c r="D461" s="149"/>
      <c r="E461" s="149"/>
      <c r="F461" s="149"/>
      <c r="G461" s="149"/>
      <c r="T461" s="167"/>
    </row>
    <row r="462" spans="4:20" s="46" customFormat="1" x14ac:dyDescent="0.25">
      <c r="D462" s="149"/>
      <c r="E462" s="149"/>
      <c r="F462" s="149"/>
      <c r="G462" s="149"/>
      <c r="T462" s="167"/>
    </row>
    <row r="463" spans="4:20" s="46" customFormat="1" x14ac:dyDescent="0.25">
      <c r="D463" s="149"/>
      <c r="E463" s="149"/>
      <c r="F463" s="149"/>
      <c r="G463" s="149"/>
      <c r="T463" s="167"/>
    </row>
    <row r="464" spans="4:20" s="46" customFormat="1" x14ac:dyDescent="0.25">
      <c r="D464" s="149"/>
      <c r="E464" s="149"/>
      <c r="F464" s="149"/>
      <c r="G464" s="149"/>
      <c r="T464" s="167"/>
    </row>
    <row r="465" spans="4:20" s="46" customFormat="1" x14ac:dyDescent="0.25">
      <c r="D465" s="149"/>
      <c r="E465" s="149"/>
      <c r="F465" s="149"/>
      <c r="G465" s="149"/>
      <c r="T465" s="167"/>
    </row>
    <row r="466" spans="4:20" s="46" customFormat="1" x14ac:dyDescent="0.25">
      <c r="D466" s="149"/>
      <c r="E466" s="149"/>
      <c r="F466" s="149"/>
      <c r="G466" s="149"/>
      <c r="T466" s="167"/>
    </row>
    <row r="467" spans="4:20" s="46" customFormat="1" x14ac:dyDescent="0.25">
      <c r="D467" s="149"/>
      <c r="E467" s="149"/>
      <c r="F467" s="149"/>
      <c r="G467" s="149"/>
      <c r="T467" s="167"/>
    </row>
    <row r="468" spans="4:20" s="46" customFormat="1" x14ac:dyDescent="0.25">
      <c r="D468" s="149"/>
      <c r="E468" s="149"/>
      <c r="F468" s="149"/>
      <c r="G468" s="149"/>
      <c r="T468" s="167"/>
    </row>
    <row r="469" spans="4:20" s="46" customFormat="1" x14ac:dyDescent="0.25">
      <c r="D469" s="149"/>
      <c r="E469" s="149"/>
      <c r="F469" s="149"/>
      <c r="G469" s="149"/>
      <c r="T469" s="167"/>
    </row>
    <row r="470" spans="4:20" s="46" customFormat="1" x14ac:dyDescent="0.25">
      <c r="D470" s="149"/>
      <c r="E470" s="149"/>
      <c r="F470" s="149"/>
      <c r="G470" s="149"/>
      <c r="T470" s="167"/>
    </row>
    <row r="471" spans="4:20" s="46" customFormat="1" x14ac:dyDescent="0.25">
      <c r="D471" s="149"/>
      <c r="E471" s="149"/>
      <c r="F471" s="149"/>
      <c r="G471" s="149"/>
      <c r="T471" s="167"/>
    </row>
    <row r="472" spans="4:20" s="46" customFormat="1" x14ac:dyDescent="0.25">
      <c r="D472" s="149"/>
      <c r="E472" s="149"/>
      <c r="F472" s="149"/>
      <c r="G472" s="149"/>
      <c r="T472" s="167"/>
    </row>
    <row r="473" spans="4:20" s="46" customFormat="1" x14ac:dyDescent="0.25">
      <c r="D473" s="149"/>
      <c r="E473" s="149"/>
      <c r="F473" s="149"/>
      <c r="G473" s="149"/>
      <c r="T473" s="167"/>
    </row>
    <row r="474" spans="4:20" s="46" customFormat="1" x14ac:dyDescent="0.25">
      <c r="D474" s="149"/>
      <c r="E474" s="149"/>
      <c r="F474" s="149"/>
      <c r="G474" s="149"/>
      <c r="T474" s="167"/>
    </row>
    <row r="475" spans="4:20" s="46" customFormat="1" x14ac:dyDescent="0.25">
      <c r="D475" s="149"/>
      <c r="E475" s="149"/>
      <c r="F475" s="149"/>
      <c r="G475" s="149"/>
      <c r="T475" s="167"/>
    </row>
    <row r="476" spans="4:20" s="46" customFormat="1" x14ac:dyDescent="0.25">
      <c r="D476" s="149"/>
      <c r="E476" s="149"/>
      <c r="F476" s="149"/>
      <c r="G476" s="149"/>
      <c r="T476" s="167"/>
    </row>
    <row r="477" spans="4:20" s="46" customFormat="1" x14ac:dyDescent="0.25">
      <c r="D477" s="149"/>
      <c r="E477" s="149"/>
      <c r="F477" s="149"/>
      <c r="G477" s="149"/>
      <c r="T477" s="167"/>
    </row>
    <row r="478" spans="4:20" s="46" customFormat="1" x14ac:dyDescent="0.25">
      <c r="D478" s="149"/>
      <c r="E478" s="149"/>
      <c r="F478" s="149"/>
      <c r="G478" s="149"/>
      <c r="T478" s="167"/>
    </row>
    <row r="479" spans="4:20" s="46" customFormat="1" x14ac:dyDescent="0.25">
      <c r="D479" s="149"/>
      <c r="E479" s="149"/>
      <c r="F479" s="149"/>
      <c r="G479" s="149"/>
      <c r="T479" s="167"/>
    </row>
    <row r="480" spans="4:20" s="46" customFormat="1" x14ac:dyDescent="0.25">
      <c r="D480" s="149"/>
      <c r="E480" s="149"/>
      <c r="F480" s="149"/>
      <c r="G480" s="149"/>
      <c r="T480" s="167"/>
    </row>
    <row r="481" spans="4:20" s="46" customFormat="1" x14ac:dyDescent="0.25">
      <c r="D481" s="149"/>
      <c r="E481" s="149"/>
      <c r="F481" s="149"/>
      <c r="G481" s="149"/>
      <c r="T481" s="167"/>
    </row>
    <row r="482" spans="4:20" s="46" customFormat="1" x14ac:dyDescent="0.25">
      <c r="D482" s="149"/>
      <c r="E482" s="149"/>
      <c r="F482" s="149"/>
      <c r="G482" s="149"/>
      <c r="T482" s="167"/>
    </row>
    <row r="483" spans="4:20" s="46" customFormat="1" x14ac:dyDescent="0.25">
      <c r="D483" s="149"/>
      <c r="E483" s="149"/>
      <c r="F483" s="149"/>
      <c r="G483" s="149"/>
      <c r="T483" s="167"/>
    </row>
    <row r="484" spans="4:20" s="46" customFormat="1" x14ac:dyDescent="0.25">
      <c r="D484" s="149"/>
      <c r="E484" s="149"/>
      <c r="F484" s="149"/>
      <c r="G484" s="149"/>
      <c r="T484" s="167"/>
    </row>
    <row r="485" spans="4:20" s="46" customFormat="1" x14ac:dyDescent="0.25">
      <c r="D485" s="149"/>
      <c r="E485" s="149"/>
      <c r="F485" s="149"/>
      <c r="G485" s="149"/>
      <c r="T485" s="167"/>
    </row>
    <row r="486" spans="4:20" s="46" customFormat="1" x14ac:dyDescent="0.25">
      <c r="D486" s="149"/>
      <c r="E486" s="149"/>
      <c r="F486" s="149"/>
      <c r="G486" s="149"/>
      <c r="T486" s="167"/>
    </row>
    <row r="487" spans="4:20" s="46" customFormat="1" x14ac:dyDescent="0.25">
      <c r="D487" s="149"/>
      <c r="E487" s="149"/>
      <c r="F487" s="149"/>
      <c r="G487" s="149"/>
      <c r="T487" s="167"/>
    </row>
    <row r="488" spans="4:20" s="46" customFormat="1" x14ac:dyDescent="0.25">
      <c r="D488" s="149"/>
      <c r="E488" s="149"/>
      <c r="F488" s="149"/>
      <c r="G488" s="149"/>
      <c r="T488" s="167"/>
    </row>
    <row r="489" spans="4:20" s="46" customFormat="1" x14ac:dyDescent="0.25">
      <c r="D489" s="149"/>
      <c r="E489" s="149"/>
      <c r="F489" s="149"/>
      <c r="G489" s="149"/>
      <c r="T489" s="167"/>
    </row>
    <row r="490" spans="4:20" s="46" customFormat="1" x14ac:dyDescent="0.25">
      <c r="D490" s="149"/>
      <c r="E490" s="149"/>
      <c r="F490" s="149"/>
      <c r="G490" s="149"/>
      <c r="T490" s="167"/>
    </row>
    <row r="491" spans="4:20" s="46" customFormat="1" x14ac:dyDescent="0.25">
      <c r="D491" s="149"/>
      <c r="E491" s="149"/>
      <c r="F491" s="149"/>
      <c r="G491" s="149"/>
      <c r="T491" s="167"/>
    </row>
    <row r="492" spans="4:20" s="46" customFormat="1" x14ac:dyDescent="0.25">
      <c r="D492" s="149"/>
      <c r="E492" s="149"/>
      <c r="F492" s="149"/>
      <c r="G492" s="149"/>
      <c r="T492" s="167"/>
    </row>
    <row r="493" spans="4:20" s="46" customFormat="1" x14ac:dyDescent="0.25">
      <c r="D493" s="149"/>
      <c r="E493" s="149"/>
      <c r="F493" s="149"/>
      <c r="G493" s="149"/>
      <c r="T493" s="167"/>
    </row>
    <row r="494" spans="4:20" s="46" customFormat="1" x14ac:dyDescent="0.25">
      <c r="D494" s="149"/>
      <c r="E494" s="149"/>
      <c r="F494" s="149"/>
      <c r="G494" s="149"/>
      <c r="T494" s="167"/>
    </row>
    <row r="495" spans="4:20" s="46" customFormat="1" x14ac:dyDescent="0.25">
      <c r="D495" s="149"/>
      <c r="E495" s="149"/>
      <c r="F495" s="149"/>
      <c r="G495" s="149"/>
      <c r="T495" s="167"/>
    </row>
    <row r="496" spans="4:20" s="46" customFormat="1" x14ac:dyDescent="0.25">
      <c r="D496" s="149"/>
      <c r="E496" s="149"/>
      <c r="F496" s="149"/>
      <c r="G496" s="149"/>
      <c r="T496" s="167"/>
    </row>
    <row r="497" spans="4:20" s="46" customFormat="1" x14ac:dyDescent="0.25">
      <c r="D497" s="149"/>
      <c r="E497" s="149"/>
      <c r="F497" s="149"/>
      <c r="G497" s="149"/>
      <c r="T497" s="167"/>
    </row>
    <row r="498" spans="4:20" s="46" customFormat="1" x14ac:dyDescent="0.25">
      <c r="D498" s="149"/>
      <c r="E498" s="149"/>
      <c r="F498" s="149"/>
      <c r="G498" s="149"/>
      <c r="T498" s="167"/>
    </row>
    <row r="499" spans="4:20" s="46" customFormat="1" x14ac:dyDescent="0.25">
      <c r="D499" s="149"/>
      <c r="E499" s="149"/>
      <c r="F499" s="149"/>
      <c r="G499" s="149"/>
      <c r="T499" s="167"/>
    </row>
    <row r="500" spans="4:20" s="46" customFormat="1" x14ac:dyDescent="0.25">
      <c r="D500" s="149"/>
      <c r="E500" s="149"/>
      <c r="F500" s="149"/>
      <c r="G500" s="149"/>
      <c r="T500" s="167"/>
    </row>
    <row r="501" spans="4:20" s="46" customFormat="1" x14ac:dyDescent="0.25">
      <c r="D501" s="149"/>
      <c r="E501" s="149"/>
      <c r="F501" s="149"/>
      <c r="G501" s="149"/>
      <c r="T501" s="167"/>
    </row>
    <row r="502" spans="4:20" s="46" customFormat="1" x14ac:dyDescent="0.25">
      <c r="D502" s="149"/>
      <c r="E502" s="149"/>
      <c r="F502" s="149"/>
      <c r="G502" s="149"/>
      <c r="T502" s="167"/>
    </row>
    <row r="503" spans="4:20" s="46" customFormat="1" x14ac:dyDescent="0.25">
      <c r="D503" s="149"/>
      <c r="E503" s="149"/>
      <c r="F503" s="149"/>
      <c r="G503" s="149"/>
      <c r="T503" s="167"/>
    </row>
    <row r="504" spans="4:20" s="46" customFormat="1" x14ac:dyDescent="0.25">
      <c r="D504" s="149"/>
      <c r="E504" s="149"/>
      <c r="F504" s="149"/>
      <c r="G504" s="149"/>
      <c r="T504" s="167"/>
    </row>
    <row r="505" spans="4:20" s="46" customFormat="1" x14ac:dyDescent="0.25">
      <c r="D505" s="149"/>
      <c r="E505" s="149"/>
      <c r="F505" s="149"/>
      <c r="G505" s="149"/>
      <c r="T505" s="167"/>
    </row>
    <row r="506" spans="4:20" s="46" customFormat="1" x14ac:dyDescent="0.25">
      <c r="D506" s="149"/>
      <c r="E506" s="149"/>
      <c r="F506" s="149"/>
      <c r="G506" s="149"/>
      <c r="T506" s="167"/>
    </row>
    <row r="507" spans="4:20" s="46" customFormat="1" x14ac:dyDescent="0.25">
      <c r="D507" s="149"/>
      <c r="E507" s="149"/>
      <c r="F507" s="149"/>
      <c r="G507" s="149"/>
      <c r="T507" s="167"/>
    </row>
    <row r="508" spans="4:20" s="46" customFormat="1" x14ac:dyDescent="0.25">
      <c r="D508" s="149"/>
      <c r="E508" s="149"/>
      <c r="F508" s="149"/>
      <c r="G508" s="149"/>
      <c r="T508" s="167"/>
    </row>
    <row r="509" spans="4:20" s="46" customFormat="1" x14ac:dyDescent="0.25">
      <c r="D509" s="149"/>
      <c r="E509" s="149"/>
      <c r="F509" s="149"/>
      <c r="G509" s="149"/>
      <c r="T509" s="167"/>
    </row>
    <row r="510" spans="4:20" s="46" customFormat="1" x14ac:dyDescent="0.25">
      <c r="D510" s="149"/>
      <c r="E510" s="149"/>
      <c r="F510" s="149"/>
      <c r="G510" s="149"/>
      <c r="T510" s="167"/>
    </row>
    <row r="511" spans="4:20" s="46" customFormat="1" x14ac:dyDescent="0.25">
      <c r="D511" s="149"/>
      <c r="E511" s="149"/>
      <c r="F511" s="149"/>
      <c r="G511" s="149"/>
      <c r="T511" s="167"/>
    </row>
    <row r="512" spans="4:20" s="46" customFormat="1" x14ac:dyDescent="0.25">
      <c r="D512" s="149"/>
      <c r="E512" s="149"/>
      <c r="F512" s="149"/>
      <c r="G512" s="149"/>
      <c r="T512" s="167"/>
    </row>
    <row r="513" spans="4:20" s="46" customFormat="1" x14ac:dyDescent="0.25">
      <c r="D513" s="149"/>
      <c r="E513" s="149"/>
      <c r="F513" s="149"/>
      <c r="G513" s="149"/>
      <c r="T513" s="167"/>
    </row>
    <row r="514" spans="4:20" s="46" customFormat="1" x14ac:dyDescent="0.25">
      <c r="D514" s="149"/>
      <c r="E514" s="149"/>
      <c r="F514" s="149"/>
      <c r="G514" s="149"/>
      <c r="T514" s="167"/>
    </row>
    <row r="515" spans="4:20" s="46" customFormat="1" x14ac:dyDescent="0.25">
      <c r="D515" s="149"/>
      <c r="E515" s="149"/>
      <c r="F515" s="149"/>
      <c r="G515" s="149"/>
      <c r="T515" s="167"/>
    </row>
    <row r="516" spans="4:20" s="46" customFormat="1" x14ac:dyDescent="0.25">
      <c r="D516" s="149"/>
      <c r="E516" s="149"/>
      <c r="F516" s="149"/>
      <c r="G516" s="149"/>
      <c r="T516" s="167"/>
    </row>
    <row r="517" spans="4:20" s="46" customFormat="1" x14ac:dyDescent="0.25">
      <c r="D517" s="149"/>
      <c r="E517" s="149"/>
      <c r="F517" s="149"/>
      <c r="G517" s="149"/>
      <c r="T517" s="167"/>
    </row>
    <row r="518" spans="4:20" s="46" customFormat="1" x14ac:dyDescent="0.25">
      <c r="D518" s="149"/>
      <c r="E518" s="149"/>
      <c r="F518" s="149"/>
      <c r="G518" s="149"/>
      <c r="T518" s="167"/>
    </row>
    <row r="519" spans="4:20" s="46" customFormat="1" x14ac:dyDescent="0.25">
      <c r="D519" s="149"/>
      <c r="E519" s="149"/>
      <c r="F519" s="149"/>
      <c r="G519" s="149"/>
      <c r="T519" s="167"/>
    </row>
    <row r="520" spans="4:20" s="46" customFormat="1" x14ac:dyDescent="0.25">
      <c r="D520" s="149"/>
      <c r="E520" s="149"/>
      <c r="F520" s="149"/>
      <c r="G520" s="149"/>
      <c r="T520" s="167"/>
    </row>
    <row r="521" spans="4:20" s="46" customFormat="1" x14ac:dyDescent="0.25">
      <c r="D521" s="149"/>
      <c r="E521" s="149"/>
      <c r="F521" s="149"/>
      <c r="G521" s="149"/>
      <c r="T521" s="167"/>
    </row>
    <row r="522" spans="4:20" s="46" customFormat="1" x14ac:dyDescent="0.25">
      <c r="D522" s="149"/>
      <c r="E522" s="149"/>
      <c r="F522" s="149"/>
      <c r="G522" s="149"/>
      <c r="T522" s="167"/>
    </row>
    <row r="523" spans="4:20" s="46" customFormat="1" x14ac:dyDescent="0.25">
      <c r="D523" s="149"/>
      <c r="E523" s="149"/>
      <c r="F523" s="149"/>
      <c r="G523" s="149"/>
      <c r="T523" s="167"/>
    </row>
    <row r="524" spans="4:20" s="46" customFormat="1" x14ac:dyDescent="0.25">
      <c r="D524" s="149"/>
      <c r="E524" s="149"/>
      <c r="F524" s="149"/>
      <c r="G524" s="149"/>
      <c r="T524" s="167"/>
    </row>
    <row r="525" spans="4:20" s="46" customFormat="1" x14ac:dyDescent="0.25">
      <c r="D525" s="149"/>
      <c r="E525" s="149"/>
      <c r="F525" s="149"/>
      <c r="G525" s="149"/>
      <c r="T525" s="167"/>
    </row>
    <row r="526" spans="4:20" s="46" customFormat="1" x14ac:dyDescent="0.25">
      <c r="D526" s="149"/>
      <c r="E526" s="149"/>
      <c r="F526" s="149"/>
      <c r="G526" s="149"/>
      <c r="T526" s="167"/>
    </row>
    <row r="527" spans="4:20" s="46" customFormat="1" x14ac:dyDescent="0.25">
      <c r="D527" s="149"/>
      <c r="E527" s="149"/>
      <c r="F527" s="149"/>
      <c r="G527" s="149"/>
      <c r="T527" s="167"/>
    </row>
    <row r="528" spans="4:20" s="46" customFormat="1" x14ac:dyDescent="0.25">
      <c r="D528" s="149"/>
      <c r="E528" s="149"/>
      <c r="F528" s="149"/>
      <c r="G528" s="149"/>
      <c r="T528" s="167"/>
    </row>
    <row r="529" spans="4:20" s="46" customFormat="1" x14ac:dyDescent="0.25">
      <c r="D529" s="149"/>
      <c r="E529" s="149"/>
      <c r="F529" s="149"/>
      <c r="G529" s="149"/>
      <c r="T529" s="167"/>
    </row>
    <row r="530" spans="4:20" s="46" customFormat="1" x14ac:dyDescent="0.25">
      <c r="D530" s="149"/>
      <c r="E530" s="149"/>
      <c r="F530" s="149"/>
      <c r="G530" s="149"/>
      <c r="T530" s="167"/>
    </row>
    <row r="531" spans="4:20" s="46" customFormat="1" x14ac:dyDescent="0.25">
      <c r="D531" s="149"/>
      <c r="E531" s="149"/>
      <c r="F531" s="149"/>
      <c r="G531" s="149"/>
      <c r="T531" s="167"/>
    </row>
    <row r="532" spans="4:20" s="46" customFormat="1" x14ac:dyDescent="0.25">
      <c r="D532" s="149"/>
      <c r="E532" s="149"/>
      <c r="F532" s="149"/>
      <c r="G532" s="149"/>
      <c r="T532" s="167"/>
    </row>
    <row r="533" spans="4:20" s="46" customFormat="1" x14ac:dyDescent="0.25">
      <c r="D533" s="149"/>
      <c r="E533" s="149"/>
      <c r="F533" s="149"/>
      <c r="G533" s="149"/>
      <c r="T533" s="167"/>
    </row>
    <row r="534" spans="4:20" s="46" customFormat="1" x14ac:dyDescent="0.25">
      <c r="D534" s="149"/>
      <c r="E534" s="149"/>
      <c r="F534" s="149"/>
      <c r="G534" s="149"/>
      <c r="T534" s="167"/>
    </row>
    <row r="535" spans="4:20" s="46" customFormat="1" x14ac:dyDescent="0.25">
      <c r="D535" s="149"/>
      <c r="E535" s="149"/>
      <c r="F535" s="149"/>
      <c r="G535" s="149"/>
      <c r="T535" s="167"/>
    </row>
    <row r="536" spans="4:20" s="46" customFormat="1" x14ac:dyDescent="0.25">
      <c r="D536" s="149"/>
      <c r="E536" s="149"/>
      <c r="F536" s="149"/>
      <c r="G536" s="149"/>
      <c r="T536" s="167"/>
    </row>
    <row r="537" spans="4:20" s="46" customFormat="1" x14ac:dyDescent="0.25">
      <c r="D537" s="149"/>
      <c r="E537" s="149"/>
      <c r="F537" s="149"/>
      <c r="G537" s="149"/>
      <c r="T537" s="167"/>
    </row>
    <row r="538" spans="4:20" s="46" customFormat="1" x14ac:dyDescent="0.25">
      <c r="D538" s="149"/>
      <c r="E538" s="149"/>
      <c r="F538" s="149"/>
      <c r="G538" s="149"/>
      <c r="T538" s="167"/>
    </row>
    <row r="539" spans="4:20" s="46" customFormat="1" x14ac:dyDescent="0.25">
      <c r="D539" s="149"/>
      <c r="E539" s="149"/>
      <c r="F539" s="149"/>
      <c r="G539" s="149"/>
      <c r="T539" s="167"/>
    </row>
    <row r="540" spans="4:20" s="46" customFormat="1" x14ac:dyDescent="0.25">
      <c r="D540" s="149"/>
      <c r="E540" s="149"/>
      <c r="F540" s="149"/>
      <c r="G540" s="149"/>
      <c r="T540" s="167"/>
    </row>
    <row r="541" spans="4:20" s="46" customFormat="1" x14ac:dyDescent="0.25">
      <c r="D541" s="149"/>
      <c r="E541" s="149"/>
      <c r="F541" s="149"/>
      <c r="G541" s="149"/>
      <c r="T541" s="167"/>
    </row>
    <row r="542" spans="4:20" s="46" customFormat="1" x14ac:dyDescent="0.25">
      <c r="D542" s="149"/>
      <c r="E542" s="149"/>
      <c r="F542" s="149"/>
      <c r="G542" s="149"/>
      <c r="T542" s="167"/>
    </row>
    <row r="543" spans="4:20" s="46" customFormat="1" x14ac:dyDescent="0.25">
      <c r="D543" s="149"/>
      <c r="E543" s="149"/>
      <c r="F543" s="149"/>
      <c r="G543" s="149"/>
      <c r="T543" s="167"/>
    </row>
    <row r="544" spans="4:20" s="46" customFormat="1" x14ac:dyDescent="0.25">
      <c r="D544" s="149"/>
      <c r="E544" s="149"/>
      <c r="F544" s="149"/>
      <c r="G544" s="149"/>
      <c r="T544" s="167"/>
    </row>
    <row r="545" spans="4:20" s="46" customFormat="1" x14ac:dyDescent="0.25">
      <c r="D545" s="149"/>
      <c r="E545" s="149"/>
      <c r="F545" s="149"/>
      <c r="G545" s="149"/>
      <c r="T545" s="167"/>
    </row>
    <row r="546" spans="4:20" s="46" customFormat="1" x14ac:dyDescent="0.25">
      <c r="D546" s="149"/>
      <c r="E546" s="149"/>
      <c r="F546" s="149"/>
      <c r="G546" s="149"/>
      <c r="T546" s="167"/>
    </row>
    <row r="547" spans="4:20" s="46" customFormat="1" x14ac:dyDescent="0.25">
      <c r="D547" s="149"/>
      <c r="E547" s="149"/>
      <c r="F547" s="149"/>
      <c r="G547" s="149"/>
      <c r="T547" s="167"/>
    </row>
    <row r="548" spans="4:20" s="46" customFormat="1" x14ac:dyDescent="0.25">
      <c r="D548" s="149"/>
      <c r="E548" s="149"/>
      <c r="F548" s="149"/>
      <c r="G548" s="149"/>
      <c r="T548" s="167"/>
    </row>
    <row r="549" spans="4:20" s="46" customFormat="1" x14ac:dyDescent="0.25">
      <c r="D549" s="149"/>
      <c r="E549" s="149"/>
      <c r="F549" s="149"/>
      <c r="G549" s="149"/>
      <c r="T549" s="167"/>
    </row>
    <row r="550" spans="4:20" s="46" customFormat="1" x14ac:dyDescent="0.25">
      <c r="D550" s="149"/>
      <c r="E550" s="149"/>
      <c r="F550" s="149"/>
      <c r="G550" s="149"/>
      <c r="T550" s="167"/>
    </row>
    <row r="551" spans="4:20" s="46" customFormat="1" x14ac:dyDescent="0.25">
      <c r="D551" s="149"/>
      <c r="E551" s="149"/>
      <c r="F551" s="149"/>
      <c r="G551" s="149"/>
      <c r="T551" s="167"/>
    </row>
    <row r="552" spans="4:20" s="46" customFormat="1" x14ac:dyDescent="0.25">
      <c r="D552" s="149"/>
      <c r="E552" s="149"/>
      <c r="F552" s="149"/>
      <c r="G552" s="149"/>
      <c r="T552" s="167"/>
    </row>
    <row r="553" spans="4:20" s="46" customFormat="1" x14ac:dyDescent="0.25">
      <c r="D553" s="149"/>
      <c r="E553" s="149"/>
      <c r="F553" s="149"/>
      <c r="G553" s="149"/>
      <c r="T553" s="167"/>
    </row>
    <row r="554" spans="4:20" s="46" customFormat="1" x14ac:dyDescent="0.25">
      <c r="D554" s="149"/>
      <c r="E554" s="149"/>
      <c r="F554" s="149"/>
      <c r="G554" s="149"/>
      <c r="T554" s="167"/>
    </row>
    <row r="555" spans="4:20" s="46" customFormat="1" x14ac:dyDescent="0.25">
      <c r="D555" s="149"/>
      <c r="E555" s="149"/>
      <c r="F555" s="149"/>
      <c r="G555" s="149"/>
      <c r="T555" s="167"/>
    </row>
    <row r="556" spans="4:20" s="46" customFormat="1" x14ac:dyDescent="0.25">
      <c r="D556" s="149"/>
      <c r="E556" s="149"/>
      <c r="F556" s="149"/>
      <c r="G556" s="149"/>
      <c r="T556" s="167"/>
    </row>
    <row r="557" spans="4:20" s="46" customFormat="1" x14ac:dyDescent="0.25">
      <c r="D557" s="149"/>
      <c r="E557" s="149"/>
      <c r="F557" s="149"/>
      <c r="G557" s="149"/>
      <c r="T557" s="167"/>
    </row>
    <row r="558" spans="4:20" s="46" customFormat="1" x14ac:dyDescent="0.25">
      <c r="D558" s="149"/>
      <c r="E558" s="149"/>
      <c r="F558" s="149"/>
      <c r="G558" s="149"/>
      <c r="T558" s="167"/>
    </row>
    <row r="559" spans="4:20" s="46" customFormat="1" x14ac:dyDescent="0.25">
      <c r="D559" s="149"/>
      <c r="E559" s="149"/>
      <c r="F559" s="149"/>
      <c r="G559" s="149"/>
      <c r="T559" s="167"/>
    </row>
    <row r="560" spans="4:20" s="46" customFormat="1" x14ac:dyDescent="0.25">
      <c r="D560" s="149"/>
      <c r="E560" s="149"/>
      <c r="F560" s="149"/>
      <c r="G560" s="149"/>
      <c r="T560" s="167"/>
    </row>
    <row r="561" spans="4:20" s="46" customFormat="1" x14ac:dyDescent="0.25">
      <c r="D561" s="149"/>
      <c r="E561" s="149"/>
      <c r="F561" s="149"/>
      <c r="G561" s="149"/>
      <c r="T561" s="167"/>
    </row>
    <row r="562" spans="4:20" s="46" customFormat="1" x14ac:dyDescent="0.25">
      <c r="D562" s="149"/>
      <c r="E562" s="149"/>
      <c r="F562" s="149"/>
      <c r="G562" s="149"/>
      <c r="T562" s="167"/>
    </row>
    <row r="563" spans="4:20" s="46" customFormat="1" x14ac:dyDescent="0.25">
      <c r="D563" s="149"/>
      <c r="E563" s="149"/>
      <c r="F563" s="149"/>
      <c r="G563" s="149"/>
      <c r="T563" s="167"/>
    </row>
    <row r="564" spans="4:20" s="46" customFormat="1" x14ac:dyDescent="0.25">
      <c r="D564" s="149"/>
      <c r="E564" s="149"/>
      <c r="F564" s="149"/>
      <c r="G564" s="149"/>
      <c r="T564" s="167"/>
    </row>
    <row r="565" spans="4:20" s="46" customFormat="1" x14ac:dyDescent="0.25">
      <c r="D565" s="149"/>
      <c r="E565" s="149"/>
      <c r="F565" s="149"/>
      <c r="G565" s="149"/>
      <c r="T565" s="167"/>
    </row>
    <row r="566" spans="4:20" s="46" customFormat="1" x14ac:dyDescent="0.25">
      <c r="D566" s="149"/>
      <c r="E566" s="149"/>
      <c r="F566" s="149"/>
      <c r="G566" s="149"/>
      <c r="T566" s="167"/>
    </row>
    <row r="567" spans="4:20" s="46" customFormat="1" x14ac:dyDescent="0.25">
      <c r="D567" s="149"/>
      <c r="E567" s="149"/>
      <c r="F567" s="149"/>
      <c r="G567" s="149"/>
      <c r="T567" s="167"/>
    </row>
    <row r="568" spans="4:20" s="46" customFormat="1" x14ac:dyDescent="0.25">
      <c r="D568" s="149"/>
      <c r="E568" s="149"/>
      <c r="F568" s="149"/>
      <c r="G568" s="149"/>
      <c r="T568" s="167"/>
    </row>
    <row r="569" spans="4:20" s="46" customFormat="1" x14ac:dyDescent="0.25">
      <c r="D569" s="149"/>
      <c r="E569" s="149"/>
      <c r="F569" s="149"/>
      <c r="G569" s="149"/>
      <c r="T569" s="167"/>
    </row>
    <row r="570" spans="4:20" s="46" customFormat="1" x14ac:dyDescent="0.25">
      <c r="D570" s="149"/>
      <c r="E570" s="149"/>
      <c r="F570" s="149"/>
      <c r="G570" s="149"/>
      <c r="T570" s="167"/>
    </row>
    <row r="571" spans="4:20" s="46" customFormat="1" x14ac:dyDescent="0.25">
      <c r="D571" s="149"/>
      <c r="E571" s="149"/>
      <c r="F571" s="149"/>
      <c r="G571" s="149"/>
      <c r="T571" s="167"/>
    </row>
    <row r="572" spans="4:20" s="46" customFormat="1" x14ac:dyDescent="0.25">
      <c r="D572" s="149"/>
      <c r="E572" s="149"/>
      <c r="F572" s="149"/>
      <c r="G572" s="149"/>
      <c r="T572" s="167"/>
    </row>
    <row r="573" spans="4:20" s="46" customFormat="1" x14ac:dyDescent="0.25">
      <c r="D573" s="149"/>
      <c r="E573" s="149"/>
      <c r="F573" s="149"/>
      <c r="G573" s="149"/>
      <c r="T573" s="167"/>
    </row>
    <row r="574" spans="4:20" s="46" customFormat="1" x14ac:dyDescent="0.25">
      <c r="D574" s="149"/>
      <c r="E574" s="149"/>
      <c r="F574" s="149"/>
      <c r="G574" s="149"/>
      <c r="T574" s="167"/>
    </row>
    <row r="575" spans="4:20" s="46" customFormat="1" x14ac:dyDescent="0.25">
      <c r="D575" s="149"/>
      <c r="E575" s="149"/>
      <c r="F575" s="149"/>
      <c r="G575" s="149"/>
      <c r="T575" s="167"/>
    </row>
    <row r="576" spans="4:20" s="46" customFormat="1" x14ac:dyDescent="0.25">
      <c r="D576" s="149"/>
      <c r="E576" s="149"/>
      <c r="F576" s="149"/>
      <c r="G576" s="149"/>
      <c r="T576" s="167"/>
    </row>
    <row r="577" spans="4:26" s="46" customFormat="1" x14ac:dyDescent="0.25">
      <c r="D577" s="149"/>
      <c r="E577" s="149"/>
      <c r="F577" s="149"/>
      <c r="G577" s="149"/>
      <c r="T577" s="167"/>
    </row>
    <row r="578" spans="4:26" s="46" customFormat="1" x14ac:dyDescent="0.25">
      <c r="D578" s="149"/>
      <c r="E578" s="149"/>
      <c r="F578" s="149"/>
      <c r="G578" s="149"/>
      <c r="T578" s="167"/>
    </row>
    <row r="579" spans="4:26" s="46" customFormat="1" x14ac:dyDescent="0.25">
      <c r="D579" s="149"/>
      <c r="E579" s="149"/>
      <c r="F579" s="149"/>
      <c r="G579" s="149"/>
      <c r="T579" s="167"/>
    </row>
    <row r="580" spans="4:26" s="46" customFormat="1" x14ac:dyDescent="0.25">
      <c r="D580" s="149"/>
      <c r="E580" s="149"/>
      <c r="F580" s="149"/>
      <c r="G580" s="149"/>
      <c r="T580" s="167"/>
    </row>
    <row r="581" spans="4:26" s="46" customFormat="1" x14ac:dyDescent="0.25">
      <c r="D581" s="149"/>
      <c r="E581" s="149"/>
      <c r="F581" s="149"/>
      <c r="G581" s="149"/>
      <c r="T581" s="167"/>
    </row>
    <row r="582" spans="4:26" s="46" customFormat="1" x14ac:dyDescent="0.25">
      <c r="D582" s="149"/>
      <c r="E582" s="149"/>
      <c r="F582" s="149"/>
      <c r="G582" s="149"/>
      <c r="T582" s="167"/>
    </row>
    <row r="583" spans="4:26" s="46" customFormat="1" x14ac:dyDescent="0.25">
      <c r="D583" s="149"/>
      <c r="E583" s="149"/>
      <c r="F583" s="149"/>
      <c r="G583" s="149"/>
      <c r="T583" s="167"/>
    </row>
    <row r="584" spans="4:26" s="46" customFormat="1" x14ac:dyDescent="0.25">
      <c r="D584" s="149"/>
      <c r="E584" s="149"/>
      <c r="F584" s="149"/>
      <c r="G584" s="149"/>
      <c r="T584" s="167"/>
    </row>
    <row r="585" spans="4:26" s="46" customFormat="1" x14ac:dyDescent="0.25">
      <c r="D585" s="149"/>
      <c r="E585" s="149"/>
      <c r="F585" s="149"/>
      <c r="G585" s="149"/>
      <c r="T585" s="167"/>
    </row>
    <row r="586" spans="4:26" s="46" customFormat="1" x14ac:dyDescent="0.25">
      <c r="D586" s="149"/>
      <c r="E586" s="149"/>
      <c r="F586" s="149"/>
      <c r="G586" s="149"/>
      <c r="T586" s="167"/>
    </row>
    <row r="587" spans="4:26" s="46" customFormat="1" x14ac:dyDescent="0.25">
      <c r="D587" s="149"/>
      <c r="E587" s="149"/>
      <c r="F587" s="149"/>
      <c r="G587" s="149"/>
      <c r="T587" s="167"/>
    </row>
    <row r="588" spans="4:26" s="46" customFormat="1" x14ac:dyDescent="0.25">
      <c r="D588" s="149"/>
      <c r="E588" s="149"/>
      <c r="F588" s="149"/>
      <c r="G588" s="149"/>
      <c r="T588" s="167"/>
    </row>
    <row r="589" spans="4:26" x14ac:dyDescent="0.25">
      <c r="R589" s="46"/>
      <c r="S589" s="46"/>
      <c r="T589" s="167"/>
      <c r="U589" s="46"/>
      <c r="V589" s="46"/>
      <c r="W589" s="46"/>
      <c r="X589" s="46"/>
      <c r="Y589" s="46"/>
      <c r="Z589" s="46"/>
    </row>
    <row r="590" spans="4:26" x14ac:dyDescent="0.25">
      <c r="R590" s="46"/>
      <c r="S590" s="46"/>
      <c r="T590" s="167"/>
      <c r="U590" s="46"/>
      <c r="V590" s="46"/>
      <c r="W590" s="46"/>
      <c r="X590" s="46"/>
      <c r="Y590" s="46"/>
      <c r="Z590" s="46"/>
    </row>
    <row r="591" spans="4:26" x14ac:dyDescent="0.25">
      <c r="R591" s="46"/>
      <c r="S591" s="46"/>
      <c r="T591" s="167"/>
      <c r="U591" s="46"/>
      <c r="V591" s="46"/>
      <c r="W591" s="46"/>
      <c r="X591" s="46"/>
      <c r="Y591" s="46"/>
      <c r="Z591" s="46"/>
    </row>
    <row r="592" spans="4:26" x14ac:dyDescent="0.25">
      <c r="R592" s="46"/>
      <c r="S592" s="46"/>
      <c r="T592" s="167"/>
      <c r="U592" s="46"/>
      <c r="V592" s="46"/>
      <c r="W592" s="46"/>
      <c r="X592" s="46"/>
      <c r="Y592" s="46"/>
      <c r="Z592" s="46"/>
    </row>
    <row r="593" spans="18:26" x14ac:dyDescent="0.25">
      <c r="R593" s="46"/>
      <c r="S593" s="46"/>
      <c r="T593" s="167"/>
      <c r="U593" s="46"/>
      <c r="V593" s="46"/>
      <c r="W593" s="46"/>
      <c r="X593" s="46"/>
      <c r="Y593" s="46"/>
      <c r="Z593" s="46"/>
    </row>
    <row r="594" spans="18:26" x14ac:dyDescent="0.25">
      <c r="R594" s="46"/>
      <c r="S594" s="46"/>
      <c r="T594" s="167"/>
      <c r="U594" s="46"/>
      <c r="V594" s="46"/>
      <c r="W594" s="46"/>
      <c r="X594" s="46"/>
      <c r="Y594" s="46"/>
      <c r="Z594" s="46"/>
    </row>
    <row r="595" spans="18:26" x14ac:dyDescent="0.25">
      <c r="R595" s="46"/>
      <c r="S595" s="46"/>
      <c r="T595" s="167"/>
      <c r="U595" s="46"/>
      <c r="V595" s="46"/>
      <c r="W595" s="46"/>
      <c r="X595" s="46"/>
      <c r="Y595" s="46"/>
      <c r="Z595" s="46"/>
    </row>
    <row r="596" spans="18:26" x14ac:dyDescent="0.25">
      <c r="R596" s="46"/>
      <c r="S596" s="46"/>
      <c r="T596" s="167"/>
      <c r="U596" s="46"/>
      <c r="V596" s="46"/>
      <c r="W596" s="46"/>
      <c r="X596" s="46"/>
      <c r="Y596" s="46"/>
      <c r="Z596" s="46"/>
    </row>
    <row r="597" spans="18:26" x14ac:dyDescent="0.25">
      <c r="R597" s="46"/>
      <c r="S597" s="46"/>
      <c r="T597" s="167"/>
      <c r="U597" s="46"/>
      <c r="V597" s="46"/>
      <c r="W597" s="46"/>
      <c r="X597" s="46"/>
      <c r="Y597" s="46"/>
      <c r="Z597" s="46"/>
    </row>
    <row r="598" spans="18:26" x14ac:dyDescent="0.25">
      <c r="R598" s="46"/>
      <c r="S598" s="46"/>
      <c r="T598" s="167"/>
      <c r="U598" s="46"/>
      <c r="V598" s="46"/>
      <c r="W598" s="46"/>
      <c r="X598" s="46"/>
      <c r="Y598" s="46"/>
      <c r="Z598" s="46"/>
    </row>
    <row r="599" spans="18:26" x14ac:dyDescent="0.25">
      <c r="R599" s="46"/>
      <c r="S599" s="46"/>
      <c r="T599" s="167"/>
      <c r="U599" s="46"/>
      <c r="V599" s="46"/>
      <c r="W599" s="46"/>
      <c r="X599" s="46"/>
      <c r="Y599" s="46"/>
      <c r="Z599" s="46"/>
    </row>
    <row r="600" spans="18:26" x14ac:dyDescent="0.25">
      <c r="R600" s="46"/>
      <c r="S600" s="46"/>
      <c r="T600" s="167"/>
      <c r="U600" s="46"/>
      <c r="V600" s="46"/>
      <c r="W600" s="46"/>
      <c r="X600" s="46"/>
      <c r="Y600" s="46"/>
      <c r="Z600" s="46"/>
    </row>
    <row r="601" spans="18:26" x14ac:dyDescent="0.25">
      <c r="R601" s="46"/>
      <c r="S601" s="46"/>
      <c r="T601" s="167"/>
      <c r="U601" s="46"/>
      <c r="V601" s="46"/>
      <c r="W601" s="46"/>
      <c r="X601" s="46"/>
      <c r="Y601" s="46"/>
      <c r="Z601" s="46"/>
    </row>
    <row r="602" spans="18:26" x14ac:dyDescent="0.25">
      <c r="R602" s="46"/>
      <c r="S602" s="46"/>
      <c r="T602" s="167"/>
      <c r="U602" s="46"/>
      <c r="V602" s="46"/>
      <c r="W602" s="46"/>
      <c r="X602" s="46"/>
      <c r="Y602" s="46"/>
      <c r="Z602" s="46"/>
    </row>
    <row r="603" spans="18:26" x14ac:dyDescent="0.25">
      <c r="R603" s="46"/>
      <c r="S603" s="46"/>
      <c r="T603" s="167"/>
      <c r="U603" s="46"/>
      <c r="V603" s="46"/>
      <c r="W603" s="46"/>
      <c r="X603" s="46"/>
      <c r="Y603" s="46"/>
      <c r="Z603" s="46"/>
    </row>
    <row r="604" spans="18:26" x14ac:dyDescent="0.25">
      <c r="R604" s="46"/>
      <c r="S604" s="46"/>
      <c r="T604" s="167"/>
      <c r="U604" s="46"/>
      <c r="V604" s="46"/>
      <c r="W604" s="46"/>
      <c r="X604" s="46"/>
      <c r="Y604" s="46"/>
      <c r="Z604" s="46"/>
    </row>
    <row r="605" spans="18:26" x14ac:dyDescent="0.25">
      <c r="R605" s="46"/>
      <c r="S605" s="46"/>
      <c r="T605" s="167"/>
      <c r="U605" s="46"/>
      <c r="V605" s="46"/>
      <c r="W605" s="46"/>
      <c r="X605" s="46"/>
      <c r="Y605" s="46"/>
      <c r="Z605" s="46"/>
    </row>
    <row r="606" spans="18:26" x14ac:dyDescent="0.25">
      <c r="R606" s="46"/>
      <c r="S606" s="46"/>
      <c r="T606" s="167"/>
      <c r="U606" s="46"/>
      <c r="V606" s="46"/>
      <c r="W606" s="46"/>
      <c r="X606" s="46"/>
      <c r="Y606" s="46"/>
      <c r="Z606" s="46"/>
    </row>
    <row r="607" spans="18:26" x14ac:dyDescent="0.25">
      <c r="R607" s="46"/>
      <c r="S607" s="46"/>
      <c r="T607" s="167"/>
      <c r="U607" s="46"/>
      <c r="V607" s="46"/>
      <c r="W607" s="46"/>
      <c r="X607" s="46"/>
      <c r="Y607" s="46"/>
      <c r="Z607" s="46"/>
    </row>
    <row r="608" spans="18:26" x14ac:dyDescent="0.25">
      <c r="R608" s="46"/>
      <c r="S608" s="46"/>
      <c r="T608" s="167"/>
      <c r="U608" s="46"/>
      <c r="V608" s="46"/>
      <c r="W608" s="46"/>
      <c r="X608" s="46"/>
      <c r="Y608" s="46"/>
      <c r="Z608" s="46"/>
    </row>
    <row r="609" spans="18:26" x14ac:dyDescent="0.25">
      <c r="R609" s="46"/>
      <c r="S609" s="46"/>
      <c r="T609" s="167"/>
      <c r="U609" s="46"/>
      <c r="V609" s="46"/>
      <c r="W609" s="46"/>
      <c r="X609" s="46"/>
      <c r="Y609" s="46"/>
      <c r="Z609" s="46"/>
    </row>
    <row r="610" spans="18:26" x14ac:dyDescent="0.25">
      <c r="R610" s="46"/>
      <c r="S610" s="46"/>
      <c r="T610" s="167"/>
      <c r="U610" s="46"/>
      <c r="V610" s="46"/>
      <c r="W610" s="46"/>
      <c r="X610" s="46"/>
      <c r="Y610" s="46"/>
      <c r="Z610" s="46"/>
    </row>
    <row r="611" spans="18:26" x14ac:dyDescent="0.25">
      <c r="R611" s="46"/>
      <c r="S611" s="46"/>
      <c r="T611" s="167"/>
      <c r="U611" s="46"/>
      <c r="V611" s="46"/>
      <c r="W611" s="46"/>
      <c r="X611" s="46"/>
      <c r="Y611" s="46"/>
      <c r="Z611" s="46"/>
    </row>
    <row r="612" spans="18:26" x14ac:dyDescent="0.25">
      <c r="R612" s="46"/>
      <c r="S612" s="46"/>
      <c r="T612" s="167"/>
      <c r="U612" s="46"/>
      <c r="V612" s="46"/>
      <c r="W612" s="46"/>
      <c r="X612" s="46"/>
      <c r="Y612" s="46"/>
      <c r="Z612" s="46"/>
    </row>
    <row r="613" spans="18:26" x14ac:dyDescent="0.25">
      <c r="R613" s="46"/>
      <c r="S613" s="46"/>
      <c r="T613" s="167"/>
      <c r="U613" s="46"/>
      <c r="V613" s="46"/>
      <c r="W613" s="46"/>
      <c r="X613" s="46"/>
      <c r="Y613" s="46"/>
      <c r="Z613" s="46"/>
    </row>
    <row r="614" spans="18:26" x14ac:dyDescent="0.25">
      <c r="R614" s="46"/>
      <c r="S614" s="46"/>
      <c r="T614" s="167"/>
      <c r="U614" s="46"/>
      <c r="V614" s="46"/>
      <c r="W614" s="46"/>
      <c r="X614" s="46"/>
      <c r="Y614" s="46"/>
      <c r="Z614" s="46"/>
    </row>
    <row r="615" spans="18:26" x14ac:dyDescent="0.25">
      <c r="R615" s="46"/>
      <c r="S615" s="46"/>
      <c r="T615" s="167"/>
      <c r="U615" s="46"/>
      <c r="V615" s="46"/>
      <c r="W615" s="46"/>
      <c r="X615" s="46"/>
      <c r="Y615" s="46"/>
      <c r="Z615" s="46"/>
    </row>
    <row r="616" spans="18:26" x14ac:dyDescent="0.25">
      <c r="R616" s="46"/>
      <c r="S616" s="46"/>
      <c r="T616" s="167"/>
      <c r="U616" s="46"/>
      <c r="V616" s="46"/>
      <c r="W616" s="46"/>
      <c r="X616" s="46"/>
      <c r="Y616" s="46"/>
      <c r="Z616" s="46"/>
    </row>
    <row r="617" spans="18:26" x14ac:dyDescent="0.25">
      <c r="R617" s="46"/>
      <c r="S617" s="46"/>
      <c r="T617" s="167"/>
      <c r="U617" s="46"/>
      <c r="V617" s="46"/>
      <c r="W617" s="46"/>
      <c r="X617" s="46"/>
      <c r="Y617" s="46"/>
      <c r="Z617" s="46"/>
    </row>
    <row r="618" spans="18:26" x14ac:dyDescent="0.25">
      <c r="R618" s="46"/>
      <c r="S618" s="46"/>
      <c r="T618" s="167"/>
      <c r="U618" s="46"/>
      <c r="V618" s="46"/>
      <c r="W618" s="46"/>
      <c r="X618" s="46"/>
      <c r="Y618" s="46"/>
      <c r="Z618" s="46"/>
    </row>
    <row r="619" spans="18:26" x14ac:dyDescent="0.25">
      <c r="R619" s="46"/>
      <c r="S619" s="46"/>
      <c r="T619" s="167"/>
      <c r="U619" s="46"/>
      <c r="V619" s="46"/>
      <c r="W619" s="46"/>
      <c r="X619" s="46"/>
      <c r="Y619" s="46"/>
      <c r="Z619" s="46"/>
    </row>
    <row r="620" spans="18:26" x14ac:dyDescent="0.25">
      <c r="R620" s="46"/>
      <c r="S620" s="46"/>
      <c r="T620" s="167"/>
      <c r="U620" s="46"/>
      <c r="V620" s="46"/>
      <c r="W620" s="46"/>
      <c r="X620" s="46"/>
      <c r="Y620" s="46"/>
      <c r="Z620" s="46"/>
    </row>
    <row r="621" spans="18:26" x14ac:dyDescent="0.25">
      <c r="R621" s="46"/>
      <c r="S621" s="46"/>
      <c r="T621" s="167"/>
      <c r="U621" s="46"/>
      <c r="V621" s="46"/>
      <c r="W621" s="46"/>
      <c r="X621" s="46"/>
      <c r="Y621" s="46"/>
      <c r="Z621" s="46"/>
    </row>
    <row r="622" spans="18:26" x14ac:dyDescent="0.25">
      <c r="R622" s="46"/>
      <c r="S622" s="46"/>
      <c r="T622" s="167"/>
      <c r="U622" s="46"/>
      <c r="V622" s="46"/>
      <c r="W622" s="46"/>
      <c r="X622" s="46"/>
      <c r="Y622" s="46"/>
      <c r="Z622" s="46"/>
    </row>
    <row r="623" spans="18:26" x14ac:dyDescent="0.25">
      <c r="R623" s="46"/>
      <c r="S623" s="46"/>
      <c r="T623" s="167"/>
      <c r="U623" s="46"/>
      <c r="V623" s="46"/>
      <c r="W623" s="46"/>
      <c r="X623" s="46"/>
      <c r="Y623" s="46"/>
      <c r="Z623" s="46"/>
    </row>
    <row r="624" spans="18:26" x14ac:dyDescent="0.25">
      <c r="R624" s="46"/>
      <c r="S624" s="46"/>
      <c r="T624" s="167"/>
      <c r="U624" s="46"/>
      <c r="V624" s="46"/>
      <c r="W624" s="46"/>
      <c r="X624" s="46"/>
      <c r="Y624" s="46"/>
      <c r="Z624" s="46"/>
    </row>
    <row r="625" spans="18:26" x14ac:dyDescent="0.25">
      <c r="R625" s="46"/>
      <c r="S625" s="46"/>
      <c r="T625" s="167"/>
      <c r="U625" s="46"/>
      <c r="V625" s="46"/>
      <c r="W625" s="46"/>
      <c r="X625" s="46"/>
      <c r="Y625" s="46"/>
      <c r="Z625" s="46"/>
    </row>
    <row r="626" spans="18:26" x14ac:dyDescent="0.25">
      <c r="R626" s="46"/>
      <c r="S626" s="46"/>
      <c r="T626" s="167"/>
      <c r="U626" s="46"/>
      <c r="V626" s="46"/>
      <c r="W626" s="46"/>
      <c r="X626" s="46"/>
      <c r="Y626" s="46"/>
      <c r="Z626" s="46"/>
    </row>
    <row r="627" spans="18:26" x14ac:dyDescent="0.25">
      <c r="R627" s="46"/>
      <c r="S627" s="46"/>
      <c r="T627" s="167"/>
      <c r="U627" s="46"/>
      <c r="V627" s="46"/>
      <c r="W627" s="46"/>
      <c r="X627" s="46"/>
      <c r="Y627" s="46"/>
      <c r="Z627" s="46"/>
    </row>
    <row r="628" spans="18:26" x14ac:dyDescent="0.25">
      <c r="R628" s="46"/>
      <c r="S628" s="46"/>
      <c r="T628" s="167"/>
      <c r="U628" s="46"/>
      <c r="V628" s="46"/>
      <c r="W628" s="46"/>
      <c r="X628" s="46"/>
      <c r="Y628" s="46"/>
      <c r="Z628" s="46"/>
    </row>
    <row r="629" spans="18:26" x14ac:dyDescent="0.25">
      <c r="R629" s="46"/>
      <c r="S629" s="46"/>
      <c r="T629" s="167"/>
      <c r="U629" s="46"/>
      <c r="V629" s="46"/>
      <c r="W629" s="46"/>
      <c r="X629" s="46"/>
      <c r="Y629" s="46"/>
      <c r="Z629" s="46"/>
    </row>
    <row r="630" spans="18:26" x14ac:dyDescent="0.25">
      <c r="R630" s="46"/>
      <c r="S630" s="46"/>
      <c r="T630" s="167"/>
      <c r="U630" s="46"/>
      <c r="V630" s="46"/>
      <c r="W630" s="46"/>
      <c r="X630" s="46"/>
      <c r="Y630" s="46"/>
      <c r="Z630" s="46"/>
    </row>
    <row r="631" spans="18:26" x14ac:dyDescent="0.25">
      <c r="R631" s="46"/>
      <c r="S631" s="46"/>
      <c r="T631" s="167"/>
      <c r="U631" s="46"/>
      <c r="V631" s="46"/>
      <c r="W631" s="46"/>
      <c r="X631" s="46"/>
      <c r="Y631" s="46"/>
      <c r="Z631" s="46"/>
    </row>
    <row r="632" spans="18:26" x14ac:dyDescent="0.25">
      <c r="R632" s="46"/>
      <c r="S632" s="46"/>
      <c r="T632" s="167"/>
      <c r="U632" s="46"/>
      <c r="V632" s="46"/>
      <c r="W632" s="46"/>
      <c r="X632" s="46"/>
      <c r="Y632" s="46"/>
      <c r="Z632" s="46"/>
    </row>
    <row r="633" spans="18:26" x14ac:dyDescent="0.25">
      <c r="R633" s="46"/>
      <c r="S633" s="46"/>
      <c r="T633" s="167"/>
      <c r="U633" s="46"/>
      <c r="V633" s="46"/>
      <c r="W633" s="46"/>
      <c r="X633" s="46"/>
      <c r="Y633" s="46"/>
      <c r="Z633" s="46"/>
    </row>
    <row r="634" spans="18:26" x14ac:dyDescent="0.25">
      <c r="R634" s="46"/>
      <c r="S634" s="46"/>
      <c r="T634" s="167"/>
      <c r="U634" s="46"/>
      <c r="V634" s="46"/>
      <c r="W634" s="46"/>
      <c r="X634" s="46"/>
      <c r="Y634" s="46"/>
      <c r="Z634" s="46"/>
    </row>
    <row r="635" spans="18:26" x14ac:dyDescent="0.25">
      <c r="R635" s="46"/>
      <c r="S635" s="46"/>
      <c r="T635" s="167"/>
      <c r="U635" s="46"/>
      <c r="V635" s="46"/>
      <c r="W635" s="46"/>
      <c r="X635" s="46"/>
      <c r="Y635" s="46"/>
      <c r="Z635" s="46"/>
    </row>
    <row r="636" spans="18:26" x14ac:dyDescent="0.25">
      <c r="R636" s="46"/>
      <c r="S636" s="46"/>
      <c r="T636" s="167"/>
      <c r="U636" s="46"/>
      <c r="V636" s="46"/>
      <c r="W636" s="46"/>
      <c r="X636" s="46"/>
      <c r="Y636" s="46"/>
      <c r="Z636" s="46"/>
    </row>
    <row r="637" spans="18:26" x14ac:dyDescent="0.25">
      <c r="R637" s="46"/>
      <c r="S637" s="46"/>
      <c r="T637" s="167"/>
      <c r="U637" s="46"/>
      <c r="V637" s="46"/>
      <c r="W637" s="46"/>
      <c r="X637" s="46"/>
      <c r="Y637" s="46"/>
      <c r="Z637" s="46"/>
    </row>
    <row r="638" spans="18:26" x14ac:dyDescent="0.25">
      <c r="R638" s="46"/>
      <c r="S638" s="46"/>
      <c r="T638" s="167"/>
      <c r="U638" s="46"/>
      <c r="V638" s="46"/>
      <c r="W638" s="46"/>
      <c r="X638" s="46"/>
      <c r="Y638" s="46"/>
      <c r="Z638" s="46"/>
    </row>
    <row r="639" spans="18:26" x14ac:dyDescent="0.25">
      <c r="R639" s="46"/>
      <c r="S639" s="46"/>
      <c r="T639" s="167"/>
      <c r="U639" s="46"/>
      <c r="V639" s="46"/>
      <c r="W639" s="46"/>
      <c r="X639" s="46"/>
      <c r="Y639" s="46"/>
      <c r="Z639" s="46"/>
    </row>
    <row r="640" spans="18:26" x14ac:dyDescent="0.25">
      <c r="R640" s="46"/>
      <c r="S640" s="46"/>
      <c r="T640" s="167"/>
      <c r="U640" s="46"/>
      <c r="V640" s="46"/>
      <c r="W640" s="46"/>
      <c r="X640" s="46"/>
      <c r="Y640" s="46"/>
      <c r="Z640" s="46"/>
    </row>
    <row r="641" spans="18:26" x14ac:dyDescent="0.25">
      <c r="R641" s="46"/>
      <c r="S641" s="46"/>
      <c r="T641" s="167"/>
      <c r="U641" s="46"/>
      <c r="V641" s="46"/>
      <c r="W641" s="46"/>
      <c r="X641" s="46"/>
      <c r="Y641" s="46"/>
      <c r="Z641" s="46"/>
    </row>
    <row r="642" spans="18:26" x14ac:dyDescent="0.25">
      <c r="R642" s="46"/>
      <c r="S642" s="46"/>
      <c r="T642" s="167"/>
      <c r="U642" s="46"/>
      <c r="V642" s="46"/>
      <c r="W642" s="46"/>
      <c r="X642" s="46"/>
      <c r="Y642" s="46"/>
      <c r="Z642" s="46"/>
    </row>
    <row r="643" spans="18:26" x14ac:dyDescent="0.25">
      <c r="R643" s="46"/>
      <c r="S643" s="46"/>
      <c r="T643" s="167"/>
      <c r="U643" s="46"/>
      <c r="V643" s="46"/>
      <c r="W643" s="46"/>
      <c r="X643" s="46"/>
      <c r="Y643" s="46"/>
      <c r="Z643" s="46"/>
    </row>
    <row r="644" spans="18:26" x14ac:dyDescent="0.25">
      <c r="R644" s="46"/>
      <c r="S644" s="46"/>
      <c r="T644" s="167"/>
      <c r="U644" s="46"/>
      <c r="V644" s="46"/>
      <c r="W644" s="46"/>
      <c r="X644" s="46"/>
      <c r="Y644" s="46"/>
      <c r="Z644" s="46"/>
    </row>
    <row r="645" spans="18:26" x14ac:dyDescent="0.25">
      <c r="R645" s="46"/>
      <c r="S645" s="46"/>
      <c r="T645" s="167"/>
      <c r="U645" s="46"/>
      <c r="V645" s="46"/>
      <c r="W645" s="46"/>
      <c r="X645" s="46"/>
      <c r="Y645" s="46"/>
      <c r="Z645" s="46"/>
    </row>
    <row r="646" spans="18:26" x14ac:dyDescent="0.25">
      <c r="R646" s="46"/>
      <c r="S646" s="46"/>
      <c r="T646" s="167"/>
      <c r="U646" s="46"/>
      <c r="V646" s="46"/>
      <c r="W646" s="46"/>
      <c r="X646" s="46"/>
      <c r="Y646" s="46"/>
      <c r="Z646" s="46"/>
    </row>
    <row r="647" spans="18:26" x14ac:dyDescent="0.25">
      <c r="R647" s="46"/>
      <c r="S647" s="46"/>
      <c r="T647" s="167"/>
      <c r="U647" s="46"/>
      <c r="V647" s="46"/>
      <c r="W647" s="46"/>
      <c r="X647" s="46"/>
      <c r="Y647" s="46"/>
      <c r="Z647" s="46"/>
    </row>
    <row r="648" spans="18:26" x14ac:dyDescent="0.25">
      <c r="R648" s="46"/>
      <c r="S648" s="46"/>
      <c r="T648" s="167"/>
      <c r="U648" s="46"/>
      <c r="V648" s="46"/>
      <c r="W648" s="46"/>
      <c r="X648" s="46"/>
      <c r="Y648" s="46"/>
      <c r="Z648" s="46"/>
    </row>
    <row r="649" spans="18:26" x14ac:dyDescent="0.25">
      <c r="R649" s="46"/>
      <c r="S649" s="46"/>
      <c r="T649" s="167"/>
      <c r="U649" s="46"/>
      <c r="V649" s="46"/>
      <c r="W649" s="46"/>
      <c r="X649" s="46"/>
      <c r="Y649" s="46"/>
      <c r="Z649" s="46"/>
    </row>
    <row r="650" spans="18:26" x14ac:dyDescent="0.25">
      <c r="R650" s="46"/>
      <c r="S650" s="46"/>
      <c r="T650" s="167"/>
      <c r="U650" s="46"/>
      <c r="V650" s="46"/>
      <c r="W650" s="46"/>
      <c r="X650" s="46"/>
      <c r="Y650" s="46"/>
      <c r="Z650" s="46"/>
    </row>
    <row r="651" spans="18:26" x14ac:dyDescent="0.25">
      <c r="R651" s="46"/>
      <c r="S651" s="46"/>
      <c r="T651" s="167"/>
      <c r="U651" s="46"/>
      <c r="V651" s="46"/>
      <c r="W651" s="46"/>
      <c r="X651" s="46"/>
      <c r="Y651" s="46"/>
      <c r="Z651" s="46"/>
    </row>
    <row r="652" spans="18:26" x14ac:dyDescent="0.25">
      <c r="R652" s="46"/>
      <c r="S652" s="46"/>
      <c r="T652" s="167"/>
      <c r="U652" s="46"/>
      <c r="V652" s="46"/>
      <c r="W652" s="46"/>
      <c r="X652" s="46"/>
      <c r="Y652" s="46"/>
      <c r="Z652" s="46"/>
    </row>
    <row r="653" spans="18:26" x14ac:dyDescent="0.25">
      <c r="R653" s="46"/>
      <c r="S653" s="46"/>
      <c r="T653" s="167"/>
      <c r="U653" s="46"/>
      <c r="V653" s="46"/>
      <c r="W653" s="46"/>
      <c r="X653" s="46"/>
      <c r="Y653" s="46"/>
      <c r="Z653" s="46"/>
    </row>
    <row r="654" spans="18:26" x14ac:dyDescent="0.25">
      <c r="R654" s="46"/>
      <c r="S654" s="46"/>
      <c r="T654" s="167"/>
      <c r="U654" s="46"/>
      <c r="V654" s="46"/>
      <c r="W654" s="46"/>
      <c r="X654" s="46"/>
      <c r="Y654" s="46"/>
      <c r="Z654" s="46"/>
    </row>
    <row r="655" spans="18:26" x14ac:dyDescent="0.25">
      <c r="R655" s="46"/>
      <c r="S655" s="46"/>
      <c r="T655" s="167"/>
      <c r="U655" s="46"/>
      <c r="V655" s="46"/>
      <c r="W655" s="46"/>
      <c r="X655" s="46"/>
      <c r="Y655" s="46"/>
      <c r="Z655" s="46"/>
    </row>
    <row r="656" spans="18:26" x14ac:dyDescent="0.25">
      <c r="R656" s="46"/>
      <c r="S656" s="46"/>
      <c r="T656" s="167"/>
      <c r="U656" s="46"/>
      <c r="V656" s="46"/>
      <c r="W656" s="46"/>
      <c r="X656" s="46"/>
      <c r="Y656" s="46"/>
      <c r="Z656" s="46"/>
    </row>
    <row r="657" spans="18:26" x14ac:dyDescent="0.25">
      <c r="R657" s="46"/>
      <c r="S657" s="46"/>
      <c r="T657" s="167"/>
      <c r="U657" s="46"/>
      <c r="V657" s="46"/>
      <c r="W657" s="46"/>
      <c r="X657" s="46"/>
      <c r="Y657" s="46"/>
      <c r="Z657" s="46"/>
    </row>
    <row r="658" spans="18:26" x14ac:dyDescent="0.25">
      <c r="R658" s="46"/>
      <c r="S658" s="46"/>
      <c r="T658" s="167"/>
      <c r="U658" s="46"/>
      <c r="V658" s="46"/>
      <c r="W658" s="46"/>
      <c r="X658" s="46"/>
      <c r="Y658" s="46"/>
      <c r="Z658" s="46"/>
    </row>
    <row r="659" spans="18:26" x14ac:dyDescent="0.25">
      <c r="R659" s="46"/>
      <c r="S659" s="46"/>
      <c r="T659" s="167"/>
      <c r="U659" s="46"/>
      <c r="V659" s="46"/>
      <c r="W659" s="46"/>
      <c r="X659" s="46"/>
      <c r="Y659" s="46"/>
      <c r="Z659" s="46"/>
    </row>
    <row r="660" spans="18:26" x14ac:dyDescent="0.25">
      <c r="R660" s="46"/>
      <c r="S660" s="46"/>
      <c r="T660" s="167"/>
      <c r="U660" s="46"/>
      <c r="V660" s="46"/>
      <c r="W660" s="46"/>
      <c r="X660" s="46"/>
      <c r="Y660" s="46"/>
      <c r="Z660" s="46"/>
    </row>
    <row r="661" spans="18:26" x14ac:dyDescent="0.25">
      <c r="R661" s="46"/>
      <c r="S661" s="46"/>
      <c r="T661" s="167"/>
      <c r="U661" s="46"/>
      <c r="V661" s="46"/>
      <c r="W661" s="46"/>
      <c r="X661" s="46"/>
      <c r="Y661" s="46"/>
      <c r="Z661" s="46"/>
    </row>
    <row r="662" spans="18:26" x14ac:dyDescent="0.25">
      <c r="R662" s="46"/>
      <c r="S662" s="46"/>
      <c r="T662" s="167"/>
      <c r="U662" s="46"/>
      <c r="V662" s="46"/>
      <c r="W662" s="46"/>
      <c r="X662" s="46"/>
      <c r="Y662" s="46"/>
      <c r="Z662" s="46"/>
    </row>
    <row r="663" spans="18:26" x14ac:dyDescent="0.25">
      <c r="R663" s="46"/>
      <c r="S663" s="46"/>
      <c r="T663" s="167"/>
      <c r="U663" s="46"/>
      <c r="V663" s="46"/>
      <c r="W663" s="46"/>
      <c r="X663" s="46"/>
      <c r="Y663" s="46"/>
      <c r="Z663" s="46"/>
    </row>
    <row r="664" spans="18:26" x14ac:dyDescent="0.25">
      <c r="R664" s="46"/>
      <c r="S664" s="46"/>
      <c r="T664" s="167"/>
      <c r="U664" s="46"/>
      <c r="V664" s="46"/>
      <c r="W664" s="46"/>
      <c r="X664" s="46"/>
      <c r="Y664" s="46"/>
      <c r="Z664" s="46"/>
    </row>
    <row r="665" spans="18:26" x14ac:dyDescent="0.25">
      <c r="R665" s="46"/>
      <c r="S665" s="46"/>
      <c r="T665" s="167"/>
      <c r="U665" s="46"/>
      <c r="V665" s="46"/>
      <c r="W665" s="46"/>
      <c r="X665" s="46"/>
      <c r="Y665" s="46"/>
      <c r="Z665" s="46"/>
    </row>
    <row r="666" spans="18:26" x14ac:dyDescent="0.25">
      <c r="R666" s="46"/>
      <c r="S666" s="46"/>
      <c r="T666" s="167"/>
      <c r="U666" s="46"/>
      <c r="V666" s="46"/>
      <c r="W666" s="46"/>
      <c r="X666" s="46"/>
      <c r="Y666" s="46"/>
      <c r="Z666" s="46"/>
    </row>
    <row r="667" spans="18:26" x14ac:dyDescent="0.25">
      <c r="R667" s="46"/>
      <c r="S667" s="46"/>
      <c r="T667" s="167"/>
      <c r="U667" s="46"/>
      <c r="V667" s="46"/>
      <c r="W667" s="46"/>
      <c r="X667" s="46"/>
      <c r="Y667" s="46"/>
      <c r="Z667" s="46"/>
    </row>
    <row r="668" spans="18:26" x14ac:dyDescent="0.25">
      <c r="R668" s="46"/>
      <c r="S668" s="46"/>
      <c r="T668" s="167"/>
      <c r="U668" s="46"/>
      <c r="V668" s="46"/>
      <c r="W668" s="46"/>
      <c r="X668" s="46"/>
      <c r="Y668" s="46"/>
      <c r="Z668" s="46"/>
    </row>
    <row r="669" spans="18:26" x14ac:dyDescent="0.25">
      <c r="R669" s="46"/>
      <c r="S669" s="46"/>
      <c r="T669" s="167"/>
      <c r="U669" s="46"/>
      <c r="V669" s="46"/>
      <c r="W669" s="46"/>
      <c r="X669" s="46"/>
      <c r="Y669" s="46"/>
      <c r="Z669" s="46"/>
    </row>
    <row r="670" spans="18:26" x14ac:dyDescent="0.25">
      <c r="R670" s="46"/>
      <c r="S670" s="46"/>
      <c r="T670" s="167"/>
      <c r="U670" s="46"/>
      <c r="V670" s="46"/>
      <c r="W670" s="46"/>
      <c r="X670" s="46"/>
      <c r="Y670" s="46"/>
      <c r="Z670" s="46"/>
    </row>
    <row r="671" spans="18:26" x14ac:dyDescent="0.25">
      <c r="R671" s="46"/>
      <c r="S671" s="46"/>
      <c r="T671" s="167"/>
      <c r="U671" s="46"/>
      <c r="V671" s="46"/>
      <c r="W671" s="46"/>
      <c r="X671" s="46"/>
      <c r="Y671" s="46"/>
      <c r="Z671" s="46"/>
    </row>
    <row r="672" spans="18:26" x14ac:dyDescent="0.25">
      <c r="R672" s="46"/>
      <c r="S672" s="46"/>
      <c r="T672" s="167"/>
      <c r="U672" s="46"/>
      <c r="V672" s="46"/>
      <c r="W672" s="46"/>
      <c r="X672" s="46"/>
      <c r="Y672" s="46"/>
      <c r="Z672" s="46"/>
    </row>
    <row r="673" spans="18:26" x14ac:dyDescent="0.25">
      <c r="R673" s="46"/>
      <c r="S673" s="46"/>
      <c r="T673" s="167"/>
      <c r="U673" s="46"/>
      <c r="V673" s="46"/>
      <c r="W673" s="46"/>
      <c r="X673" s="46"/>
      <c r="Y673" s="46"/>
      <c r="Z673" s="46"/>
    </row>
    <row r="674" spans="18:26" x14ac:dyDescent="0.25">
      <c r="R674" s="46"/>
      <c r="S674" s="46"/>
      <c r="T674" s="167"/>
      <c r="U674" s="46"/>
      <c r="V674" s="46"/>
      <c r="W674" s="46"/>
      <c r="X674" s="46"/>
      <c r="Y674" s="46"/>
      <c r="Z674" s="46"/>
    </row>
    <row r="675" spans="18:26" x14ac:dyDescent="0.25">
      <c r="R675" s="46"/>
      <c r="S675" s="46"/>
      <c r="T675" s="167"/>
      <c r="U675" s="46"/>
      <c r="V675" s="46"/>
      <c r="W675" s="46"/>
      <c r="X675" s="46"/>
      <c r="Y675" s="46"/>
      <c r="Z675" s="46"/>
    </row>
    <row r="676" spans="18:26" x14ac:dyDescent="0.25">
      <c r="R676" s="46"/>
      <c r="S676" s="46"/>
      <c r="T676" s="167"/>
      <c r="U676" s="46"/>
      <c r="V676" s="46"/>
      <c r="W676" s="46"/>
      <c r="X676" s="46"/>
      <c r="Y676" s="46"/>
      <c r="Z676" s="46"/>
    </row>
    <row r="677" spans="18:26" x14ac:dyDescent="0.25">
      <c r="R677" s="46"/>
      <c r="S677" s="46"/>
      <c r="T677" s="167"/>
      <c r="U677" s="46"/>
      <c r="V677" s="46"/>
      <c r="W677" s="46"/>
      <c r="X677" s="46"/>
      <c r="Y677" s="46"/>
      <c r="Z677" s="46"/>
    </row>
    <row r="678" spans="18:26" x14ac:dyDescent="0.25">
      <c r="R678" s="46"/>
      <c r="S678" s="46"/>
      <c r="T678" s="167"/>
      <c r="U678" s="46"/>
      <c r="V678" s="46"/>
      <c r="W678" s="46"/>
      <c r="X678" s="46"/>
      <c r="Y678" s="46"/>
      <c r="Z678" s="46"/>
    </row>
    <row r="679" spans="18:26" x14ac:dyDescent="0.25">
      <c r="R679" s="46"/>
      <c r="S679" s="46"/>
      <c r="T679" s="167"/>
      <c r="U679" s="46"/>
      <c r="V679" s="46"/>
      <c r="W679" s="46"/>
      <c r="X679" s="46"/>
      <c r="Y679" s="46"/>
      <c r="Z679" s="46"/>
    </row>
    <row r="680" spans="18:26" x14ac:dyDescent="0.25">
      <c r="R680" s="46"/>
      <c r="S680" s="46"/>
      <c r="T680" s="167"/>
      <c r="U680" s="46"/>
      <c r="V680" s="46"/>
      <c r="W680" s="46"/>
      <c r="X680" s="46"/>
      <c r="Y680" s="46"/>
      <c r="Z680" s="46"/>
    </row>
    <row r="681" spans="18:26" x14ac:dyDescent="0.25">
      <c r="R681" s="46"/>
      <c r="S681" s="46"/>
      <c r="T681" s="167"/>
      <c r="U681" s="46"/>
      <c r="V681" s="46"/>
      <c r="W681" s="46"/>
      <c r="X681" s="46"/>
      <c r="Y681" s="46"/>
      <c r="Z681" s="46"/>
    </row>
    <row r="682" spans="18:26" x14ac:dyDescent="0.25">
      <c r="R682" s="46"/>
      <c r="S682" s="46"/>
      <c r="T682" s="167"/>
      <c r="U682" s="46"/>
      <c r="V682" s="46"/>
      <c r="W682" s="46"/>
      <c r="X682" s="46"/>
      <c r="Y682" s="46"/>
      <c r="Z682" s="46"/>
    </row>
    <row r="683" spans="18:26" x14ac:dyDescent="0.25">
      <c r="R683" s="46"/>
      <c r="S683" s="46"/>
      <c r="T683" s="167"/>
      <c r="U683" s="46"/>
      <c r="V683" s="46"/>
      <c r="W683" s="46"/>
      <c r="X683" s="46"/>
      <c r="Y683" s="46"/>
      <c r="Z683" s="46"/>
    </row>
    <row r="684" spans="18:26" x14ac:dyDescent="0.25">
      <c r="R684" s="46"/>
      <c r="S684" s="46"/>
      <c r="T684" s="167"/>
      <c r="U684" s="46"/>
      <c r="V684" s="46"/>
      <c r="W684" s="46"/>
      <c r="X684" s="46"/>
      <c r="Y684" s="46"/>
      <c r="Z684" s="46"/>
    </row>
    <row r="685" spans="18:26" x14ac:dyDescent="0.25">
      <c r="R685" s="46"/>
      <c r="S685" s="46"/>
      <c r="T685" s="167"/>
      <c r="U685" s="46"/>
      <c r="V685" s="46"/>
      <c r="W685" s="46"/>
      <c r="X685" s="46"/>
      <c r="Y685" s="46"/>
      <c r="Z685" s="46"/>
    </row>
    <row r="686" spans="18:26" x14ac:dyDescent="0.25">
      <c r="R686" s="46"/>
      <c r="S686" s="46"/>
      <c r="T686" s="167"/>
      <c r="U686" s="46"/>
      <c r="V686" s="46"/>
      <c r="W686" s="46"/>
      <c r="X686" s="46"/>
      <c r="Y686" s="46"/>
      <c r="Z686" s="46"/>
    </row>
    <row r="687" spans="18:26" x14ac:dyDescent="0.25">
      <c r="R687" s="46"/>
      <c r="S687" s="46"/>
      <c r="T687" s="167"/>
      <c r="U687" s="46"/>
      <c r="V687" s="46"/>
      <c r="W687" s="46"/>
      <c r="X687" s="46"/>
      <c r="Y687" s="46"/>
      <c r="Z687" s="46"/>
    </row>
    <row r="688" spans="18:26" x14ac:dyDescent="0.25">
      <c r="R688" s="46"/>
      <c r="S688" s="46"/>
      <c r="T688" s="167"/>
      <c r="U688" s="46"/>
      <c r="V688" s="46"/>
      <c r="W688" s="46"/>
      <c r="X688" s="46"/>
      <c r="Y688" s="46"/>
      <c r="Z688" s="46"/>
    </row>
    <row r="689" spans="18:26" x14ac:dyDescent="0.25">
      <c r="R689" s="46"/>
      <c r="S689" s="46"/>
      <c r="T689" s="167"/>
      <c r="U689" s="46"/>
      <c r="V689" s="46"/>
      <c r="W689" s="46"/>
      <c r="X689" s="46"/>
      <c r="Y689" s="46"/>
      <c r="Z689" s="46"/>
    </row>
    <row r="690" spans="18:26" x14ac:dyDescent="0.25">
      <c r="R690" s="46"/>
      <c r="S690" s="46"/>
      <c r="T690" s="167"/>
      <c r="U690" s="46"/>
      <c r="V690" s="46"/>
      <c r="W690" s="46"/>
      <c r="X690" s="46"/>
      <c r="Y690" s="46"/>
      <c r="Z690" s="46"/>
    </row>
    <row r="691" spans="18:26" x14ac:dyDescent="0.25">
      <c r="R691" s="46"/>
      <c r="S691" s="46"/>
      <c r="T691" s="167"/>
      <c r="U691" s="46"/>
      <c r="V691" s="46"/>
      <c r="W691" s="46"/>
      <c r="X691" s="46"/>
      <c r="Y691" s="46"/>
      <c r="Z691" s="46"/>
    </row>
    <row r="692" spans="18:26" x14ac:dyDescent="0.25">
      <c r="R692" s="46"/>
      <c r="S692" s="46"/>
      <c r="T692" s="167"/>
      <c r="U692" s="46"/>
      <c r="V692" s="46"/>
      <c r="W692" s="46"/>
      <c r="X692" s="46"/>
      <c r="Y692" s="46"/>
      <c r="Z692" s="46"/>
    </row>
    <row r="693" spans="18:26" x14ac:dyDescent="0.25">
      <c r="R693" s="46"/>
      <c r="S693" s="46"/>
      <c r="T693" s="167"/>
      <c r="U693" s="46"/>
      <c r="V693" s="46"/>
      <c r="W693" s="46"/>
      <c r="X693" s="46"/>
      <c r="Y693" s="46"/>
      <c r="Z693" s="46"/>
    </row>
    <row r="694" spans="18:26" x14ac:dyDescent="0.25">
      <c r="R694" s="46"/>
      <c r="S694" s="46"/>
      <c r="T694" s="167"/>
      <c r="U694" s="46"/>
      <c r="V694" s="46"/>
      <c r="W694" s="46"/>
      <c r="X694" s="46"/>
      <c r="Y694" s="46"/>
      <c r="Z694" s="46"/>
    </row>
    <row r="695" spans="18:26" x14ac:dyDescent="0.25">
      <c r="R695" s="46"/>
      <c r="S695" s="46"/>
      <c r="T695" s="167"/>
      <c r="U695" s="46"/>
      <c r="V695" s="46"/>
      <c r="W695" s="46"/>
      <c r="X695" s="46"/>
      <c r="Y695" s="46"/>
      <c r="Z695" s="46"/>
    </row>
    <row r="696" spans="18:26" x14ac:dyDescent="0.25">
      <c r="R696" s="46"/>
      <c r="S696" s="46"/>
      <c r="T696" s="167"/>
      <c r="U696" s="46"/>
      <c r="V696" s="46"/>
      <c r="W696" s="46"/>
      <c r="X696" s="46"/>
      <c r="Y696" s="46"/>
      <c r="Z696" s="46"/>
    </row>
    <row r="697" spans="18:26" x14ac:dyDescent="0.25">
      <c r="R697" s="46"/>
      <c r="S697" s="46"/>
      <c r="T697" s="167"/>
      <c r="U697" s="46"/>
      <c r="V697" s="46"/>
      <c r="W697" s="46"/>
      <c r="X697" s="46"/>
      <c r="Y697" s="46"/>
      <c r="Z697" s="46"/>
    </row>
    <row r="698" spans="18:26" x14ac:dyDescent="0.25">
      <c r="R698" s="46"/>
      <c r="S698" s="46"/>
      <c r="T698" s="167"/>
      <c r="U698" s="46"/>
      <c r="V698" s="46"/>
      <c r="W698" s="46"/>
      <c r="X698" s="46"/>
      <c r="Y698" s="46"/>
      <c r="Z698" s="46"/>
    </row>
    <row r="699" spans="18:26" x14ac:dyDescent="0.25">
      <c r="R699" s="46"/>
      <c r="S699" s="46"/>
      <c r="T699" s="167"/>
      <c r="U699" s="46"/>
      <c r="V699" s="46"/>
      <c r="W699" s="46"/>
      <c r="X699" s="46"/>
      <c r="Y699" s="46"/>
      <c r="Z699" s="46"/>
    </row>
    <row r="700" spans="18:26" x14ac:dyDescent="0.25">
      <c r="R700" s="46"/>
      <c r="S700" s="46"/>
      <c r="T700" s="167"/>
      <c r="U700" s="46"/>
      <c r="V700" s="46"/>
      <c r="W700" s="46"/>
      <c r="X700" s="46"/>
      <c r="Y700" s="46"/>
      <c r="Z700" s="46"/>
    </row>
    <row r="701" spans="18:26" x14ac:dyDescent="0.25">
      <c r="R701" s="46"/>
      <c r="S701" s="46"/>
      <c r="T701" s="167"/>
      <c r="U701" s="46"/>
      <c r="V701" s="46"/>
      <c r="W701" s="46"/>
      <c r="X701" s="46"/>
      <c r="Y701" s="46"/>
      <c r="Z701" s="46"/>
    </row>
    <row r="702" spans="18:26" x14ac:dyDescent="0.25">
      <c r="R702" s="46"/>
      <c r="S702" s="46"/>
      <c r="T702" s="167"/>
      <c r="U702" s="46"/>
      <c r="V702" s="46"/>
      <c r="W702" s="46"/>
      <c r="X702" s="46"/>
      <c r="Y702" s="46"/>
      <c r="Z702" s="46"/>
    </row>
    <row r="703" spans="18:26" x14ac:dyDescent="0.25">
      <c r="R703" s="46"/>
      <c r="S703" s="46"/>
      <c r="T703" s="167"/>
      <c r="U703" s="46"/>
      <c r="V703" s="46"/>
      <c r="W703" s="46"/>
      <c r="X703" s="46"/>
      <c r="Y703" s="46"/>
      <c r="Z703" s="46"/>
    </row>
    <row r="704" spans="18:26" x14ac:dyDescent="0.25">
      <c r="R704" s="46"/>
      <c r="S704" s="46"/>
      <c r="T704" s="167"/>
      <c r="U704" s="46"/>
      <c r="V704" s="46"/>
      <c r="W704" s="46"/>
      <c r="X704" s="46"/>
      <c r="Y704" s="46"/>
      <c r="Z704" s="46"/>
    </row>
    <row r="705" spans="18:26" x14ac:dyDescent="0.25">
      <c r="R705" s="46"/>
      <c r="S705" s="46"/>
      <c r="T705" s="167"/>
      <c r="U705" s="46"/>
      <c r="V705" s="46"/>
      <c r="W705" s="46"/>
      <c r="X705" s="46"/>
      <c r="Y705" s="46"/>
      <c r="Z705" s="46"/>
    </row>
    <row r="706" spans="18:26" x14ac:dyDescent="0.25">
      <c r="R706" s="46"/>
      <c r="S706" s="46"/>
      <c r="T706" s="167"/>
      <c r="U706" s="46"/>
      <c r="V706" s="46"/>
      <c r="W706" s="46"/>
      <c r="X706" s="46"/>
      <c r="Y706" s="46"/>
      <c r="Z706" s="46"/>
    </row>
    <row r="707" spans="18:26" x14ac:dyDescent="0.25">
      <c r="R707" s="46"/>
      <c r="S707" s="46"/>
      <c r="T707" s="167"/>
      <c r="U707" s="46"/>
      <c r="V707" s="46"/>
      <c r="W707" s="46"/>
      <c r="X707" s="46"/>
      <c r="Y707" s="46"/>
      <c r="Z707" s="46"/>
    </row>
    <row r="708" spans="18:26" x14ac:dyDescent="0.25">
      <c r="R708" s="46"/>
      <c r="S708" s="46"/>
      <c r="T708" s="167"/>
      <c r="U708" s="46"/>
      <c r="V708" s="46"/>
      <c r="W708" s="46"/>
      <c r="X708" s="46"/>
      <c r="Y708" s="46"/>
      <c r="Z708" s="46"/>
    </row>
    <row r="709" spans="18:26" x14ac:dyDescent="0.25">
      <c r="R709" s="46"/>
      <c r="S709" s="46"/>
      <c r="T709" s="167"/>
      <c r="U709" s="46"/>
      <c r="V709" s="46"/>
      <c r="W709" s="46"/>
      <c r="X709" s="46"/>
      <c r="Y709" s="46"/>
      <c r="Z709" s="46"/>
    </row>
    <row r="710" spans="18:26" x14ac:dyDescent="0.25">
      <c r="R710" s="46"/>
      <c r="S710" s="46"/>
      <c r="T710" s="167"/>
      <c r="U710" s="46"/>
      <c r="V710" s="46"/>
      <c r="W710" s="46"/>
      <c r="X710" s="46"/>
      <c r="Y710" s="46"/>
      <c r="Z710" s="46"/>
    </row>
    <row r="711" spans="18:26" x14ac:dyDescent="0.25">
      <c r="R711" s="46"/>
      <c r="S711" s="46"/>
      <c r="T711" s="167"/>
      <c r="U711" s="46"/>
      <c r="V711" s="46"/>
      <c r="W711" s="46"/>
      <c r="X711" s="46"/>
      <c r="Y711" s="46"/>
      <c r="Z711" s="46"/>
    </row>
    <row r="712" spans="18:26" x14ac:dyDescent="0.25">
      <c r="R712" s="46"/>
      <c r="S712" s="46"/>
      <c r="T712" s="167"/>
      <c r="U712" s="46"/>
      <c r="V712" s="46"/>
      <c r="W712" s="46"/>
      <c r="X712" s="46"/>
      <c r="Y712" s="46"/>
      <c r="Z712" s="46"/>
    </row>
    <row r="713" spans="18:26" x14ac:dyDescent="0.25">
      <c r="R713" s="46"/>
      <c r="S713" s="46"/>
      <c r="T713" s="167"/>
      <c r="U713" s="46"/>
      <c r="V713" s="46"/>
      <c r="W713" s="46"/>
      <c r="X713" s="46"/>
      <c r="Y713" s="46"/>
      <c r="Z713" s="46"/>
    </row>
    <row r="714" spans="18:26" x14ac:dyDescent="0.25">
      <c r="R714" s="46"/>
      <c r="S714" s="46"/>
      <c r="T714" s="167"/>
      <c r="U714" s="46"/>
      <c r="V714" s="46"/>
      <c r="W714" s="46"/>
      <c r="X714" s="46"/>
      <c r="Y714" s="46"/>
      <c r="Z714" s="46"/>
    </row>
    <row r="715" spans="18:26" x14ac:dyDescent="0.25">
      <c r="R715" s="46"/>
      <c r="S715" s="46"/>
      <c r="T715" s="167"/>
      <c r="U715" s="46"/>
      <c r="V715" s="46"/>
      <c r="W715" s="46"/>
      <c r="X715" s="46"/>
      <c r="Y715" s="46"/>
      <c r="Z715" s="46"/>
    </row>
    <row r="716" spans="18:26" x14ac:dyDescent="0.25">
      <c r="R716" s="46"/>
      <c r="S716" s="46"/>
      <c r="T716" s="167"/>
      <c r="U716" s="46"/>
      <c r="V716" s="46"/>
      <c r="W716" s="46"/>
      <c r="X716" s="46"/>
      <c r="Y716" s="46"/>
      <c r="Z716" s="46"/>
    </row>
    <row r="717" spans="18:26" x14ac:dyDescent="0.25">
      <c r="R717" s="46"/>
      <c r="S717" s="46"/>
      <c r="T717" s="167"/>
      <c r="U717" s="46"/>
      <c r="V717" s="46"/>
      <c r="W717" s="46"/>
      <c r="X717" s="46"/>
      <c r="Y717" s="46"/>
      <c r="Z717" s="46"/>
    </row>
    <row r="718" spans="18:26" x14ac:dyDescent="0.25">
      <c r="R718" s="46"/>
      <c r="S718" s="46"/>
      <c r="T718" s="167"/>
      <c r="U718" s="46"/>
      <c r="V718" s="46"/>
      <c r="W718" s="46"/>
      <c r="X718" s="46"/>
      <c r="Y718" s="46"/>
      <c r="Z718" s="46"/>
    </row>
    <row r="719" spans="18:26" x14ac:dyDescent="0.25">
      <c r="R719" s="46"/>
      <c r="S719" s="46"/>
      <c r="T719" s="167"/>
      <c r="U719" s="46"/>
      <c r="V719" s="46"/>
      <c r="W719" s="46"/>
      <c r="X719" s="46"/>
      <c r="Y719" s="46"/>
      <c r="Z719" s="46"/>
    </row>
    <row r="720" spans="18:26" x14ac:dyDescent="0.25">
      <c r="R720" s="46"/>
      <c r="S720" s="46"/>
      <c r="T720" s="167"/>
      <c r="U720" s="46"/>
      <c r="V720" s="46"/>
      <c r="W720" s="46"/>
      <c r="X720" s="46"/>
      <c r="Y720" s="46"/>
      <c r="Z720" s="46"/>
    </row>
    <row r="721" spans="18:26" x14ac:dyDescent="0.25">
      <c r="R721" s="46"/>
      <c r="S721" s="46"/>
      <c r="T721" s="167"/>
      <c r="U721" s="46"/>
      <c r="V721" s="46"/>
      <c r="W721" s="46"/>
      <c r="X721" s="46"/>
      <c r="Y721" s="46"/>
      <c r="Z721" s="46"/>
    </row>
    <row r="722" spans="18:26" x14ac:dyDescent="0.25">
      <c r="R722" s="46"/>
      <c r="S722" s="46"/>
      <c r="T722" s="167"/>
      <c r="U722" s="46"/>
      <c r="V722" s="46"/>
      <c r="W722" s="46"/>
      <c r="X722" s="46"/>
      <c r="Y722" s="46"/>
      <c r="Z722" s="46"/>
    </row>
    <row r="723" spans="18:26" x14ac:dyDescent="0.25">
      <c r="R723" s="46"/>
      <c r="S723" s="46"/>
      <c r="T723" s="167"/>
      <c r="U723" s="46"/>
      <c r="V723" s="46"/>
      <c r="W723" s="46"/>
      <c r="X723" s="46"/>
      <c r="Y723" s="46"/>
      <c r="Z723" s="46"/>
    </row>
    <row r="724" spans="18:26" x14ac:dyDescent="0.25">
      <c r="R724" s="46"/>
      <c r="S724" s="46"/>
      <c r="T724" s="167"/>
      <c r="U724" s="46"/>
      <c r="V724" s="46"/>
      <c r="W724" s="46"/>
      <c r="X724" s="46"/>
      <c r="Y724" s="46"/>
      <c r="Z724" s="46"/>
    </row>
    <row r="725" spans="18:26" x14ac:dyDescent="0.25">
      <c r="R725" s="46"/>
      <c r="S725" s="46"/>
      <c r="T725" s="167"/>
      <c r="U725" s="46"/>
      <c r="V725" s="46"/>
      <c r="W725" s="46"/>
      <c r="X725" s="46"/>
      <c r="Y725" s="46"/>
      <c r="Z725" s="46"/>
    </row>
    <row r="726" spans="18:26" x14ac:dyDescent="0.25">
      <c r="R726" s="46"/>
      <c r="S726" s="46"/>
      <c r="T726" s="167"/>
      <c r="U726" s="46"/>
      <c r="V726" s="46"/>
      <c r="W726" s="46"/>
      <c r="X726" s="46"/>
      <c r="Y726" s="46"/>
      <c r="Z726" s="46"/>
    </row>
    <row r="727" spans="18:26" x14ac:dyDescent="0.25">
      <c r="R727" s="46"/>
      <c r="S727" s="46"/>
      <c r="T727" s="167"/>
      <c r="U727" s="46"/>
      <c r="V727" s="46"/>
      <c r="W727" s="46"/>
      <c r="X727" s="46"/>
      <c r="Y727" s="46"/>
      <c r="Z727" s="46"/>
    </row>
    <row r="728" spans="18:26" x14ac:dyDescent="0.25">
      <c r="R728" s="46"/>
      <c r="S728" s="46"/>
      <c r="T728" s="167"/>
      <c r="U728" s="46"/>
      <c r="V728" s="46"/>
      <c r="W728" s="46"/>
      <c r="X728" s="46"/>
      <c r="Y728" s="46"/>
      <c r="Z728" s="46"/>
    </row>
    <row r="729" spans="18:26" x14ac:dyDescent="0.25">
      <c r="R729" s="46"/>
      <c r="S729" s="46"/>
      <c r="T729" s="167"/>
      <c r="U729" s="46"/>
      <c r="V729" s="46"/>
      <c r="W729" s="46"/>
      <c r="X729" s="46"/>
      <c r="Y729" s="46"/>
      <c r="Z729" s="46"/>
    </row>
    <row r="730" spans="18:26" x14ac:dyDescent="0.25">
      <c r="R730" s="46"/>
      <c r="S730" s="46"/>
      <c r="T730" s="167"/>
      <c r="U730" s="46"/>
      <c r="V730" s="46"/>
      <c r="W730" s="46"/>
      <c r="X730" s="46"/>
      <c r="Y730" s="46"/>
      <c r="Z730" s="46"/>
    </row>
    <row r="731" spans="18:26" x14ac:dyDescent="0.25">
      <c r="R731" s="46"/>
      <c r="S731" s="46"/>
      <c r="T731" s="167"/>
      <c r="U731" s="46"/>
      <c r="V731" s="46"/>
      <c r="W731" s="46"/>
      <c r="X731" s="46"/>
      <c r="Y731" s="46"/>
      <c r="Z731" s="46"/>
    </row>
    <row r="732" spans="18:26" x14ac:dyDescent="0.25">
      <c r="R732" s="46"/>
      <c r="S732" s="46"/>
      <c r="T732" s="167"/>
      <c r="U732" s="46"/>
      <c r="V732" s="46"/>
      <c r="W732" s="46"/>
      <c r="X732" s="46"/>
      <c r="Y732" s="46"/>
      <c r="Z732" s="46"/>
    </row>
    <row r="733" spans="18:26" x14ac:dyDescent="0.25">
      <c r="R733" s="46"/>
      <c r="S733" s="46"/>
      <c r="T733" s="167"/>
      <c r="U733" s="46"/>
      <c r="V733" s="46"/>
      <c r="W733" s="46"/>
      <c r="X733" s="46"/>
      <c r="Y733" s="46"/>
      <c r="Z733" s="46"/>
    </row>
    <row r="734" spans="18:26" x14ac:dyDescent="0.25">
      <c r="R734" s="46"/>
      <c r="S734" s="46"/>
      <c r="T734" s="167"/>
      <c r="U734" s="46"/>
      <c r="V734" s="46"/>
      <c r="W734" s="46"/>
      <c r="X734" s="46"/>
      <c r="Y734" s="46"/>
      <c r="Z734" s="46"/>
    </row>
    <row r="735" spans="18:26" x14ac:dyDescent="0.25">
      <c r="R735" s="46"/>
      <c r="S735" s="46"/>
      <c r="T735" s="167"/>
      <c r="U735" s="46"/>
      <c r="V735" s="46"/>
      <c r="W735" s="46"/>
      <c r="X735" s="46"/>
      <c r="Y735" s="46"/>
      <c r="Z735" s="46"/>
    </row>
    <row r="736" spans="18:26" x14ac:dyDescent="0.25">
      <c r="R736" s="46"/>
      <c r="S736" s="46"/>
      <c r="T736" s="167"/>
      <c r="U736" s="46"/>
      <c r="V736" s="46"/>
      <c r="W736" s="46"/>
      <c r="X736" s="46"/>
      <c r="Y736" s="46"/>
      <c r="Z736" s="46"/>
    </row>
    <row r="737" spans="18:26" x14ac:dyDescent="0.25">
      <c r="R737" s="46"/>
      <c r="S737" s="46"/>
      <c r="T737" s="167"/>
      <c r="U737" s="46"/>
      <c r="V737" s="46"/>
      <c r="W737" s="46"/>
      <c r="X737" s="46"/>
      <c r="Y737" s="46"/>
      <c r="Z737" s="46"/>
    </row>
    <row r="738" spans="18:26" x14ac:dyDescent="0.25">
      <c r="R738" s="46"/>
      <c r="S738" s="46"/>
      <c r="T738" s="167"/>
      <c r="U738" s="46"/>
      <c r="V738" s="46"/>
      <c r="W738" s="46"/>
      <c r="X738" s="46"/>
      <c r="Y738" s="46"/>
      <c r="Z738" s="46"/>
    </row>
    <row r="739" spans="18:26" x14ac:dyDescent="0.25">
      <c r="R739" s="46"/>
      <c r="S739" s="46"/>
      <c r="T739" s="167"/>
      <c r="U739" s="46"/>
      <c r="V739" s="46"/>
      <c r="W739" s="46"/>
      <c r="X739" s="46"/>
      <c r="Y739" s="46"/>
      <c r="Z739" s="46"/>
    </row>
    <row r="740" spans="18:26" x14ac:dyDescent="0.25">
      <c r="R740" s="46"/>
      <c r="S740" s="46"/>
      <c r="T740" s="167"/>
      <c r="U740" s="46"/>
      <c r="V740" s="46"/>
      <c r="W740" s="46"/>
      <c r="X740" s="46"/>
      <c r="Y740" s="46"/>
      <c r="Z740" s="46"/>
    </row>
    <row r="741" spans="18:26" x14ac:dyDescent="0.25">
      <c r="R741" s="46"/>
      <c r="S741" s="46"/>
      <c r="T741" s="167"/>
      <c r="U741" s="46"/>
      <c r="V741" s="46"/>
      <c r="W741" s="46"/>
      <c r="X741" s="46"/>
      <c r="Y741" s="46"/>
      <c r="Z741" s="46"/>
    </row>
    <row r="742" spans="18:26" x14ac:dyDescent="0.25">
      <c r="R742" s="46"/>
      <c r="S742" s="46"/>
      <c r="T742" s="167"/>
      <c r="U742" s="46"/>
      <c r="V742" s="46"/>
      <c r="W742" s="46"/>
      <c r="X742" s="46"/>
      <c r="Y742" s="46"/>
      <c r="Z742" s="46"/>
    </row>
    <row r="743" spans="18:26" x14ac:dyDescent="0.25">
      <c r="R743" s="46"/>
      <c r="S743" s="46"/>
      <c r="T743" s="167"/>
      <c r="U743" s="46"/>
      <c r="V743" s="46"/>
      <c r="W743" s="46"/>
      <c r="X743" s="46"/>
      <c r="Y743" s="46"/>
      <c r="Z743" s="46"/>
    </row>
    <row r="744" spans="18:26" x14ac:dyDescent="0.25">
      <c r="R744" s="46"/>
      <c r="S744" s="46"/>
      <c r="T744" s="167"/>
      <c r="U744" s="46"/>
      <c r="V744" s="46"/>
      <c r="W744" s="46"/>
      <c r="X744" s="46"/>
      <c r="Y744" s="46"/>
      <c r="Z744" s="46"/>
    </row>
    <row r="745" spans="18:26" x14ac:dyDescent="0.25">
      <c r="R745" s="46"/>
      <c r="S745" s="46"/>
      <c r="T745" s="167"/>
      <c r="U745" s="46"/>
      <c r="V745" s="46"/>
      <c r="W745" s="46"/>
      <c r="X745" s="46"/>
      <c r="Y745" s="46"/>
      <c r="Z745" s="46"/>
    </row>
    <row r="746" spans="18:26" x14ac:dyDescent="0.25">
      <c r="R746" s="46"/>
      <c r="S746" s="46"/>
      <c r="T746" s="167"/>
      <c r="U746" s="46"/>
      <c r="V746" s="46"/>
      <c r="W746" s="46"/>
      <c r="X746" s="46"/>
      <c r="Y746" s="46"/>
      <c r="Z746" s="46"/>
    </row>
    <row r="747" spans="18:26" x14ac:dyDescent="0.25">
      <c r="R747" s="46"/>
      <c r="S747" s="46"/>
      <c r="T747" s="167"/>
      <c r="U747" s="46"/>
      <c r="V747" s="46"/>
      <c r="W747" s="46"/>
      <c r="X747" s="46"/>
      <c r="Y747" s="46"/>
      <c r="Z747" s="46"/>
    </row>
    <row r="748" spans="18:26" x14ac:dyDescent="0.25">
      <c r="R748" s="46"/>
      <c r="S748" s="46"/>
      <c r="T748" s="167"/>
      <c r="U748" s="46"/>
      <c r="V748" s="46"/>
      <c r="W748" s="46"/>
      <c r="X748" s="46"/>
      <c r="Y748" s="46"/>
      <c r="Z748" s="46"/>
    </row>
    <row r="749" spans="18:26" x14ac:dyDescent="0.25">
      <c r="R749" s="46"/>
      <c r="S749" s="46"/>
      <c r="T749" s="167"/>
      <c r="U749" s="46"/>
      <c r="V749" s="46"/>
      <c r="W749" s="46"/>
      <c r="X749" s="46"/>
      <c r="Y749" s="46"/>
      <c r="Z749" s="46"/>
    </row>
    <row r="750" spans="18:26" x14ac:dyDescent="0.25">
      <c r="R750" s="46"/>
      <c r="S750" s="46"/>
      <c r="T750" s="167"/>
      <c r="U750" s="46"/>
      <c r="V750" s="46"/>
      <c r="W750" s="46"/>
      <c r="X750" s="46"/>
      <c r="Y750" s="46"/>
      <c r="Z750" s="46"/>
    </row>
    <row r="751" spans="18:26" x14ac:dyDescent="0.25">
      <c r="R751" s="46"/>
      <c r="S751" s="46"/>
      <c r="T751" s="167"/>
      <c r="U751" s="46"/>
      <c r="V751" s="46"/>
      <c r="W751" s="46"/>
      <c r="X751" s="46"/>
      <c r="Y751" s="46"/>
      <c r="Z751" s="46"/>
    </row>
    <row r="752" spans="18:26" x14ac:dyDescent="0.25">
      <c r="R752" s="46"/>
      <c r="S752" s="46"/>
      <c r="T752" s="167"/>
      <c r="U752" s="46"/>
      <c r="V752" s="46"/>
      <c r="W752" s="46"/>
      <c r="X752" s="46"/>
      <c r="Y752" s="46"/>
      <c r="Z752" s="46"/>
    </row>
    <row r="753" spans="18:26" x14ac:dyDescent="0.25">
      <c r="R753" s="46"/>
      <c r="S753" s="46"/>
      <c r="T753" s="167"/>
      <c r="U753" s="46"/>
      <c r="V753" s="46"/>
      <c r="W753" s="46"/>
      <c r="X753" s="46"/>
      <c r="Y753" s="46"/>
      <c r="Z753" s="46"/>
    </row>
    <row r="754" spans="18:26" x14ac:dyDescent="0.25">
      <c r="R754" s="46"/>
      <c r="S754" s="46"/>
      <c r="T754" s="167"/>
      <c r="U754" s="46"/>
      <c r="V754" s="46"/>
      <c r="W754" s="46"/>
      <c r="X754" s="46"/>
      <c r="Y754" s="46"/>
      <c r="Z754" s="46"/>
    </row>
    <row r="755" spans="18:26" x14ac:dyDescent="0.25">
      <c r="R755" s="46"/>
      <c r="S755" s="46"/>
      <c r="T755" s="167"/>
      <c r="U755" s="46"/>
      <c r="V755" s="46"/>
      <c r="W755" s="46"/>
      <c r="X755" s="46"/>
      <c r="Y755" s="46"/>
      <c r="Z755" s="46"/>
    </row>
    <row r="756" spans="18:26" x14ac:dyDescent="0.25">
      <c r="R756" s="46"/>
      <c r="S756" s="46"/>
      <c r="T756" s="167"/>
      <c r="U756" s="46"/>
      <c r="V756" s="46"/>
      <c r="W756" s="46"/>
      <c r="X756" s="46"/>
      <c r="Y756" s="46"/>
      <c r="Z756" s="46"/>
    </row>
    <row r="757" spans="18:26" x14ac:dyDescent="0.25">
      <c r="R757" s="46"/>
      <c r="S757" s="46"/>
      <c r="T757" s="167"/>
      <c r="U757" s="46"/>
      <c r="V757" s="46"/>
      <c r="W757" s="46"/>
      <c r="X757" s="46"/>
      <c r="Y757" s="46"/>
      <c r="Z757" s="46"/>
    </row>
    <row r="758" spans="18:26" x14ac:dyDescent="0.25">
      <c r="R758" s="46"/>
      <c r="S758" s="46"/>
      <c r="T758" s="167"/>
      <c r="U758" s="46"/>
      <c r="V758" s="46"/>
      <c r="W758" s="46"/>
      <c r="X758" s="46"/>
      <c r="Y758" s="46"/>
      <c r="Z758" s="46"/>
    </row>
    <row r="759" spans="18:26" x14ac:dyDescent="0.25">
      <c r="R759" s="46"/>
      <c r="S759" s="46"/>
      <c r="T759" s="167"/>
      <c r="U759" s="46"/>
      <c r="V759" s="46"/>
      <c r="W759" s="46"/>
      <c r="X759" s="46"/>
      <c r="Y759" s="46"/>
      <c r="Z759" s="46"/>
    </row>
    <row r="760" spans="18:26" x14ac:dyDescent="0.25">
      <c r="R760" s="46"/>
      <c r="S760" s="46"/>
      <c r="T760" s="167"/>
      <c r="U760" s="46"/>
      <c r="V760" s="46"/>
      <c r="W760" s="46"/>
      <c r="X760" s="46"/>
      <c r="Y760" s="46"/>
      <c r="Z760" s="46"/>
    </row>
    <row r="761" spans="18:26" x14ac:dyDescent="0.25">
      <c r="R761" s="46"/>
      <c r="S761" s="46"/>
      <c r="T761" s="167"/>
      <c r="U761" s="46"/>
      <c r="V761" s="46"/>
      <c r="W761" s="46"/>
      <c r="X761" s="46"/>
      <c r="Y761" s="46"/>
      <c r="Z761" s="46"/>
    </row>
    <row r="762" spans="18:26" x14ac:dyDescent="0.25">
      <c r="R762" s="46"/>
      <c r="S762" s="46"/>
      <c r="T762" s="167"/>
      <c r="U762" s="46"/>
      <c r="V762" s="46"/>
      <c r="W762" s="46"/>
      <c r="X762" s="46"/>
      <c r="Y762" s="46"/>
      <c r="Z762" s="46"/>
    </row>
    <row r="763" spans="18:26" x14ac:dyDescent="0.25">
      <c r="R763" s="46"/>
      <c r="S763" s="46"/>
      <c r="T763" s="167"/>
      <c r="U763" s="46"/>
      <c r="V763" s="46"/>
      <c r="W763" s="46"/>
      <c r="X763" s="46"/>
      <c r="Y763" s="46"/>
      <c r="Z763" s="46"/>
    </row>
    <row r="764" spans="18:26" x14ac:dyDescent="0.25">
      <c r="R764" s="46"/>
      <c r="S764" s="46"/>
      <c r="T764" s="167"/>
      <c r="U764" s="46"/>
      <c r="V764" s="46"/>
      <c r="W764" s="46"/>
      <c r="X764" s="46"/>
      <c r="Y764" s="46"/>
      <c r="Z764" s="46"/>
    </row>
    <row r="765" spans="18:26" x14ac:dyDescent="0.25">
      <c r="R765" s="46"/>
      <c r="S765" s="46"/>
      <c r="T765" s="167"/>
      <c r="U765" s="46"/>
      <c r="V765" s="46"/>
      <c r="W765" s="46"/>
      <c r="X765" s="46"/>
      <c r="Y765" s="46"/>
      <c r="Z765" s="46"/>
    </row>
    <row r="766" spans="18:26" x14ac:dyDescent="0.25">
      <c r="R766" s="46"/>
      <c r="S766" s="46"/>
      <c r="T766" s="167"/>
      <c r="U766" s="46"/>
      <c r="V766" s="46"/>
      <c r="W766" s="46"/>
      <c r="X766" s="46"/>
      <c r="Y766" s="46"/>
      <c r="Z766" s="46"/>
    </row>
    <row r="767" spans="18:26" x14ac:dyDescent="0.25">
      <c r="R767" s="46"/>
      <c r="S767" s="46"/>
      <c r="T767" s="167"/>
      <c r="U767" s="46"/>
      <c r="V767" s="46"/>
      <c r="W767" s="46"/>
      <c r="X767" s="46"/>
      <c r="Y767" s="46"/>
      <c r="Z767" s="46"/>
    </row>
    <row r="768" spans="18:26" x14ac:dyDescent="0.25">
      <c r="R768" s="46"/>
      <c r="S768" s="46"/>
      <c r="T768" s="167"/>
      <c r="U768" s="46"/>
      <c r="V768" s="46"/>
      <c r="W768" s="46"/>
      <c r="X768" s="46"/>
      <c r="Y768" s="46"/>
      <c r="Z768" s="46"/>
    </row>
    <row r="769" spans="18:26" x14ac:dyDescent="0.25">
      <c r="R769" s="46"/>
      <c r="S769" s="46"/>
      <c r="T769" s="167"/>
      <c r="U769" s="46"/>
      <c r="V769" s="46"/>
      <c r="W769" s="46"/>
      <c r="X769" s="46"/>
      <c r="Y769" s="46"/>
      <c r="Z769" s="46"/>
    </row>
    <row r="770" spans="18:26" x14ac:dyDescent="0.25">
      <c r="R770" s="46"/>
      <c r="S770" s="46"/>
      <c r="T770" s="167"/>
      <c r="U770" s="46"/>
      <c r="V770" s="46"/>
      <c r="W770" s="46"/>
      <c r="X770" s="46"/>
      <c r="Y770" s="46"/>
      <c r="Z770" s="46"/>
    </row>
    <row r="771" spans="18:26" x14ac:dyDescent="0.25">
      <c r="R771" s="46"/>
      <c r="S771" s="46"/>
      <c r="T771" s="167"/>
      <c r="U771" s="46"/>
      <c r="V771" s="46"/>
      <c r="W771" s="46"/>
      <c r="X771" s="46"/>
      <c r="Y771" s="46"/>
      <c r="Z771" s="46"/>
    </row>
    <row r="772" spans="18:26" x14ac:dyDescent="0.25">
      <c r="R772" s="46"/>
      <c r="S772" s="46"/>
      <c r="T772" s="167"/>
      <c r="U772" s="46"/>
      <c r="V772" s="46"/>
      <c r="W772" s="46"/>
      <c r="X772" s="46"/>
      <c r="Y772" s="46"/>
      <c r="Z772" s="46"/>
    </row>
    <row r="773" spans="18:26" x14ac:dyDescent="0.25">
      <c r="R773" s="46"/>
      <c r="S773" s="46"/>
      <c r="T773" s="167"/>
      <c r="U773" s="46"/>
      <c r="V773" s="46"/>
      <c r="W773" s="46"/>
      <c r="X773" s="46"/>
      <c r="Y773" s="46"/>
      <c r="Z773" s="46"/>
    </row>
    <row r="774" spans="18:26" x14ac:dyDescent="0.25">
      <c r="R774" s="46"/>
      <c r="S774" s="46"/>
      <c r="T774" s="167"/>
      <c r="U774" s="46"/>
      <c r="V774" s="46"/>
      <c r="W774" s="46"/>
      <c r="X774" s="46"/>
      <c r="Y774" s="46"/>
      <c r="Z774" s="46"/>
    </row>
  </sheetData>
  <sheetProtection algorithmName="SHA-512" hashValue="v9vsXgHlEFTlbiLGWYOFQrXwUKWMEwsjCHN+fiV1YCfJThfx2ALelMGfuxDqMv4TTJKV04h4Bn/gTGsDMKvQOQ==" saltValue="mKF8limlOu5NGeO5VPrrLg==" spinCount="100000" sheet="1" formatCells="0" formatColumns="0" formatRows="0" insertColumns="0" insertRows="0" insertHyperlinks="0" deleteColumns="0" deleteRows="0"/>
  <mergeCells count="104">
    <mergeCell ref="AC86:AD86"/>
    <mergeCell ref="X79:X85"/>
    <mergeCell ref="U79:U85"/>
    <mergeCell ref="AA79:AA85"/>
    <mergeCell ref="AD79:AD85"/>
    <mergeCell ref="D11:AD11"/>
    <mergeCell ref="I102:R102"/>
    <mergeCell ref="F93:G93"/>
    <mergeCell ref="F102:G102"/>
    <mergeCell ref="I85:R85"/>
    <mergeCell ref="I86:R86"/>
    <mergeCell ref="I94:R94"/>
    <mergeCell ref="I87:R92"/>
    <mergeCell ref="I95:R101"/>
    <mergeCell ref="F98:G98"/>
    <mergeCell ref="F99:G99"/>
    <mergeCell ref="F100:G100"/>
    <mergeCell ref="F101:G101"/>
    <mergeCell ref="F97:G97"/>
    <mergeCell ref="T86:U86"/>
    <mergeCell ref="I93:R93"/>
    <mergeCell ref="W78:X78"/>
    <mergeCell ref="W86:X86"/>
    <mergeCell ref="Z86:AA86"/>
    <mergeCell ref="F111:G111"/>
    <mergeCell ref="F112:G112"/>
    <mergeCell ref="F113:G113"/>
    <mergeCell ref="F87:G87"/>
    <mergeCell ref="F88:G88"/>
    <mergeCell ref="F89:G89"/>
    <mergeCell ref="F90:G90"/>
    <mergeCell ref="F91:G91"/>
    <mergeCell ref="F92:G92"/>
    <mergeCell ref="F95:G95"/>
    <mergeCell ref="F96:G96"/>
    <mergeCell ref="F105:G105"/>
    <mergeCell ref="F103:G103"/>
    <mergeCell ref="F106:G106"/>
    <mergeCell ref="F107:G107"/>
    <mergeCell ref="F108:G108"/>
    <mergeCell ref="F109:G109"/>
    <mergeCell ref="F110:G110"/>
    <mergeCell ref="C24:C25"/>
    <mergeCell ref="E24:E25"/>
    <mergeCell ref="F77:G77"/>
    <mergeCell ref="F64:G64"/>
    <mergeCell ref="C3:AD3"/>
    <mergeCell ref="F26:G26"/>
    <mergeCell ref="F29:G29"/>
    <mergeCell ref="F30:G31"/>
    <mergeCell ref="F32:G34"/>
    <mergeCell ref="C13:C22"/>
    <mergeCell ref="D4:AD4"/>
    <mergeCell ref="F35:G35"/>
    <mergeCell ref="F65:G66"/>
    <mergeCell ref="F68:G70"/>
    <mergeCell ref="F71:G73"/>
    <mergeCell ref="F63:G63"/>
    <mergeCell ref="D10:AD10"/>
    <mergeCell ref="F48:G48"/>
    <mergeCell ref="D5:AD5"/>
    <mergeCell ref="D6:AD6"/>
    <mergeCell ref="D7:AD7"/>
    <mergeCell ref="D8:AD8"/>
    <mergeCell ref="D9:AD9"/>
    <mergeCell ref="F13:AD22"/>
    <mergeCell ref="I83:R83"/>
    <mergeCell ref="I84:R84"/>
    <mergeCell ref="F58:G60"/>
    <mergeCell ref="Z78:AA78"/>
    <mergeCell ref="AC78:AD78"/>
    <mergeCell ref="I78:R78"/>
    <mergeCell ref="T78:U78"/>
    <mergeCell ref="D78:G78"/>
    <mergeCell ref="D79:G79"/>
    <mergeCell ref="D80:G80"/>
    <mergeCell ref="D81:G81"/>
    <mergeCell ref="D82:G82"/>
    <mergeCell ref="D83:G83"/>
    <mergeCell ref="D84:G84"/>
    <mergeCell ref="D85:G85"/>
    <mergeCell ref="D86:G86"/>
    <mergeCell ref="D94:G94"/>
    <mergeCell ref="D24:D25"/>
    <mergeCell ref="F24:G25"/>
    <mergeCell ref="F75:G75"/>
    <mergeCell ref="F67:G67"/>
    <mergeCell ref="F74:G74"/>
    <mergeCell ref="I24:R24"/>
    <mergeCell ref="F27:G27"/>
    <mergeCell ref="F28:G28"/>
    <mergeCell ref="F42:G44"/>
    <mergeCell ref="F36:G38"/>
    <mergeCell ref="F56:G56"/>
    <mergeCell ref="F57:G57"/>
    <mergeCell ref="F39:G41"/>
    <mergeCell ref="F45:G47"/>
    <mergeCell ref="F49:G54"/>
    <mergeCell ref="F55:G55"/>
    <mergeCell ref="F61:G62"/>
    <mergeCell ref="I79:R79"/>
    <mergeCell ref="I80:R80"/>
    <mergeCell ref="I81:R81"/>
    <mergeCell ref="I82:R82"/>
  </mergeCells>
  <conditionalFormatting sqref="E22">
    <cfRule type="cellIs" dxfId="71" priority="1" operator="greaterThan">
      <formula>100</formula>
    </cfRule>
    <cfRule type="cellIs" dxfId="70" priority="105" operator="lessThan">
      <formula>100</formula>
    </cfRule>
  </conditionalFormatting>
  <conditionalFormatting sqref="U36:U47">
    <cfRule type="cellIs" dxfId="69" priority="96" stopIfTrue="1" operator="notBetween">
      <formula>0</formula>
      <formula>999999999</formula>
    </cfRule>
  </conditionalFormatting>
  <conditionalFormatting sqref="U49:U62">
    <cfRule type="cellIs" dxfId="68" priority="94" stopIfTrue="1" operator="notBetween">
      <formula>0</formula>
      <formula>999999999</formula>
    </cfRule>
  </conditionalFormatting>
  <conditionalFormatting sqref="U64:U75">
    <cfRule type="cellIs" dxfId="67" priority="92" stopIfTrue="1" operator="notBetween">
      <formula>0</formula>
      <formula>999999999</formula>
    </cfRule>
  </conditionalFormatting>
  <conditionalFormatting sqref="U87:U103">
    <cfRule type="cellIs" dxfId="66" priority="102" stopIfTrue="1" operator="notBetween">
      <formula>0</formula>
      <formula>999999999</formula>
    </cfRule>
  </conditionalFormatting>
  <conditionalFormatting sqref="U106:U113">
    <cfRule type="cellIs" dxfId="65" priority="99" stopIfTrue="1" operator="notBetween">
      <formula>0</formula>
      <formula>999999999</formula>
    </cfRule>
  </conditionalFormatting>
  <conditionalFormatting sqref="U26:V28 U30:V34">
    <cfRule type="cellIs" dxfId="64" priority="109" stopIfTrue="1" operator="notBetween">
      <formula>0</formula>
      <formula>999999999</formula>
    </cfRule>
  </conditionalFormatting>
  <conditionalFormatting sqref="V36:V38">
    <cfRule type="cellIs" dxfId="63" priority="135" stopIfTrue="1" operator="notBetween">
      <formula>0</formula>
      <formula>999999999</formula>
    </cfRule>
  </conditionalFormatting>
  <conditionalFormatting sqref="X36:X47">
    <cfRule type="cellIs" dxfId="62" priority="44" stopIfTrue="1" operator="notBetween">
      <formula>0</formula>
      <formula>999999999</formula>
    </cfRule>
  </conditionalFormatting>
  <conditionalFormatting sqref="X49:X62">
    <cfRule type="cellIs" dxfId="61" priority="42" stopIfTrue="1" operator="notBetween">
      <formula>0</formula>
      <formula>999999999</formula>
    </cfRule>
  </conditionalFormatting>
  <conditionalFormatting sqref="X64:X75">
    <cfRule type="cellIs" dxfId="60" priority="40" stopIfTrue="1" operator="notBetween">
      <formula>0</formula>
      <formula>999999999</formula>
    </cfRule>
  </conditionalFormatting>
  <conditionalFormatting sqref="X87:X103">
    <cfRule type="cellIs" dxfId="59" priority="34" stopIfTrue="1" operator="notBetween">
      <formula>0</formula>
      <formula>999999999</formula>
    </cfRule>
  </conditionalFormatting>
  <conditionalFormatting sqref="X106:X113">
    <cfRule type="cellIs" dxfId="58" priority="32" stopIfTrue="1" operator="notBetween">
      <formula>0</formula>
      <formula>999999999</formula>
    </cfRule>
  </conditionalFormatting>
  <conditionalFormatting sqref="X26:Y28">
    <cfRule type="cellIs" dxfId="57" priority="76" stopIfTrue="1" operator="notBetween">
      <formula>0</formula>
      <formula>999999999</formula>
    </cfRule>
  </conditionalFormatting>
  <conditionalFormatting sqref="X30:Y34">
    <cfRule type="cellIs" dxfId="56" priority="46" stopIfTrue="1" operator="notBetween">
      <formula>0</formula>
      <formula>999999999</formula>
    </cfRule>
  </conditionalFormatting>
  <conditionalFormatting sqref="Y36:Y38">
    <cfRule type="cellIs" dxfId="55" priority="134" stopIfTrue="1" operator="notBetween">
      <formula>0</formula>
      <formula>999999999</formula>
    </cfRule>
  </conditionalFormatting>
  <conditionalFormatting sqref="AA26:AA28">
    <cfRule type="cellIs" dxfId="54" priority="66" stopIfTrue="1" operator="notBetween">
      <formula>0</formula>
      <formula>999999999</formula>
    </cfRule>
  </conditionalFormatting>
  <conditionalFormatting sqref="AA36:AA47">
    <cfRule type="cellIs" dxfId="53" priority="28" stopIfTrue="1" operator="notBetween">
      <formula>0</formula>
      <formula>999999999</formula>
    </cfRule>
  </conditionalFormatting>
  <conditionalFormatting sqref="AA49:AA62">
    <cfRule type="cellIs" dxfId="52" priority="26" stopIfTrue="1" operator="notBetween">
      <formula>0</formula>
      <formula>999999999</formula>
    </cfRule>
  </conditionalFormatting>
  <conditionalFormatting sqref="AA64:AA75">
    <cfRule type="cellIs" dxfId="51" priority="24" stopIfTrue="1" operator="notBetween">
      <formula>0</formula>
      <formula>999999999</formula>
    </cfRule>
  </conditionalFormatting>
  <conditionalFormatting sqref="AA87:AA103">
    <cfRule type="cellIs" dxfId="50" priority="20" stopIfTrue="1" operator="notBetween">
      <formula>0</formula>
      <formula>999999999</formula>
    </cfRule>
  </conditionalFormatting>
  <conditionalFormatting sqref="AA106:AA113">
    <cfRule type="cellIs" dxfId="49" priority="16" stopIfTrue="1" operator="notBetween">
      <formula>0</formula>
      <formula>999999999</formula>
    </cfRule>
  </conditionalFormatting>
  <conditionalFormatting sqref="AA30:AB34">
    <cfRule type="cellIs" dxfId="48" priority="30" stopIfTrue="1" operator="notBetween">
      <formula>0</formula>
      <formula>999999999</formula>
    </cfRule>
  </conditionalFormatting>
  <conditionalFormatting sqref="AB36:AB38">
    <cfRule type="cellIs" dxfId="47" priority="133" stopIfTrue="1" operator="notBetween">
      <formula>0</formula>
      <formula>999999999</formula>
    </cfRule>
  </conditionalFormatting>
  <conditionalFormatting sqref="AD26:AD28">
    <cfRule type="cellIs" dxfId="46" priority="56" stopIfTrue="1" operator="notBetween">
      <formula>0</formula>
      <formula>999999999</formula>
    </cfRule>
  </conditionalFormatting>
  <conditionalFormatting sqref="AD30:AD34">
    <cfRule type="cellIs" dxfId="45" priority="14" stopIfTrue="1" operator="notBetween">
      <formula>0</formula>
      <formula>999999999</formula>
    </cfRule>
  </conditionalFormatting>
  <conditionalFormatting sqref="AD36:AD47">
    <cfRule type="cellIs" dxfId="44" priority="12" stopIfTrue="1" operator="notBetween">
      <formula>0</formula>
      <formula>999999999</formula>
    </cfRule>
  </conditionalFormatting>
  <conditionalFormatting sqref="AD49:AD62">
    <cfRule type="cellIs" dxfId="43" priority="10" stopIfTrue="1" operator="notBetween">
      <formula>0</formula>
      <formula>999999999</formula>
    </cfRule>
  </conditionalFormatting>
  <conditionalFormatting sqref="AD64:AD75">
    <cfRule type="cellIs" dxfId="42" priority="8" stopIfTrue="1" operator="notBetween">
      <formula>0</formula>
      <formula>999999999</formula>
    </cfRule>
  </conditionalFormatting>
  <conditionalFormatting sqref="AD87:AD103">
    <cfRule type="cellIs" dxfId="41" priority="6" stopIfTrue="1" operator="notBetween">
      <formula>0</formula>
      <formula>999999999</formula>
    </cfRule>
  </conditionalFormatting>
  <conditionalFormatting sqref="AD106:AD113">
    <cfRule type="cellIs" dxfId="40" priority="2" stopIfTrue="1" operator="notBetween">
      <formula>0</formula>
      <formula>999999999</formula>
    </cfRule>
  </conditionalFormatting>
  <pageMargins left="0.70866141732283472" right="0.70866141732283472" top="0.78740157480314965" bottom="0.78740157480314965" header="0.31496062992125984" footer="0.31496062992125984"/>
  <pageSetup paperSize="9" scale="42" fitToWidth="0" fitToHeight="2" orientation="landscape" r:id="rId1"/>
  <rowBreaks count="1" manualBreakCount="1">
    <brk id="47" min="1" max="30" man="1"/>
  </rowBreaks>
  <extLst>
    <ext xmlns:x14="http://schemas.microsoft.com/office/spreadsheetml/2009/9/main" uri="{CCE6A557-97BC-4b89-ADB6-D9C93CAAB3DF}">
      <x14:dataValidations xmlns:xm="http://schemas.microsoft.com/office/excel/2006/main" count="1">
        <x14:dataValidation type="list" showInputMessage="1" showErrorMessage="1" xr:uid="{00000000-0002-0000-0000-000000000000}">
          <x14:formula1>
            <xm:f>'Drop Down'!$A$1:$A$10</xm:f>
          </x14:formula1>
          <xm:sqref>D7:AD8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0"/>
  <sheetViews>
    <sheetView workbookViewId="0">
      <selection activeCell="I20" sqref="I20"/>
    </sheetView>
  </sheetViews>
  <sheetFormatPr baseColWidth="10" defaultRowHeight="12.75" x14ac:dyDescent="0.2"/>
  <sheetData>
    <row r="1" spans="1:1" x14ac:dyDescent="0.2">
      <c r="A1" s="77" t="s">
        <v>105</v>
      </c>
    </row>
    <row r="2" spans="1:1" x14ac:dyDescent="0.2">
      <c r="A2" t="s">
        <v>14</v>
      </c>
    </row>
    <row r="3" spans="1:1" x14ac:dyDescent="0.2">
      <c r="A3" t="s">
        <v>20</v>
      </c>
    </row>
    <row r="4" spans="1:1" x14ac:dyDescent="0.2">
      <c r="A4" t="s">
        <v>21</v>
      </c>
    </row>
    <row r="5" spans="1:1" x14ac:dyDescent="0.2">
      <c r="A5" t="s">
        <v>22</v>
      </c>
    </row>
    <row r="6" spans="1:1" x14ac:dyDescent="0.2">
      <c r="A6" t="s">
        <v>19</v>
      </c>
    </row>
    <row r="7" spans="1:1" x14ac:dyDescent="0.2">
      <c r="A7" t="s">
        <v>18</v>
      </c>
    </row>
    <row r="8" spans="1:1" x14ac:dyDescent="0.2">
      <c r="A8" t="s">
        <v>17</v>
      </c>
    </row>
    <row r="9" spans="1:1" x14ac:dyDescent="0.2">
      <c r="A9" t="s">
        <v>16</v>
      </c>
    </row>
    <row r="10" spans="1:1" x14ac:dyDescent="0.2">
      <c r="A10" t="s">
        <v>15</v>
      </c>
    </row>
  </sheetData>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570"/>
  <sheetViews>
    <sheetView topLeftCell="A61" zoomScaleNormal="100" workbookViewId="0">
      <pane xSplit="3" topLeftCell="D1" activePane="topRight" state="frozen"/>
      <selection activeCell="A14" sqref="A14"/>
      <selection pane="topRight" activeCell="R88" sqref="R88"/>
    </sheetView>
  </sheetViews>
  <sheetFormatPr baseColWidth="10" defaultColWidth="11.42578125" defaultRowHeight="15" x14ac:dyDescent="0.25"/>
  <cols>
    <col min="1" max="2" width="3.7109375" style="45" customWidth="1"/>
    <col min="3" max="3" width="58.7109375" style="45" customWidth="1"/>
    <col min="4" max="5" width="10.42578125" style="92" customWidth="1"/>
    <col min="6" max="15" width="8.85546875" style="93" customWidth="1"/>
    <col min="16" max="16" width="2.28515625" style="94" customWidth="1"/>
    <col min="17" max="19" width="10.42578125" style="93" customWidth="1"/>
    <col min="20" max="20" width="28.85546875" style="124" customWidth="1"/>
    <col min="21" max="21" width="9" style="93" customWidth="1"/>
    <col min="22" max="22" width="9" style="116" customWidth="1"/>
    <col min="23" max="24" width="9" style="93" customWidth="1"/>
    <col min="25" max="25" width="9" style="116" customWidth="1"/>
    <col min="26" max="27" width="9" style="93" customWidth="1"/>
    <col min="28" max="30" width="9" style="45" customWidth="1"/>
    <col min="31" max="31" width="2.42578125" style="45" customWidth="1"/>
    <col min="32" max="32" width="40.7109375" style="45" customWidth="1"/>
    <col min="33" max="33" width="48.28515625" style="45" customWidth="1"/>
    <col min="34" max="34" width="3.7109375" style="45" customWidth="1"/>
    <col min="35" max="16384" width="11.42578125" style="45"/>
  </cols>
  <sheetData>
    <row r="1" spans="1:35" ht="13.15" hidden="1" customHeight="1" x14ac:dyDescent="0.25">
      <c r="T1" s="118"/>
      <c r="V1" s="93"/>
      <c r="Y1" s="93"/>
    </row>
    <row r="2" spans="1:35" ht="13.15" customHeight="1" x14ac:dyDescent="0.25">
      <c r="F2" s="92"/>
      <c r="G2" s="92"/>
      <c r="H2" s="92"/>
      <c r="I2" s="92"/>
      <c r="J2" s="92"/>
      <c r="K2" s="92"/>
      <c r="L2" s="92"/>
      <c r="M2" s="92"/>
      <c r="N2" s="92"/>
      <c r="O2" s="92"/>
      <c r="P2" s="92"/>
      <c r="Q2" s="92"/>
      <c r="R2" s="92"/>
      <c r="T2" s="118"/>
      <c r="V2" s="93"/>
      <c r="Y2" s="93"/>
    </row>
    <row r="3" spans="1:35" ht="13.15" customHeight="1" x14ac:dyDescent="0.25">
      <c r="B3" s="95"/>
      <c r="C3" s="96"/>
      <c r="D3" s="97"/>
      <c r="E3" s="97"/>
      <c r="F3" s="98"/>
      <c r="G3" s="98"/>
      <c r="H3" s="98"/>
      <c r="I3" s="98"/>
      <c r="J3" s="98"/>
      <c r="K3" s="98"/>
      <c r="L3" s="98"/>
      <c r="M3" s="98"/>
      <c r="N3" s="98"/>
      <c r="O3" s="98"/>
      <c r="P3" s="98"/>
      <c r="Q3" s="98"/>
      <c r="R3" s="98"/>
      <c r="S3" s="98"/>
      <c r="T3" s="119"/>
      <c r="U3" s="98"/>
      <c r="V3" s="98"/>
      <c r="W3" s="98"/>
      <c r="X3" s="98"/>
      <c r="Y3" s="98"/>
      <c r="Z3" s="98"/>
      <c r="AA3" s="98"/>
      <c r="AB3" s="98"/>
      <c r="AC3" s="98"/>
      <c r="AD3" s="98"/>
      <c r="AE3" s="99"/>
    </row>
    <row r="4" spans="1:35" ht="24.75" customHeight="1" x14ac:dyDescent="0.25">
      <c r="B4" s="89"/>
      <c r="C4" s="262" t="s">
        <v>89</v>
      </c>
      <c r="D4" s="262"/>
      <c r="E4" s="262"/>
      <c r="F4" s="262"/>
      <c r="G4" s="262"/>
      <c r="H4" s="262"/>
      <c r="I4" s="262" t="s">
        <v>94</v>
      </c>
      <c r="J4" s="262"/>
      <c r="K4" s="262"/>
      <c r="L4" s="262"/>
      <c r="M4" s="262"/>
      <c r="N4" s="262"/>
      <c r="O4" s="262"/>
      <c r="P4" s="180"/>
      <c r="Q4" s="180"/>
      <c r="R4" s="180"/>
      <c r="S4" s="180"/>
      <c r="T4" s="180"/>
      <c r="U4" s="180"/>
      <c r="V4" s="180"/>
      <c r="W4" s="180"/>
      <c r="X4" s="180"/>
      <c r="Y4" s="180"/>
      <c r="Z4" s="180"/>
      <c r="AA4" s="180"/>
      <c r="AB4" s="180"/>
      <c r="AC4" s="180"/>
      <c r="AD4" s="180"/>
      <c r="AE4" s="31"/>
    </row>
    <row r="5" spans="1:35" s="117" customFormat="1" ht="23.25" customHeight="1" x14ac:dyDescent="0.25">
      <c r="B5" s="89"/>
      <c r="C5" s="58" t="s">
        <v>90</v>
      </c>
      <c r="D5" s="282">
        <f>L5</f>
        <v>45292</v>
      </c>
      <c r="E5" s="283"/>
      <c r="F5" s="283"/>
      <c r="G5" s="283"/>
      <c r="H5" s="284"/>
      <c r="I5" s="287" t="s">
        <v>12</v>
      </c>
      <c r="J5" s="287"/>
      <c r="K5" s="287"/>
      <c r="L5" s="288">
        <f>IF('Overview IB'!D9="","",'Overview IB'!D9)</f>
        <v>45292</v>
      </c>
      <c r="M5" s="288"/>
      <c r="N5" s="288"/>
      <c r="O5" s="288"/>
      <c r="P5" s="280"/>
      <c r="Q5" s="280"/>
      <c r="R5" s="280"/>
      <c r="S5" s="280"/>
      <c r="T5" s="280"/>
      <c r="U5" s="280"/>
      <c r="V5" s="280"/>
      <c r="W5" s="280"/>
      <c r="X5" s="280"/>
      <c r="Y5" s="280"/>
      <c r="Z5" s="280"/>
      <c r="AA5" s="280"/>
      <c r="AB5" s="280"/>
      <c r="AC5" s="280"/>
      <c r="AD5" s="280"/>
      <c r="AE5" s="31"/>
      <c r="AF5" s="45"/>
      <c r="AG5" s="45"/>
      <c r="AH5" s="45"/>
      <c r="AI5" s="45"/>
    </row>
    <row r="6" spans="1:35" s="117" customFormat="1" ht="18.75" customHeight="1" x14ac:dyDescent="0.25">
      <c r="B6" s="89"/>
      <c r="C6" s="58" t="s">
        <v>91</v>
      </c>
      <c r="D6" s="285">
        <v>45473</v>
      </c>
      <c r="E6" s="285"/>
      <c r="F6" s="285"/>
      <c r="G6" s="285"/>
      <c r="H6" s="285"/>
      <c r="I6" s="287" t="s">
        <v>13</v>
      </c>
      <c r="J6" s="287"/>
      <c r="K6" s="287"/>
      <c r="L6" s="288">
        <f>IF('Overview IB'!D10="","",'Overview IB'!D10)</f>
        <v>46022</v>
      </c>
      <c r="M6" s="288"/>
      <c r="N6" s="288"/>
      <c r="O6" s="288"/>
      <c r="P6" s="280"/>
      <c r="Q6" s="280"/>
      <c r="R6" s="280"/>
      <c r="S6" s="280"/>
      <c r="T6" s="280"/>
      <c r="U6" s="280"/>
      <c r="V6" s="280"/>
      <c r="W6" s="280"/>
      <c r="X6" s="280"/>
      <c r="Y6" s="280"/>
      <c r="Z6" s="280"/>
      <c r="AA6" s="280"/>
      <c r="AB6" s="280"/>
      <c r="AC6" s="280"/>
      <c r="AD6" s="280"/>
      <c r="AE6" s="31"/>
      <c r="AF6" s="45"/>
      <c r="AG6" s="45"/>
      <c r="AH6" s="45"/>
      <c r="AI6" s="45"/>
    </row>
    <row r="7" spans="1:35" s="117" customFormat="1" ht="18.75" customHeight="1" x14ac:dyDescent="0.25">
      <c r="B7" s="89"/>
      <c r="C7" s="58" t="s">
        <v>28</v>
      </c>
      <c r="D7" s="286">
        <f>IF(OR(D5="",L7="befüllt sich automatisch"),0,((D6-D5)/30)/L7)</f>
        <v>0.24794520547945206</v>
      </c>
      <c r="E7" s="286"/>
      <c r="F7" s="286"/>
      <c r="G7" s="286"/>
      <c r="H7" s="286"/>
      <c r="I7" s="287" t="s">
        <v>60</v>
      </c>
      <c r="J7" s="287"/>
      <c r="K7" s="287"/>
      <c r="L7" s="289">
        <f>IF(IF(OR(L6="",L5=""),"",(L6-L5)/30)="","befüllt sich automatisch",IF(OR(L6="",L5=""),"",(L6-L5)/30))</f>
        <v>24.333333333333332</v>
      </c>
      <c r="M7" s="289"/>
      <c r="N7" s="289"/>
      <c r="O7" s="289"/>
      <c r="P7" s="280"/>
      <c r="Q7" s="280"/>
      <c r="R7" s="280"/>
      <c r="S7" s="280"/>
      <c r="T7" s="280"/>
      <c r="U7" s="280"/>
      <c r="V7" s="280"/>
      <c r="W7" s="280"/>
      <c r="X7" s="280"/>
      <c r="Y7" s="280"/>
      <c r="Z7" s="280"/>
      <c r="AA7" s="280"/>
      <c r="AB7" s="280"/>
      <c r="AC7" s="280"/>
      <c r="AD7" s="280"/>
      <c r="AE7" s="31"/>
      <c r="AF7" s="45"/>
      <c r="AG7" s="45"/>
      <c r="AH7" s="45"/>
      <c r="AI7" s="45"/>
    </row>
    <row r="8" spans="1:35" ht="12" customHeight="1" x14ac:dyDescent="0.25">
      <c r="A8" s="88"/>
      <c r="B8" s="89"/>
      <c r="C8" s="100"/>
      <c r="D8" s="120"/>
      <c r="E8" s="120"/>
      <c r="F8" s="101"/>
      <c r="G8" s="101"/>
      <c r="H8" s="101"/>
      <c r="I8" s="90"/>
      <c r="J8" s="90"/>
      <c r="K8" s="90"/>
      <c r="L8" s="90"/>
      <c r="M8" s="90"/>
      <c r="N8" s="90"/>
      <c r="O8" s="90"/>
      <c r="P8" s="90"/>
      <c r="Q8" s="90"/>
      <c r="R8" s="90"/>
      <c r="S8" s="90"/>
      <c r="T8" s="120"/>
      <c r="U8" s="100"/>
      <c r="V8" s="100"/>
      <c r="W8" s="100"/>
      <c r="X8" s="100"/>
      <c r="Y8" s="100"/>
      <c r="Z8" s="100"/>
      <c r="AA8" s="100"/>
      <c r="AB8" s="100"/>
      <c r="AC8" s="100"/>
      <c r="AD8" s="100"/>
      <c r="AE8" s="102"/>
    </row>
    <row r="9" spans="1:35" ht="28.5" customHeight="1" x14ac:dyDescent="0.25">
      <c r="A9" s="88"/>
      <c r="B9" s="89"/>
      <c r="C9" s="262" t="s">
        <v>34</v>
      </c>
      <c r="D9" s="180" t="s">
        <v>108</v>
      </c>
      <c r="E9" s="180" t="s">
        <v>126</v>
      </c>
      <c r="F9" s="183" t="s">
        <v>119</v>
      </c>
      <c r="G9" s="184"/>
      <c r="H9" s="184"/>
      <c r="I9" s="184"/>
      <c r="J9" s="184"/>
      <c r="K9" s="184"/>
      <c r="L9" s="184"/>
      <c r="M9" s="184"/>
      <c r="N9" s="184"/>
      <c r="O9" s="185"/>
      <c r="P9" s="90"/>
      <c r="Q9" s="180" t="s">
        <v>120</v>
      </c>
      <c r="R9" s="180" t="s">
        <v>123</v>
      </c>
      <c r="S9" s="180" t="s">
        <v>8</v>
      </c>
      <c r="T9" s="180" t="s">
        <v>122</v>
      </c>
      <c r="U9" s="281" t="s">
        <v>121</v>
      </c>
      <c r="V9" s="281"/>
      <c r="W9" s="281"/>
      <c r="X9" s="281"/>
      <c r="Y9" s="281"/>
      <c r="Z9" s="281"/>
      <c r="AA9" s="281"/>
      <c r="AB9" s="281"/>
      <c r="AC9" s="281"/>
      <c r="AD9" s="281"/>
      <c r="AE9" s="31"/>
    </row>
    <row r="10" spans="1:35" s="88" customFormat="1" ht="33" customHeight="1" x14ac:dyDescent="0.25">
      <c r="B10" s="89"/>
      <c r="C10" s="262"/>
      <c r="D10" s="180"/>
      <c r="E10" s="180"/>
      <c r="F10" s="86" t="s">
        <v>129</v>
      </c>
      <c r="G10" s="86" t="s">
        <v>130</v>
      </c>
      <c r="H10" s="86" t="s">
        <v>131</v>
      </c>
      <c r="I10" s="86" t="s">
        <v>132</v>
      </c>
      <c r="J10" s="86" t="s">
        <v>133</v>
      </c>
      <c r="K10" s="86" t="s">
        <v>134</v>
      </c>
      <c r="L10" s="86" t="s">
        <v>135</v>
      </c>
      <c r="M10" s="86" t="s">
        <v>136</v>
      </c>
      <c r="N10" s="86" t="s">
        <v>137</v>
      </c>
      <c r="O10" s="86" t="s">
        <v>138</v>
      </c>
      <c r="P10" s="91"/>
      <c r="Q10" s="180"/>
      <c r="R10" s="180"/>
      <c r="S10" s="180"/>
      <c r="T10" s="180"/>
      <c r="U10" s="86" t="s">
        <v>129</v>
      </c>
      <c r="V10" s="86" t="s">
        <v>130</v>
      </c>
      <c r="W10" s="86" t="s">
        <v>131</v>
      </c>
      <c r="X10" s="86" t="s">
        <v>132</v>
      </c>
      <c r="Y10" s="86" t="s">
        <v>133</v>
      </c>
      <c r="Z10" s="86" t="s">
        <v>134</v>
      </c>
      <c r="AA10" s="86" t="s">
        <v>135</v>
      </c>
      <c r="AB10" s="86" t="s">
        <v>136</v>
      </c>
      <c r="AC10" s="86" t="s">
        <v>137</v>
      </c>
      <c r="AD10" s="86" t="s">
        <v>138</v>
      </c>
      <c r="AE10" s="31"/>
      <c r="AF10" s="45"/>
      <c r="AG10" s="45"/>
      <c r="AH10" s="45"/>
      <c r="AI10" s="45"/>
    </row>
    <row r="11" spans="1:35" s="88" customFormat="1" ht="18.75" customHeight="1" x14ac:dyDescent="0.25">
      <c r="B11" s="89"/>
      <c r="C11" s="84" t="s">
        <v>95</v>
      </c>
      <c r="D11" s="79">
        <f>'Overview IB'!D26</f>
        <v>194</v>
      </c>
      <c r="E11" s="79">
        <f>'Overview IB'!E26</f>
        <v>72</v>
      </c>
      <c r="F11" s="132">
        <f>'Overview IB'!I26</f>
        <v>72</v>
      </c>
      <c r="G11" s="132">
        <f>'Overview IB'!J26</f>
        <v>72</v>
      </c>
      <c r="H11" s="132">
        <f>'Overview IB'!K26</f>
        <v>50</v>
      </c>
      <c r="I11" s="132">
        <f>'Overview IB'!L26</f>
        <v>0</v>
      </c>
      <c r="J11" s="132">
        <f>'Overview IB'!M26</f>
        <v>0</v>
      </c>
      <c r="K11" s="132">
        <f>'Overview IB'!N26</f>
        <v>0</v>
      </c>
      <c r="L11" s="132">
        <f>'Overview IB'!O26</f>
        <v>0</v>
      </c>
      <c r="M11" s="132">
        <f>'Overview IB'!P26</f>
        <v>0</v>
      </c>
      <c r="N11" s="132">
        <f>'Overview IB'!Q26</f>
        <v>0</v>
      </c>
      <c r="O11" s="132">
        <f>'Overview IB'!R26</f>
        <v>0</v>
      </c>
      <c r="P11" s="32"/>
      <c r="Q11" s="64">
        <f>SUM(U11:AD11)</f>
        <v>0</v>
      </c>
      <c r="R11" s="103">
        <v>42</v>
      </c>
      <c r="S11" s="157">
        <f>IF(D11=0,0,IF(E11=0,IF(R11=0,Q11/D11,R11/D11),IF(R11=0,Q11/E11,R11/E11)))</f>
        <v>0.58333333333333337</v>
      </c>
      <c r="T11" s="168"/>
      <c r="U11" s="66"/>
      <c r="V11" s="66"/>
      <c r="W11" s="66"/>
      <c r="X11" s="66"/>
      <c r="Y11" s="66"/>
      <c r="Z11" s="66"/>
      <c r="AA11" s="66"/>
      <c r="AB11" s="66"/>
      <c r="AC11" s="66"/>
      <c r="AD11" s="66"/>
      <c r="AE11" s="31"/>
      <c r="AF11" s="45"/>
      <c r="AG11" s="45"/>
      <c r="AH11" s="45"/>
      <c r="AI11" s="45"/>
    </row>
    <row r="12" spans="1:35" s="88" customFormat="1" ht="18.75" customHeight="1" x14ac:dyDescent="0.25">
      <c r="B12" s="89"/>
      <c r="C12" s="49" t="s">
        <v>106</v>
      </c>
      <c r="D12" s="64">
        <f>'Overview IB'!D27</f>
        <v>194</v>
      </c>
      <c r="E12" s="79">
        <f>'Overview IB'!E27</f>
        <v>72</v>
      </c>
      <c r="F12" s="132">
        <f>'Overview IB'!I27</f>
        <v>72</v>
      </c>
      <c r="G12" s="132">
        <f>'Overview IB'!J27</f>
        <v>72</v>
      </c>
      <c r="H12" s="132">
        <f>'Overview IB'!K27</f>
        <v>50</v>
      </c>
      <c r="I12" s="132">
        <f>'Overview IB'!L27</f>
        <v>0</v>
      </c>
      <c r="J12" s="132">
        <f>'Overview IB'!M27</f>
        <v>0</v>
      </c>
      <c r="K12" s="132">
        <f>'Overview IB'!N27</f>
        <v>0</v>
      </c>
      <c r="L12" s="132">
        <f>'Overview IB'!O27</f>
        <v>0</v>
      </c>
      <c r="M12" s="132">
        <f>'Overview IB'!P27</f>
        <v>0</v>
      </c>
      <c r="N12" s="132">
        <f>'Overview IB'!Q27</f>
        <v>0</v>
      </c>
      <c r="O12" s="132">
        <f>'Overview IB'!R27</f>
        <v>0</v>
      </c>
      <c r="P12" s="32"/>
      <c r="Q12" s="64">
        <f t="shared" ref="Q12:Q32" si="0">SUM(U12:AD12)</f>
        <v>0</v>
      </c>
      <c r="R12" s="173">
        <v>42</v>
      </c>
      <c r="S12" s="157">
        <f t="shared" ref="S12:S60" si="1">IF(D12=0,0,IF(E12=0,IF(R12=0,Q12/D12,R12/D12),IF(R12=0,Q12/E12,R12/E12)))</f>
        <v>0.58333333333333337</v>
      </c>
      <c r="T12" s="168"/>
      <c r="U12" s="66"/>
      <c r="V12" s="66"/>
      <c r="W12" s="66"/>
      <c r="X12" s="66"/>
      <c r="Y12" s="66"/>
      <c r="Z12" s="66"/>
      <c r="AA12" s="66"/>
      <c r="AB12" s="66"/>
      <c r="AC12" s="66"/>
      <c r="AD12" s="66"/>
      <c r="AE12" s="31"/>
      <c r="AF12" s="45"/>
      <c r="AG12" s="45"/>
      <c r="AH12" s="45"/>
      <c r="AI12" s="45"/>
    </row>
    <row r="13" spans="1:35" s="88" customFormat="1" ht="18.75" customHeight="1" x14ac:dyDescent="0.25">
      <c r="B13" s="89"/>
      <c r="C13" s="49" t="s">
        <v>107</v>
      </c>
      <c r="D13" s="64">
        <f>'Overview IB'!D28</f>
        <v>3</v>
      </c>
      <c r="E13" s="79">
        <f>'Overview IB'!E28</f>
        <v>1</v>
      </c>
      <c r="F13" s="132">
        <f>'Overview IB'!I28</f>
        <v>1</v>
      </c>
      <c r="G13" s="132">
        <f>'Overview IB'!J28</f>
        <v>1</v>
      </c>
      <c r="H13" s="132">
        <f>'Overview IB'!K28</f>
        <v>1</v>
      </c>
      <c r="I13" s="132">
        <f>'Overview IB'!L28</f>
        <v>0</v>
      </c>
      <c r="J13" s="132">
        <f>'Overview IB'!M28</f>
        <v>0</v>
      </c>
      <c r="K13" s="132">
        <f>'Overview IB'!N28</f>
        <v>0</v>
      </c>
      <c r="L13" s="132">
        <f>'Overview IB'!O28</f>
        <v>0</v>
      </c>
      <c r="M13" s="132">
        <f>'Overview IB'!P28</f>
        <v>0</v>
      </c>
      <c r="N13" s="132">
        <f>'Overview IB'!Q28</f>
        <v>0</v>
      </c>
      <c r="O13" s="132">
        <f>'Overview IB'!R28</f>
        <v>0</v>
      </c>
      <c r="P13" s="32"/>
      <c r="Q13" s="64">
        <f t="shared" si="0"/>
        <v>0</v>
      </c>
      <c r="R13" s="103">
        <v>1</v>
      </c>
      <c r="S13" s="157">
        <f t="shared" si="1"/>
        <v>1</v>
      </c>
      <c r="T13" s="168"/>
      <c r="U13" s="66"/>
      <c r="V13" s="66"/>
      <c r="W13" s="66"/>
      <c r="X13" s="66"/>
      <c r="Y13" s="66"/>
      <c r="Z13" s="66"/>
      <c r="AA13" s="66"/>
      <c r="AB13" s="66"/>
      <c r="AC13" s="66"/>
      <c r="AD13" s="66"/>
      <c r="AE13" s="31"/>
      <c r="AF13" s="45"/>
      <c r="AG13" s="45"/>
      <c r="AH13" s="45"/>
      <c r="AI13" s="45"/>
    </row>
    <row r="14" spans="1:35" s="88" customFormat="1" ht="45" x14ac:dyDescent="0.25">
      <c r="B14" s="89"/>
      <c r="C14" s="8" t="s">
        <v>73</v>
      </c>
      <c r="D14" s="152" t="s">
        <v>72</v>
      </c>
      <c r="E14" s="152" t="s">
        <v>125</v>
      </c>
      <c r="F14" s="86" t="s">
        <v>129</v>
      </c>
      <c r="G14" s="86" t="s">
        <v>130</v>
      </c>
      <c r="H14" s="86" t="s">
        <v>131</v>
      </c>
      <c r="I14" s="86" t="s">
        <v>132</v>
      </c>
      <c r="J14" s="86" t="s">
        <v>133</v>
      </c>
      <c r="K14" s="86" t="s">
        <v>134</v>
      </c>
      <c r="L14" s="86" t="s">
        <v>135</v>
      </c>
      <c r="M14" s="86" t="s">
        <v>136</v>
      </c>
      <c r="N14" s="86" t="s">
        <v>137</v>
      </c>
      <c r="O14" s="86" t="s">
        <v>138</v>
      </c>
      <c r="P14" s="32"/>
      <c r="Q14" s="85" t="s">
        <v>29</v>
      </c>
      <c r="R14" s="85" t="s">
        <v>124</v>
      </c>
      <c r="S14" s="76" t="s">
        <v>8</v>
      </c>
      <c r="T14" s="8" t="s">
        <v>61</v>
      </c>
      <c r="U14" s="86" t="s">
        <v>129</v>
      </c>
      <c r="V14" s="86" t="s">
        <v>130</v>
      </c>
      <c r="W14" s="86" t="s">
        <v>131</v>
      </c>
      <c r="X14" s="86" t="s">
        <v>132</v>
      </c>
      <c r="Y14" s="86" t="s">
        <v>133</v>
      </c>
      <c r="Z14" s="86" t="s">
        <v>134</v>
      </c>
      <c r="AA14" s="86" t="s">
        <v>135</v>
      </c>
      <c r="AB14" s="86" t="s">
        <v>136</v>
      </c>
      <c r="AC14" s="86" t="s">
        <v>137</v>
      </c>
      <c r="AD14" s="86" t="s">
        <v>138</v>
      </c>
      <c r="AE14" s="31"/>
      <c r="AF14" s="45"/>
      <c r="AG14" s="45"/>
      <c r="AH14" s="45"/>
      <c r="AI14" s="45"/>
    </row>
    <row r="15" spans="1:35" ht="18.75" customHeight="1" x14ac:dyDescent="0.25">
      <c r="B15" s="81"/>
      <c r="C15" s="50" t="s">
        <v>55</v>
      </c>
      <c r="D15" s="64">
        <f>'Overview IB'!D30</f>
        <v>0</v>
      </c>
      <c r="E15" s="64">
        <f>'Overview IB'!E30</f>
        <v>0</v>
      </c>
      <c r="F15" s="132">
        <f>'Overview IB'!I30</f>
        <v>0</v>
      </c>
      <c r="G15" s="132">
        <f>'Overview IB'!J30</f>
        <v>0</v>
      </c>
      <c r="H15" s="132">
        <f>'Overview IB'!K30</f>
        <v>0</v>
      </c>
      <c r="I15" s="132">
        <f>'Overview IB'!L30</f>
        <v>0</v>
      </c>
      <c r="J15" s="132">
        <f>'Overview IB'!M30</f>
        <v>0</v>
      </c>
      <c r="K15" s="132">
        <f>'Overview IB'!N30</f>
        <v>0</v>
      </c>
      <c r="L15" s="132">
        <f>'Overview IB'!O30</f>
        <v>0</v>
      </c>
      <c r="M15" s="132">
        <f>'Overview IB'!P30</f>
        <v>0</v>
      </c>
      <c r="N15" s="132">
        <f>'Overview IB'!Q30</f>
        <v>0</v>
      </c>
      <c r="O15" s="132">
        <f>'Overview IB'!R30</f>
        <v>0</v>
      </c>
      <c r="P15" s="32"/>
      <c r="Q15" s="64">
        <f t="shared" si="0"/>
        <v>0</v>
      </c>
      <c r="R15" s="103"/>
      <c r="S15" s="157">
        <f t="shared" si="1"/>
        <v>0</v>
      </c>
      <c r="T15" s="168"/>
      <c r="U15" s="66"/>
      <c r="V15" s="66"/>
      <c r="W15" s="66"/>
      <c r="X15" s="66"/>
      <c r="Y15" s="66"/>
      <c r="Z15" s="66"/>
      <c r="AA15" s="66"/>
      <c r="AB15" s="66"/>
      <c r="AC15" s="66"/>
      <c r="AD15" s="66"/>
      <c r="AE15" s="31"/>
    </row>
    <row r="16" spans="1:35" ht="18.75" customHeight="1" x14ac:dyDescent="0.25">
      <c r="B16" s="81"/>
      <c r="C16" s="51" t="s">
        <v>96</v>
      </c>
      <c r="D16" s="132">
        <f>'Overview IB'!D31</f>
        <v>0</v>
      </c>
      <c r="E16" s="132">
        <f>'Overview IB'!E31</f>
        <v>0</v>
      </c>
      <c r="F16" s="132">
        <f>'Overview IB'!I31</f>
        <v>0</v>
      </c>
      <c r="G16" s="132">
        <f>'Overview IB'!J31</f>
        <v>0</v>
      </c>
      <c r="H16" s="132">
        <f>'Overview IB'!K31</f>
        <v>0</v>
      </c>
      <c r="I16" s="132">
        <f>'Overview IB'!L31</f>
        <v>0</v>
      </c>
      <c r="J16" s="132">
        <f>'Overview IB'!M31</f>
        <v>0</v>
      </c>
      <c r="K16" s="132">
        <f>'Overview IB'!N31</f>
        <v>0</v>
      </c>
      <c r="L16" s="132">
        <f>'Overview IB'!O31</f>
        <v>0</v>
      </c>
      <c r="M16" s="132">
        <f>'Overview IB'!P31</f>
        <v>0</v>
      </c>
      <c r="N16" s="132">
        <f>'Overview IB'!Q31</f>
        <v>0</v>
      </c>
      <c r="O16" s="132">
        <f>'Overview IB'!R31</f>
        <v>0</v>
      </c>
      <c r="P16" s="156"/>
      <c r="Q16" s="132">
        <f t="shared" si="0"/>
        <v>0</v>
      </c>
      <c r="R16" s="103"/>
      <c r="S16" s="157">
        <f t="shared" si="1"/>
        <v>0</v>
      </c>
      <c r="T16" s="168"/>
      <c r="U16" s="133"/>
      <c r="V16" s="133"/>
      <c r="W16" s="133"/>
      <c r="X16" s="133"/>
      <c r="Y16" s="133"/>
      <c r="Z16" s="133"/>
      <c r="AA16" s="133"/>
      <c r="AB16" s="133"/>
      <c r="AC16" s="133"/>
      <c r="AD16" s="133"/>
      <c r="AE16" s="31"/>
    </row>
    <row r="17" spans="2:31" ht="18.75" customHeight="1" x14ac:dyDescent="0.25">
      <c r="B17" s="81"/>
      <c r="C17" s="50" t="s">
        <v>56</v>
      </c>
      <c r="D17" s="64">
        <f>'Overview IB'!D32</f>
        <v>0</v>
      </c>
      <c r="E17" s="64">
        <f>'Overview IB'!E32</f>
        <v>0</v>
      </c>
      <c r="F17" s="132">
        <f>'Overview IB'!I32</f>
        <v>0</v>
      </c>
      <c r="G17" s="132">
        <f>'Overview IB'!J32</f>
        <v>0</v>
      </c>
      <c r="H17" s="132">
        <f>'Overview IB'!K32</f>
        <v>0</v>
      </c>
      <c r="I17" s="132">
        <f>'Overview IB'!L32</f>
        <v>0</v>
      </c>
      <c r="J17" s="132">
        <f>'Overview IB'!M32</f>
        <v>0</v>
      </c>
      <c r="K17" s="132">
        <f>'Overview IB'!N32</f>
        <v>0</v>
      </c>
      <c r="L17" s="132">
        <f>'Overview IB'!O32</f>
        <v>0</v>
      </c>
      <c r="M17" s="132">
        <f>'Overview IB'!P32</f>
        <v>0</v>
      </c>
      <c r="N17" s="132">
        <f>'Overview IB'!Q32</f>
        <v>0</v>
      </c>
      <c r="O17" s="132">
        <f>'Overview IB'!R32</f>
        <v>0</v>
      </c>
      <c r="P17" s="32"/>
      <c r="Q17" s="64">
        <f t="shared" si="0"/>
        <v>0</v>
      </c>
      <c r="R17" s="103"/>
      <c r="S17" s="157">
        <f t="shared" si="1"/>
        <v>0</v>
      </c>
      <c r="T17" s="168"/>
      <c r="U17" s="66"/>
      <c r="V17" s="66"/>
      <c r="W17" s="66"/>
      <c r="X17" s="66"/>
      <c r="Y17" s="66"/>
      <c r="Z17" s="66"/>
      <c r="AA17" s="66"/>
      <c r="AB17" s="66"/>
      <c r="AC17" s="66"/>
      <c r="AD17" s="66"/>
      <c r="AE17" s="31"/>
    </row>
    <row r="18" spans="2:31" ht="18.75" customHeight="1" x14ac:dyDescent="0.25">
      <c r="B18" s="81"/>
      <c r="C18" s="52" t="s">
        <v>54</v>
      </c>
      <c r="D18" s="132">
        <f>'Overview IB'!D33</f>
        <v>0</v>
      </c>
      <c r="E18" s="132">
        <f>'Overview IB'!E33</f>
        <v>0</v>
      </c>
      <c r="F18" s="132">
        <f>'Overview IB'!I33</f>
        <v>0</v>
      </c>
      <c r="G18" s="132">
        <f>'Overview IB'!J33</f>
        <v>0</v>
      </c>
      <c r="H18" s="132">
        <f>'Overview IB'!K33</f>
        <v>0</v>
      </c>
      <c r="I18" s="132">
        <f>'Overview IB'!L33</f>
        <v>0</v>
      </c>
      <c r="J18" s="132">
        <f>'Overview IB'!M33</f>
        <v>0</v>
      </c>
      <c r="K18" s="132">
        <f>'Overview IB'!N33</f>
        <v>0</v>
      </c>
      <c r="L18" s="132">
        <f>'Overview IB'!O33</f>
        <v>0</v>
      </c>
      <c r="M18" s="132">
        <f>'Overview IB'!P33</f>
        <v>0</v>
      </c>
      <c r="N18" s="132">
        <f>'Overview IB'!Q33</f>
        <v>0</v>
      </c>
      <c r="O18" s="132">
        <f>'Overview IB'!R33</f>
        <v>0</v>
      </c>
      <c r="P18" s="156"/>
      <c r="Q18" s="132">
        <f t="shared" si="0"/>
        <v>0</v>
      </c>
      <c r="R18" s="103"/>
      <c r="S18" s="157">
        <f t="shared" si="1"/>
        <v>0</v>
      </c>
      <c r="T18" s="168"/>
      <c r="U18" s="133"/>
      <c r="V18" s="133"/>
      <c r="W18" s="133"/>
      <c r="X18" s="133"/>
      <c r="Y18" s="133"/>
      <c r="Z18" s="133"/>
      <c r="AA18" s="133"/>
      <c r="AB18" s="133"/>
      <c r="AC18" s="133"/>
      <c r="AD18" s="133"/>
      <c r="AE18" s="31"/>
    </row>
    <row r="19" spans="2:31" ht="18.75" customHeight="1" x14ac:dyDescent="0.25">
      <c r="B19" s="81"/>
      <c r="C19" s="52" t="s">
        <v>58</v>
      </c>
      <c r="D19" s="132">
        <f>'Overview IB'!D34</f>
        <v>0</v>
      </c>
      <c r="E19" s="132">
        <f>'Overview IB'!E34</f>
        <v>0</v>
      </c>
      <c r="F19" s="132">
        <f>'Overview IB'!I34</f>
        <v>0</v>
      </c>
      <c r="G19" s="132">
        <f>'Overview IB'!J34</f>
        <v>0</v>
      </c>
      <c r="H19" s="132">
        <f>'Overview IB'!K34</f>
        <v>0</v>
      </c>
      <c r="I19" s="132">
        <f>'Overview IB'!L34</f>
        <v>0</v>
      </c>
      <c r="J19" s="132">
        <f>'Overview IB'!M34</f>
        <v>0</v>
      </c>
      <c r="K19" s="132">
        <f>'Overview IB'!N34</f>
        <v>0</v>
      </c>
      <c r="L19" s="132">
        <f>'Overview IB'!O34</f>
        <v>0</v>
      </c>
      <c r="M19" s="132">
        <f>'Overview IB'!P34</f>
        <v>0</v>
      </c>
      <c r="N19" s="132">
        <f>'Overview IB'!Q34</f>
        <v>0</v>
      </c>
      <c r="O19" s="132">
        <f>'Overview IB'!R34</f>
        <v>0</v>
      </c>
      <c r="P19" s="156"/>
      <c r="Q19" s="132">
        <f t="shared" si="0"/>
        <v>0</v>
      </c>
      <c r="R19" s="103"/>
      <c r="S19" s="157">
        <f t="shared" si="1"/>
        <v>0</v>
      </c>
      <c r="T19" s="168"/>
      <c r="U19" s="133"/>
      <c r="V19" s="133"/>
      <c r="W19" s="133"/>
      <c r="X19" s="133"/>
      <c r="Y19" s="133"/>
      <c r="Z19" s="133"/>
      <c r="AA19" s="133"/>
      <c r="AB19" s="133"/>
      <c r="AC19" s="133"/>
      <c r="AD19" s="133"/>
      <c r="AE19" s="31"/>
    </row>
    <row r="20" spans="2:31" ht="45" x14ac:dyDescent="0.25">
      <c r="B20" s="81"/>
      <c r="C20" s="8" t="s">
        <v>45</v>
      </c>
      <c r="D20" s="152" t="s">
        <v>72</v>
      </c>
      <c r="E20" s="152" t="s">
        <v>125</v>
      </c>
      <c r="F20" s="86" t="s">
        <v>129</v>
      </c>
      <c r="G20" s="86" t="s">
        <v>130</v>
      </c>
      <c r="H20" s="86" t="s">
        <v>131</v>
      </c>
      <c r="I20" s="86" t="s">
        <v>132</v>
      </c>
      <c r="J20" s="86" t="s">
        <v>133</v>
      </c>
      <c r="K20" s="86" t="s">
        <v>134</v>
      </c>
      <c r="L20" s="86" t="s">
        <v>135</v>
      </c>
      <c r="M20" s="86" t="s">
        <v>136</v>
      </c>
      <c r="N20" s="86" t="s">
        <v>137</v>
      </c>
      <c r="O20" s="86" t="s">
        <v>138</v>
      </c>
      <c r="P20" s="32"/>
      <c r="Q20" s="85" t="s">
        <v>29</v>
      </c>
      <c r="R20" s="85" t="s">
        <v>124</v>
      </c>
      <c r="S20" s="76" t="s">
        <v>8</v>
      </c>
      <c r="T20" s="8" t="s">
        <v>61</v>
      </c>
      <c r="U20" s="86" t="s">
        <v>129</v>
      </c>
      <c r="V20" s="86" t="s">
        <v>130</v>
      </c>
      <c r="W20" s="86" t="s">
        <v>131</v>
      </c>
      <c r="X20" s="86" t="s">
        <v>132</v>
      </c>
      <c r="Y20" s="86" t="s">
        <v>133</v>
      </c>
      <c r="Z20" s="86" t="s">
        <v>134</v>
      </c>
      <c r="AA20" s="86" t="s">
        <v>135</v>
      </c>
      <c r="AB20" s="86" t="s">
        <v>136</v>
      </c>
      <c r="AC20" s="86" t="s">
        <v>137</v>
      </c>
      <c r="AD20" s="86" t="s">
        <v>138</v>
      </c>
      <c r="AE20" s="31"/>
    </row>
    <row r="21" spans="2:31" ht="18.75" customHeight="1" x14ac:dyDescent="0.25">
      <c r="B21" s="81"/>
      <c r="C21" s="50" t="s">
        <v>70</v>
      </c>
      <c r="D21" s="64">
        <f>'Overview IB'!D36</f>
        <v>0</v>
      </c>
      <c r="E21" s="64">
        <f>'Overview IB'!E36</f>
        <v>0</v>
      </c>
      <c r="F21" s="132">
        <f>'Overview IB'!I36</f>
        <v>0</v>
      </c>
      <c r="G21" s="132">
        <f>'Overview IB'!J36</f>
        <v>0</v>
      </c>
      <c r="H21" s="132">
        <f>'Overview IB'!K36</f>
        <v>0</v>
      </c>
      <c r="I21" s="132">
        <f>'Overview IB'!L36</f>
        <v>0</v>
      </c>
      <c r="J21" s="132">
        <f>'Overview IB'!M36</f>
        <v>0</v>
      </c>
      <c r="K21" s="132">
        <f>'Overview IB'!N36</f>
        <v>0</v>
      </c>
      <c r="L21" s="132">
        <f>'Overview IB'!O36</f>
        <v>0</v>
      </c>
      <c r="M21" s="132">
        <f>'Overview IB'!P36</f>
        <v>0</v>
      </c>
      <c r="N21" s="132">
        <f>'Overview IB'!Q36</f>
        <v>0</v>
      </c>
      <c r="O21" s="132">
        <f>'Overview IB'!R36</f>
        <v>0</v>
      </c>
      <c r="P21" s="32"/>
      <c r="Q21" s="64">
        <f t="shared" si="0"/>
        <v>0</v>
      </c>
      <c r="R21" s="103"/>
      <c r="S21" s="157">
        <f t="shared" si="1"/>
        <v>0</v>
      </c>
      <c r="T21" s="168"/>
      <c r="U21" s="66"/>
      <c r="V21" s="66"/>
      <c r="W21" s="66"/>
      <c r="X21" s="66"/>
      <c r="Y21" s="66"/>
      <c r="Z21" s="66"/>
      <c r="AA21" s="66"/>
      <c r="AB21" s="66"/>
      <c r="AC21" s="66"/>
      <c r="AD21" s="66"/>
      <c r="AE21" s="31"/>
    </row>
    <row r="22" spans="2:31" ht="33" customHeight="1" x14ac:dyDescent="0.25">
      <c r="B22" s="81"/>
      <c r="C22" s="51" t="s">
        <v>47</v>
      </c>
      <c r="D22" s="132">
        <f>'Overview IB'!D37</f>
        <v>144</v>
      </c>
      <c r="E22" s="132">
        <f>'Overview IB'!E37</f>
        <v>72</v>
      </c>
      <c r="F22" s="132">
        <f>'Overview IB'!I37</f>
        <v>72</v>
      </c>
      <c r="G22" s="132">
        <f>'Overview IB'!J37</f>
        <v>72</v>
      </c>
      <c r="H22" s="132">
        <f>'Overview IB'!K37</f>
        <v>0</v>
      </c>
      <c r="I22" s="132">
        <f>'Overview IB'!L37</f>
        <v>0</v>
      </c>
      <c r="J22" s="132">
        <f>'Overview IB'!M37</f>
        <v>0</v>
      </c>
      <c r="K22" s="132">
        <f>'Overview IB'!N37</f>
        <v>0</v>
      </c>
      <c r="L22" s="132">
        <f>'Overview IB'!O37</f>
        <v>0</v>
      </c>
      <c r="M22" s="132">
        <f>'Overview IB'!P37</f>
        <v>0</v>
      </c>
      <c r="N22" s="132">
        <f>'Overview IB'!Q37</f>
        <v>0</v>
      </c>
      <c r="O22" s="132">
        <f>'Overview IB'!R37</f>
        <v>0</v>
      </c>
      <c r="P22" s="156"/>
      <c r="Q22" s="132">
        <f t="shared" si="0"/>
        <v>0</v>
      </c>
      <c r="R22" s="103">
        <v>42</v>
      </c>
      <c r="S22" s="157">
        <f t="shared" si="1"/>
        <v>0.58333333333333337</v>
      </c>
      <c r="T22" s="168"/>
      <c r="U22" s="133"/>
      <c r="V22" s="133"/>
      <c r="W22" s="133"/>
      <c r="X22" s="133"/>
      <c r="Y22" s="133"/>
      <c r="Z22" s="133"/>
      <c r="AA22" s="133"/>
      <c r="AB22" s="133"/>
      <c r="AC22" s="133"/>
      <c r="AD22" s="133"/>
      <c r="AE22" s="31"/>
    </row>
    <row r="23" spans="2:31" ht="33" customHeight="1" x14ac:dyDescent="0.25">
      <c r="B23" s="81"/>
      <c r="C23" s="52" t="s">
        <v>59</v>
      </c>
      <c r="D23" s="132">
        <f>'Overview IB'!D38</f>
        <v>1170</v>
      </c>
      <c r="E23" s="132">
        <f>'Overview IB'!E38</f>
        <v>1170</v>
      </c>
      <c r="F23" s="132">
        <f>'Overview IB'!I38</f>
        <v>360</v>
      </c>
      <c r="G23" s="132">
        <f>'Overview IB'!J38</f>
        <v>810</v>
      </c>
      <c r="H23" s="132">
        <f>'Overview IB'!K38</f>
        <v>0</v>
      </c>
      <c r="I23" s="132">
        <f>'Overview IB'!L38</f>
        <v>0</v>
      </c>
      <c r="J23" s="132">
        <f>'Overview IB'!M38</f>
        <v>0</v>
      </c>
      <c r="K23" s="132">
        <f>'Overview IB'!N38</f>
        <v>0</v>
      </c>
      <c r="L23" s="132">
        <f>'Overview IB'!O38</f>
        <v>0</v>
      </c>
      <c r="M23" s="132">
        <f>'Overview IB'!P38</f>
        <v>0</v>
      </c>
      <c r="N23" s="132">
        <f>'Overview IB'!Q38</f>
        <v>0</v>
      </c>
      <c r="O23" s="132">
        <f>'Overview IB'!R38</f>
        <v>0</v>
      </c>
      <c r="P23" s="156"/>
      <c r="Q23" s="132">
        <f t="shared" si="0"/>
        <v>0</v>
      </c>
      <c r="R23" s="103">
        <v>311</v>
      </c>
      <c r="S23" s="157">
        <f t="shared" si="1"/>
        <v>0.26581196581196581</v>
      </c>
      <c r="T23" s="168"/>
      <c r="U23" s="133"/>
      <c r="V23" s="133"/>
      <c r="W23" s="133"/>
      <c r="X23" s="133"/>
      <c r="Y23" s="133"/>
      <c r="Z23" s="133"/>
      <c r="AA23" s="133"/>
      <c r="AB23" s="133"/>
      <c r="AC23" s="133"/>
      <c r="AD23" s="133"/>
      <c r="AE23" s="31"/>
    </row>
    <row r="24" spans="2:31" ht="33" customHeight="1" x14ac:dyDescent="0.25">
      <c r="B24" s="81"/>
      <c r="C24" s="50" t="s">
        <v>71</v>
      </c>
      <c r="D24" s="64">
        <f>'Overview IB'!D39</f>
        <v>0</v>
      </c>
      <c r="E24" s="64">
        <f>'Overview IB'!E39</f>
        <v>0</v>
      </c>
      <c r="F24" s="132">
        <f>'Overview IB'!I39</f>
        <v>0</v>
      </c>
      <c r="G24" s="132">
        <f>'Overview IB'!J39</f>
        <v>0</v>
      </c>
      <c r="H24" s="132">
        <f>'Overview IB'!K39</f>
        <v>0</v>
      </c>
      <c r="I24" s="132">
        <f>'Overview IB'!L39</f>
        <v>0</v>
      </c>
      <c r="J24" s="132">
        <f>'Overview IB'!M39</f>
        <v>0</v>
      </c>
      <c r="K24" s="132">
        <f>'Overview IB'!N39</f>
        <v>0</v>
      </c>
      <c r="L24" s="132">
        <f>'Overview IB'!O39</f>
        <v>0</v>
      </c>
      <c r="M24" s="132">
        <f>'Overview IB'!P39</f>
        <v>0</v>
      </c>
      <c r="N24" s="132">
        <f>'Overview IB'!Q39</f>
        <v>0</v>
      </c>
      <c r="O24" s="132">
        <f>'Overview IB'!R39</f>
        <v>0</v>
      </c>
      <c r="P24" s="32"/>
      <c r="Q24" s="64">
        <f t="shared" si="0"/>
        <v>0</v>
      </c>
      <c r="R24" s="103"/>
      <c r="S24" s="157">
        <f t="shared" si="1"/>
        <v>0</v>
      </c>
      <c r="T24" s="168"/>
      <c r="U24" s="66"/>
      <c r="V24" s="66"/>
      <c r="W24" s="66"/>
      <c r="X24" s="66"/>
      <c r="Y24" s="66"/>
      <c r="Z24" s="66"/>
      <c r="AA24" s="66"/>
      <c r="AB24" s="66"/>
      <c r="AC24" s="66"/>
      <c r="AD24" s="66"/>
      <c r="AE24" s="31"/>
    </row>
    <row r="25" spans="2:31" ht="33" customHeight="1" x14ac:dyDescent="0.25">
      <c r="B25" s="81"/>
      <c r="C25" s="52" t="s">
        <v>48</v>
      </c>
      <c r="D25" s="132">
        <f>'Overview IB'!D40</f>
        <v>50</v>
      </c>
      <c r="E25" s="132">
        <f>'Overview IB'!E40</f>
        <v>50</v>
      </c>
      <c r="F25" s="132">
        <f>'Overview IB'!I40</f>
        <v>0</v>
      </c>
      <c r="G25" s="132">
        <f>'Overview IB'!J40</f>
        <v>0</v>
      </c>
      <c r="H25" s="132">
        <f>'Overview IB'!K40</f>
        <v>50</v>
      </c>
      <c r="I25" s="132">
        <f>'Overview IB'!L40</f>
        <v>0</v>
      </c>
      <c r="J25" s="132">
        <f>'Overview IB'!M40</f>
        <v>0</v>
      </c>
      <c r="K25" s="132">
        <f>'Overview IB'!N40</f>
        <v>0</v>
      </c>
      <c r="L25" s="132">
        <f>'Overview IB'!O40</f>
        <v>0</v>
      </c>
      <c r="M25" s="132">
        <f>'Overview IB'!P40</f>
        <v>0</v>
      </c>
      <c r="N25" s="132">
        <f>'Overview IB'!Q40</f>
        <v>0</v>
      </c>
      <c r="O25" s="132">
        <f>'Overview IB'!R40</f>
        <v>0</v>
      </c>
      <c r="P25" s="156"/>
      <c r="Q25" s="132">
        <f t="shared" si="0"/>
        <v>0</v>
      </c>
      <c r="R25" s="103">
        <v>33</v>
      </c>
      <c r="S25" s="157">
        <f t="shared" si="1"/>
        <v>0.66</v>
      </c>
      <c r="T25" s="168"/>
      <c r="U25" s="133"/>
      <c r="V25" s="133"/>
      <c r="W25" s="133"/>
      <c r="X25" s="133"/>
      <c r="Y25" s="133"/>
      <c r="Z25" s="133"/>
      <c r="AA25" s="133"/>
      <c r="AB25" s="133"/>
      <c r="AC25" s="133"/>
      <c r="AD25" s="133"/>
      <c r="AE25" s="31"/>
    </row>
    <row r="26" spans="2:31" ht="18.75" customHeight="1" x14ac:dyDescent="0.25">
      <c r="B26" s="81"/>
      <c r="C26" s="52" t="s">
        <v>46</v>
      </c>
      <c r="D26" s="132">
        <f>'Overview IB'!D41</f>
        <v>540</v>
      </c>
      <c r="E26" s="132">
        <f>'Overview IB'!E41</f>
        <v>540</v>
      </c>
      <c r="F26" s="132">
        <f>'Overview IB'!I41</f>
        <v>0</v>
      </c>
      <c r="G26" s="132">
        <f>'Overview IB'!J41</f>
        <v>0</v>
      </c>
      <c r="H26" s="132">
        <f>'Overview IB'!K41</f>
        <v>540</v>
      </c>
      <c r="I26" s="132">
        <f>'Overview IB'!L41</f>
        <v>0</v>
      </c>
      <c r="J26" s="132">
        <f>'Overview IB'!M41</f>
        <v>0</v>
      </c>
      <c r="K26" s="132">
        <f>'Overview IB'!N41</f>
        <v>0</v>
      </c>
      <c r="L26" s="132">
        <f>'Overview IB'!O41</f>
        <v>0</v>
      </c>
      <c r="M26" s="132">
        <f>'Overview IB'!P41</f>
        <v>0</v>
      </c>
      <c r="N26" s="132">
        <f>'Overview IB'!Q41</f>
        <v>0</v>
      </c>
      <c r="O26" s="132">
        <f>'Overview IB'!R41</f>
        <v>0</v>
      </c>
      <c r="P26" s="156"/>
      <c r="Q26" s="132">
        <f t="shared" si="0"/>
        <v>0</v>
      </c>
      <c r="R26" s="103">
        <v>192</v>
      </c>
      <c r="S26" s="157">
        <f t="shared" si="1"/>
        <v>0.35555555555555557</v>
      </c>
      <c r="T26" s="168"/>
      <c r="U26" s="133"/>
      <c r="V26" s="133"/>
      <c r="W26" s="133"/>
      <c r="X26" s="133"/>
      <c r="Y26" s="133"/>
      <c r="Z26" s="133"/>
      <c r="AA26" s="133"/>
      <c r="AB26" s="133"/>
      <c r="AC26" s="133"/>
      <c r="AD26" s="133"/>
      <c r="AE26" s="31"/>
    </row>
    <row r="27" spans="2:31" ht="18.75" customHeight="1" x14ac:dyDescent="0.25">
      <c r="B27" s="81"/>
      <c r="C27" s="50" t="s">
        <v>49</v>
      </c>
      <c r="D27" s="64">
        <f>'Overview IB'!D42</f>
        <v>0</v>
      </c>
      <c r="E27" s="64">
        <f>'Overview IB'!E42</f>
        <v>0</v>
      </c>
      <c r="F27" s="132">
        <f>'Overview IB'!I42</f>
        <v>0</v>
      </c>
      <c r="G27" s="132">
        <f>'Overview IB'!J42</f>
        <v>0</v>
      </c>
      <c r="H27" s="132">
        <f>'Overview IB'!K42</f>
        <v>0</v>
      </c>
      <c r="I27" s="132">
        <f>'Overview IB'!L42</f>
        <v>0</v>
      </c>
      <c r="J27" s="132">
        <f>'Overview IB'!M42</f>
        <v>0</v>
      </c>
      <c r="K27" s="132">
        <f>'Overview IB'!N42</f>
        <v>0</v>
      </c>
      <c r="L27" s="132">
        <f>'Overview IB'!O42</f>
        <v>0</v>
      </c>
      <c r="M27" s="132">
        <f>'Overview IB'!P42</f>
        <v>0</v>
      </c>
      <c r="N27" s="132">
        <f>'Overview IB'!Q42</f>
        <v>0</v>
      </c>
      <c r="O27" s="132">
        <f>'Overview IB'!R42</f>
        <v>0</v>
      </c>
      <c r="P27" s="32"/>
      <c r="Q27" s="64">
        <f t="shared" si="0"/>
        <v>0</v>
      </c>
      <c r="R27" s="103"/>
      <c r="S27" s="157">
        <f t="shared" si="1"/>
        <v>0</v>
      </c>
      <c r="T27" s="168"/>
      <c r="U27" s="66"/>
      <c r="V27" s="66"/>
      <c r="W27" s="66"/>
      <c r="X27" s="66"/>
      <c r="Y27" s="66"/>
      <c r="Z27" s="66"/>
      <c r="AA27" s="66"/>
      <c r="AB27" s="66"/>
      <c r="AC27" s="66"/>
      <c r="AD27" s="66"/>
      <c r="AE27" s="31"/>
    </row>
    <row r="28" spans="2:31" ht="18.75" customHeight="1" x14ac:dyDescent="0.25">
      <c r="B28" s="81"/>
      <c r="C28" s="51" t="s">
        <v>51</v>
      </c>
      <c r="D28" s="132">
        <f>'Overview IB'!D43</f>
        <v>0</v>
      </c>
      <c r="E28" s="132">
        <f>'Overview IB'!E43</f>
        <v>0</v>
      </c>
      <c r="F28" s="132">
        <f>'Overview IB'!I43</f>
        <v>0</v>
      </c>
      <c r="G28" s="132">
        <f>'Overview IB'!J43</f>
        <v>0</v>
      </c>
      <c r="H28" s="132">
        <f>'Overview IB'!K43</f>
        <v>0</v>
      </c>
      <c r="I28" s="132">
        <f>'Overview IB'!L43</f>
        <v>0</v>
      </c>
      <c r="J28" s="132">
        <f>'Overview IB'!M43</f>
        <v>0</v>
      </c>
      <c r="K28" s="132">
        <f>'Overview IB'!N43</f>
        <v>0</v>
      </c>
      <c r="L28" s="132">
        <f>'Overview IB'!O43</f>
        <v>0</v>
      </c>
      <c r="M28" s="132">
        <f>'Overview IB'!P43</f>
        <v>0</v>
      </c>
      <c r="N28" s="132">
        <f>'Overview IB'!Q43</f>
        <v>0</v>
      </c>
      <c r="O28" s="132">
        <f>'Overview IB'!R43</f>
        <v>0</v>
      </c>
      <c r="P28" s="156"/>
      <c r="Q28" s="132">
        <f t="shared" si="0"/>
        <v>0</v>
      </c>
      <c r="R28" s="103"/>
      <c r="S28" s="157">
        <f t="shared" si="1"/>
        <v>0</v>
      </c>
      <c r="T28" s="168"/>
      <c r="U28" s="133"/>
      <c r="V28" s="133"/>
      <c r="W28" s="133"/>
      <c r="X28" s="133"/>
      <c r="Y28" s="133"/>
      <c r="Z28" s="133"/>
      <c r="AA28" s="133"/>
      <c r="AB28" s="133"/>
      <c r="AC28" s="133"/>
      <c r="AD28" s="133"/>
      <c r="AE28" s="31"/>
    </row>
    <row r="29" spans="2:31" ht="18.75" customHeight="1" x14ac:dyDescent="0.25">
      <c r="B29" s="81"/>
      <c r="C29" s="51" t="s">
        <v>50</v>
      </c>
      <c r="D29" s="132">
        <f>'Overview IB'!D44</f>
        <v>0</v>
      </c>
      <c r="E29" s="132">
        <f>'Overview IB'!E44</f>
        <v>0</v>
      </c>
      <c r="F29" s="132">
        <f>'Overview IB'!I44</f>
        <v>0</v>
      </c>
      <c r="G29" s="132">
        <f>'Overview IB'!J44</f>
        <v>0</v>
      </c>
      <c r="H29" s="132">
        <f>'Overview IB'!K44</f>
        <v>0</v>
      </c>
      <c r="I29" s="132">
        <f>'Overview IB'!L44</f>
        <v>0</v>
      </c>
      <c r="J29" s="132">
        <f>'Overview IB'!M44</f>
        <v>0</v>
      </c>
      <c r="K29" s="132">
        <f>'Overview IB'!N44</f>
        <v>0</v>
      </c>
      <c r="L29" s="132">
        <f>'Overview IB'!O44</f>
        <v>0</v>
      </c>
      <c r="M29" s="132">
        <f>'Overview IB'!P44</f>
        <v>0</v>
      </c>
      <c r="N29" s="132">
        <f>'Overview IB'!Q44</f>
        <v>0</v>
      </c>
      <c r="O29" s="132">
        <f>'Overview IB'!R44</f>
        <v>0</v>
      </c>
      <c r="P29" s="156"/>
      <c r="Q29" s="132">
        <f t="shared" si="0"/>
        <v>0</v>
      </c>
      <c r="R29" s="103"/>
      <c r="S29" s="157">
        <f t="shared" si="1"/>
        <v>0</v>
      </c>
      <c r="T29" s="168"/>
      <c r="U29" s="133"/>
      <c r="V29" s="133"/>
      <c r="W29" s="133"/>
      <c r="X29" s="133"/>
      <c r="Y29" s="133"/>
      <c r="Z29" s="133"/>
      <c r="AA29" s="133"/>
      <c r="AB29" s="133"/>
      <c r="AC29" s="133"/>
      <c r="AD29" s="133"/>
      <c r="AE29" s="31"/>
    </row>
    <row r="30" spans="2:31" ht="18.75" customHeight="1" x14ac:dyDescent="0.25">
      <c r="B30" s="81"/>
      <c r="C30" s="50" t="s">
        <v>11</v>
      </c>
      <c r="D30" s="64">
        <f>'Overview IB'!D45</f>
        <v>0</v>
      </c>
      <c r="E30" s="64">
        <f>'Overview IB'!E45</f>
        <v>0</v>
      </c>
      <c r="F30" s="132">
        <f>'Overview IB'!I45</f>
        <v>0</v>
      </c>
      <c r="G30" s="132">
        <f>'Overview IB'!J45</f>
        <v>0</v>
      </c>
      <c r="H30" s="132">
        <f>'Overview IB'!K45</f>
        <v>0</v>
      </c>
      <c r="I30" s="132">
        <f>'Overview IB'!L45</f>
        <v>0</v>
      </c>
      <c r="J30" s="132">
        <f>'Overview IB'!M45</f>
        <v>0</v>
      </c>
      <c r="K30" s="132">
        <f>'Overview IB'!N45</f>
        <v>0</v>
      </c>
      <c r="L30" s="132">
        <f>'Overview IB'!O45</f>
        <v>0</v>
      </c>
      <c r="M30" s="132">
        <f>'Overview IB'!P45</f>
        <v>0</v>
      </c>
      <c r="N30" s="132">
        <f>'Overview IB'!Q45</f>
        <v>0</v>
      </c>
      <c r="O30" s="132">
        <f>'Overview IB'!R45</f>
        <v>0</v>
      </c>
      <c r="P30" s="32"/>
      <c r="Q30" s="64">
        <f t="shared" si="0"/>
        <v>0</v>
      </c>
      <c r="R30" s="103"/>
      <c r="S30" s="157">
        <f t="shared" si="1"/>
        <v>0</v>
      </c>
      <c r="T30" s="168"/>
      <c r="U30" s="66"/>
      <c r="V30" s="66"/>
      <c r="W30" s="66"/>
      <c r="X30" s="66"/>
      <c r="Y30" s="66"/>
      <c r="Z30" s="66"/>
      <c r="AA30" s="66"/>
      <c r="AB30" s="66"/>
      <c r="AC30" s="66"/>
      <c r="AD30" s="66"/>
      <c r="AE30" s="31"/>
    </row>
    <row r="31" spans="2:31" ht="18.75" customHeight="1" x14ac:dyDescent="0.25">
      <c r="B31" s="81"/>
      <c r="C31" s="52" t="s">
        <v>62</v>
      </c>
      <c r="D31" s="132">
        <f>'Overview IB'!D46</f>
        <v>0</v>
      </c>
      <c r="E31" s="132">
        <f>'Overview IB'!E46</f>
        <v>0</v>
      </c>
      <c r="F31" s="132">
        <f>'Overview IB'!I46</f>
        <v>0</v>
      </c>
      <c r="G31" s="132">
        <f>'Overview IB'!J46</f>
        <v>0</v>
      </c>
      <c r="H31" s="132">
        <f>'Overview IB'!K46</f>
        <v>0</v>
      </c>
      <c r="I31" s="132">
        <f>'Overview IB'!L46</f>
        <v>0</v>
      </c>
      <c r="J31" s="132">
        <f>'Overview IB'!M46</f>
        <v>0</v>
      </c>
      <c r="K31" s="132">
        <f>'Overview IB'!N46</f>
        <v>0</v>
      </c>
      <c r="L31" s="132">
        <f>'Overview IB'!O46</f>
        <v>0</v>
      </c>
      <c r="M31" s="132">
        <f>'Overview IB'!P46</f>
        <v>0</v>
      </c>
      <c r="N31" s="132">
        <f>'Overview IB'!Q46</f>
        <v>0</v>
      </c>
      <c r="O31" s="132">
        <f>'Overview IB'!R46</f>
        <v>0</v>
      </c>
      <c r="P31" s="156"/>
      <c r="Q31" s="132">
        <f t="shared" si="0"/>
        <v>0</v>
      </c>
      <c r="R31" s="103"/>
      <c r="S31" s="157">
        <f t="shared" si="1"/>
        <v>0</v>
      </c>
      <c r="T31" s="168"/>
      <c r="U31" s="133"/>
      <c r="V31" s="133"/>
      <c r="W31" s="133"/>
      <c r="X31" s="133"/>
      <c r="Y31" s="133"/>
      <c r="Z31" s="133"/>
      <c r="AA31" s="133"/>
      <c r="AB31" s="133"/>
      <c r="AC31" s="133"/>
      <c r="AD31" s="133"/>
      <c r="AE31" s="31"/>
    </row>
    <row r="32" spans="2:31" ht="18.75" customHeight="1" x14ac:dyDescent="0.25">
      <c r="B32" s="81"/>
      <c r="C32" s="52" t="s">
        <v>63</v>
      </c>
      <c r="D32" s="132">
        <f>'Overview IB'!D47</f>
        <v>0</v>
      </c>
      <c r="E32" s="132">
        <f>'Overview IB'!E47</f>
        <v>0</v>
      </c>
      <c r="F32" s="132">
        <f>'Overview IB'!I47</f>
        <v>0</v>
      </c>
      <c r="G32" s="132">
        <f>'Overview IB'!J47</f>
        <v>0</v>
      </c>
      <c r="H32" s="132">
        <f>'Overview IB'!K47</f>
        <v>0</v>
      </c>
      <c r="I32" s="132">
        <f>'Overview IB'!L47</f>
        <v>0</v>
      </c>
      <c r="J32" s="132">
        <f>'Overview IB'!M47</f>
        <v>0</v>
      </c>
      <c r="K32" s="132">
        <f>'Overview IB'!N47</f>
        <v>0</v>
      </c>
      <c r="L32" s="132">
        <f>'Overview IB'!O47</f>
        <v>0</v>
      </c>
      <c r="M32" s="132">
        <f>'Overview IB'!P47</f>
        <v>0</v>
      </c>
      <c r="N32" s="132">
        <f>'Overview IB'!Q47</f>
        <v>0</v>
      </c>
      <c r="O32" s="132">
        <f>'Overview IB'!R47</f>
        <v>0</v>
      </c>
      <c r="P32" s="156"/>
      <c r="Q32" s="132">
        <f t="shared" si="0"/>
        <v>0</v>
      </c>
      <c r="R32" s="103"/>
      <c r="S32" s="157">
        <f t="shared" si="1"/>
        <v>0</v>
      </c>
      <c r="T32" s="168"/>
      <c r="U32" s="133"/>
      <c r="V32" s="133"/>
      <c r="W32" s="133"/>
      <c r="X32" s="133"/>
      <c r="Y32" s="133"/>
      <c r="Z32" s="133"/>
      <c r="AA32" s="133"/>
      <c r="AB32" s="133"/>
      <c r="AC32" s="133"/>
      <c r="AD32" s="133"/>
      <c r="AE32" s="31"/>
    </row>
    <row r="33" spans="2:31" ht="45" x14ac:dyDescent="0.25">
      <c r="B33" s="81"/>
      <c r="C33" s="8" t="s">
        <v>52</v>
      </c>
      <c r="D33" s="152" t="s">
        <v>72</v>
      </c>
      <c r="E33" s="152" t="s">
        <v>125</v>
      </c>
      <c r="F33" s="86" t="s">
        <v>129</v>
      </c>
      <c r="G33" s="86" t="s">
        <v>130</v>
      </c>
      <c r="H33" s="86" t="s">
        <v>131</v>
      </c>
      <c r="I33" s="86" t="s">
        <v>132</v>
      </c>
      <c r="J33" s="86" t="s">
        <v>133</v>
      </c>
      <c r="K33" s="86" t="s">
        <v>134</v>
      </c>
      <c r="L33" s="86" t="s">
        <v>135</v>
      </c>
      <c r="M33" s="86" t="s">
        <v>136</v>
      </c>
      <c r="N33" s="86" t="s">
        <v>137</v>
      </c>
      <c r="O33" s="86" t="s">
        <v>138</v>
      </c>
      <c r="P33" s="32"/>
      <c r="Q33" s="85" t="s">
        <v>29</v>
      </c>
      <c r="R33" s="85" t="s">
        <v>124</v>
      </c>
      <c r="S33" s="76" t="s">
        <v>8</v>
      </c>
      <c r="T33" s="8" t="s">
        <v>61</v>
      </c>
      <c r="U33" s="86" t="s">
        <v>129</v>
      </c>
      <c r="V33" s="86" t="s">
        <v>130</v>
      </c>
      <c r="W33" s="86" t="s">
        <v>131</v>
      </c>
      <c r="X33" s="86" t="s">
        <v>132</v>
      </c>
      <c r="Y33" s="86" t="s">
        <v>133</v>
      </c>
      <c r="Z33" s="86" t="s">
        <v>134</v>
      </c>
      <c r="AA33" s="86" t="s">
        <v>135</v>
      </c>
      <c r="AB33" s="86" t="s">
        <v>136</v>
      </c>
      <c r="AC33" s="86" t="s">
        <v>137</v>
      </c>
      <c r="AD33" s="86" t="s">
        <v>138</v>
      </c>
      <c r="AE33" s="31"/>
    </row>
    <row r="34" spans="2:31" ht="13.15" customHeight="1" x14ac:dyDescent="0.25">
      <c r="B34" s="81"/>
      <c r="C34" s="50" t="s">
        <v>66</v>
      </c>
      <c r="D34" s="64">
        <f>'Overview IB'!D49</f>
        <v>0</v>
      </c>
      <c r="E34" s="64">
        <f>'Overview IB'!E49</f>
        <v>0</v>
      </c>
      <c r="F34" s="132">
        <f>'Overview IB'!I49</f>
        <v>0</v>
      </c>
      <c r="G34" s="132">
        <f>'Overview IB'!J49</f>
        <v>0</v>
      </c>
      <c r="H34" s="132">
        <f>'Overview IB'!K49</f>
        <v>0</v>
      </c>
      <c r="I34" s="132">
        <f>'Overview IB'!L49</f>
        <v>0</v>
      </c>
      <c r="J34" s="132">
        <f>'Overview IB'!M49</f>
        <v>0</v>
      </c>
      <c r="K34" s="132">
        <f>'Overview IB'!N49</f>
        <v>0</v>
      </c>
      <c r="L34" s="132">
        <f>'Overview IB'!O49</f>
        <v>0</v>
      </c>
      <c r="M34" s="132">
        <f>'Overview IB'!P49</f>
        <v>0</v>
      </c>
      <c r="N34" s="132">
        <f>'Overview IB'!Q49</f>
        <v>0</v>
      </c>
      <c r="O34" s="132">
        <f>'Overview IB'!R49</f>
        <v>0</v>
      </c>
      <c r="P34" s="32"/>
      <c r="Q34" s="64">
        <f>SUM(Q35:Q39)</f>
        <v>0</v>
      </c>
      <c r="R34" s="64">
        <f>SUM(R35:R39)</f>
        <v>0</v>
      </c>
      <c r="S34" s="157">
        <f t="shared" si="1"/>
        <v>0</v>
      </c>
      <c r="T34" s="168"/>
      <c r="U34" s="64">
        <f>SUM(U35:U39)</f>
        <v>0</v>
      </c>
      <c r="V34" s="64">
        <f t="shared" ref="V34:AD34" si="2">SUM(V35:V39)</f>
        <v>0</v>
      </c>
      <c r="W34" s="64">
        <f t="shared" si="2"/>
        <v>0</v>
      </c>
      <c r="X34" s="64">
        <f t="shared" si="2"/>
        <v>0</v>
      </c>
      <c r="Y34" s="64">
        <f t="shared" si="2"/>
        <v>0</v>
      </c>
      <c r="Z34" s="64">
        <f t="shared" si="2"/>
        <v>0</v>
      </c>
      <c r="AA34" s="64">
        <f t="shared" si="2"/>
        <v>0</v>
      </c>
      <c r="AB34" s="64">
        <f t="shared" si="2"/>
        <v>0</v>
      </c>
      <c r="AC34" s="64">
        <f t="shared" si="2"/>
        <v>0</v>
      </c>
      <c r="AD34" s="64">
        <f t="shared" si="2"/>
        <v>0</v>
      </c>
      <c r="AE34" s="31"/>
    </row>
    <row r="35" spans="2:31" x14ac:dyDescent="0.25">
      <c r="B35" s="81"/>
      <c r="C35" s="52" t="s">
        <v>39</v>
      </c>
      <c r="D35" s="132">
        <f>'Overview IB'!D50</f>
        <v>0</v>
      </c>
      <c r="E35" s="132">
        <f>'Overview IB'!E50</f>
        <v>0</v>
      </c>
      <c r="F35" s="132">
        <f>'Overview IB'!I50</f>
        <v>0</v>
      </c>
      <c r="G35" s="132">
        <f>'Overview IB'!J50</f>
        <v>0</v>
      </c>
      <c r="H35" s="132">
        <f>'Overview IB'!K50</f>
        <v>0</v>
      </c>
      <c r="I35" s="132">
        <f>'Overview IB'!L50</f>
        <v>0</v>
      </c>
      <c r="J35" s="132">
        <f>'Overview IB'!M50</f>
        <v>0</v>
      </c>
      <c r="K35" s="132">
        <f>'Overview IB'!N50</f>
        <v>0</v>
      </c>
      <c r="L35" s="132">
        <f>'Overview IB'!O50</f>
        <v>0</v>
      </c>
      <c r="M35" s="132">
        <f>'Overview IB'!P50</f>
        <v>0</v>
      </c>
      <c r="N35" s="132">
        <f>'Overview IB'!Q50</f>
        <v>0</v>
      </c>
      <c r="O35" s="132">
        <f>'Overview IB'!R50</f>
        <v>0</v>
      </c>
      <c r="P35" s="156"/>
      <c r="Q35" s="132">
        <f t="shared" ref="Q35:Q60" si="3">SUM(U35:AD35)</f>
        <v>0</v>
      </c>
      <c r="R35" s="103"/>
      <c r="S35" s="157">
        <f t="shared" si="1"/>
        <v>0</v>
      </c>
      <c r="T35" s="168"/>
      <c r="U35" s="133"/>
      <c r="V35" s="133"/>
      <c r="W35" s="133"/>
      <c r="X35" s="133"/>
      <c r="Y35" s="133"/>
      <c r="Z35" s="133"/>
      <c r="AA35" s="133"/>
      <c r="AB35" s="133"/>
      <c r="AC35" s="133"/>
      <c r="AD35" s="133"/>
      <c r="AE35" s="31"/>
    </row>
    <row r="36" spans="2:31" x14ac:dyDescent="0.25">
      <c r="B36" s="81"/>
      <c r="C36" s="52" t="s">
        <v>40</v>
      </c>
      <c r="D36" s="132">
        <f>'Overview IB'!D51</f>
        <v>0</v>
      </c>
      <c r="E36" s="132">
        <f>'Overview IB'!E51</f>
        <v>0</v>
      </c>
      <c r="F36" s="132">
        <f>'Overview IB'!I51</f>
        <v>0</v>
      </c>
      <c r="G36" s="132">
        <f>'Overview IB'!J51</f>
        <v>0</v>
      </c>
      <c r="H36" s="132">
        <f>'Overview IB'!K51</f>
        <v>0</v>
      </c>
      <c r="I36" s="132">
        <f>'Overview IB'!L51</f>
        <v>0</v>
      </c>
      <c r="J36" s="132">
        <f>'Overview IB'!M51</f>
        <v>0</v>
      </c>
      <c r="K36" s="132">
        <f>'Overview IB'!N51</f>
        <v>0</v>
      </c>
      <c r="L36" s="132">
        <f>'Overview IB'!O51</f>
        <v>0</v>
      </c>
      <c r="M36" s="132">
        <f>'Overview IB'!P51</f>
        <v>0</v>
      </c>
      <c r="N36" s="132">
        <f>'Overview IB'!Q51</f>
        <v>0</v>
      </c>
      <c r="O36" s="132">
        <f>'Overview IB'!R51</f>
        <v>0</v>
      </c>
      <c r="P36" s="156"/>
      <c r="Q36" s="132">
        <f t="shared" si="3"/>
        <v>0</v>
      </c>
      <c r="R36" s="103"/>
      <c r="S36" s="157">
        <f t="shared" si="1"/>
        <v>0</v>
      </c>
      <c r="T36" s="168"/>
      <c r="U36" s="133"/>
      <c r="V36" s="133"/>
      <c r="W36" s="133"/>
      <c r="X36" s="133"/>
      <c r="Y36" s="133"/>
      <c r="Z36" s="133"/>
      <c r="AA36" s="133"/>
      <c r="AB36" s="133"/>
      <c r="AC36" s="133"/>
      <c r="AD36" s="133"/>
      <c r="AE36" s="31"/>
    </row>
    <row r="37" spans="2:31" x14ac:dyDescent="0.25">
      <c r="B37" s="81"/>
      <c r="C37" s="52" t="s">
        <v>41</v>
      </c>
      <c r="D37" s="132">
        <f>'Overview IB'!D52</f>
        <v>0</v>
      </c>
      <c r="E37" s="132">
        <f>'Overview IB'!E52</f>
        <v>0</v>
      </c>
      <c r="F37" s="132">
        <f>'Overview IB'!I52</f>
        <v>0</v>
      </c>
      <c r="G37" s="132">
        <f>'Overview IB'!J52</f>
        <v>0</v>
      </c>
      <c r="H37" s="132">
        <f>'Overview IB'!K52</f>
        <v>0</v>
      </c>
      <c r="I37" s="132">
        <f>'Overview IB'!L52</f>
        <v>0</v>
      </c>
      <c r="J37" s="132">
        <f>'Overview IB'!M52</f>
        <v>0</v>
      </c>
      <c r="K37" s="132">
        <f>'Overview IB'!N52</f>
        <v>0</v>
      </c>
      <c r="L37" s="132">
        <f>'Overview IB'!O52</f>
        <v>0</v>
      </c>
      <c r="M37" s="132">
        <f>'Overview IB'!P52</f>
        <v>0</v>
      </c>
      <c r="N37" s="132">
        <f>'Overview IB'!Q52</f>
        <v>0</v>
      </c>
      <c r="O37" s="132">
        <f>'Overview IB'!R52</f>
        <v>0</v>
      </c>
      <c r="P37" s="156"/>
      <c r="Q37" s="132">
        <f t="shared" si="3"/>
        <v>0</v>
      </c>
      <c r="R37" s="103"/>
      <c r="S37" s="157">
        <f t="shared" si="1"/>
        <v>0</v>
      </c>
      <c r="T37" s="168"/>
      <c r="U37" s="133"/>
      <c r="V37" s="133"/>
      <c r="W37" s="133"/>
      <c r="X37" s="133"/>
      <c r="Y37" s="133"/>
      <c r="Z37" s="133"/>
      <c r="AA37" s="133"/>
      <c r="AB37" s="133"/>
      <c r="AC37" s="133"/>
      <c r="AD37" s="133"/>
      <c r="AE37" s="31"/>
    </row>
    <row r="38" spans="2:31" x14ac:dyDescent="0.25">
      <c r="B38" s="81"/>
      <c r="C38" s="52" t="s">
        <v>42</v>
      </c>
      <c r="D38" s="132">
        <f>'Overview IB'!D53</f>
        <v>0</v>
      </c>
      <c r="E38" s="132">
        <f>'Overview IB'!E53</f>
        <v>0</v>
      </c>
      <c r="F38" s="132">
        <f>'Overview IB'!I53</f>
        <v>0</v>
      </c>
      <c r="G38" s="132">
        <f>'Overview IB'!J53</f>
        <v>0</v>
      </c>
      <c r="H38" s="132">
        <f>'Overview IB'!K53</f>
        <v>0</v>
      </c>
      <c r="I38" s="132">
        <f>'Overview IB'!L53</f>
        <v>0</v>
      </c>
      <c r="J38" s="132">
        <f>'Overview IB'!M53</f>
        <v>0</v>
      </c>
      <c r="K38" s="132">
        <f>'Overview IB'!N53</f>
        <v>0</v>
      </c>
      <c r="L38" s="132">
        <f>'Overview IB'!O53</f>
        <v>0</v>
      </c>
      <c r="M38" s="132">
        <f>'Overview IB'!P53</f>
        <v>0</v>
      </c>
      <c r="N38" s="132">
        <f>'Overview IB'!Q53</f>
        <v>0</v>
      </c>
      <c r="O38" s="132">
        <f>'Overview IB'!R53</f>
        <v>0</v>
      </c>
      <c r="P38" s="156"/>
      <c r="Q38" s="132">
        <f t="shared" si="3"/>
        <v>0</v>
      </c>
      <c r="R38" s="103"/>
      <c r="S38" s="157">
        <f t="shared" si="1"/>
        <v>0</v>
      </c>
      <c r="T38" s="168"/>
      <c r="U38" s="133"/>
      <c r="V38" s="133"/>
      <c r="W38" s="133"/>
      <c r="X38" s="133"/>
      <c r="Y38" s="133"/>
      <c r="Z38" s="133"/>
      <c r="AA38" s="133"/>
      <c r="AB38" s="133"/>
      <c r="AC38" s="133"/>
      <c r="AD38" s="133"/>
      <c r="AE38" s="31"/>
    </row>
    <row r="39" spans="2:31" x14ac:dyDescent="0.25">
      <c r="B39" s="81"/>
      <c r="C39" s="52" t="s">
        <v>43</v>
      </c>
      <c r="D39" s="132">
        <f>'Overview IB'!D54</f>
        <v>0</v>
      </c>
      <c r="E39" s="132">
        <f>'Overview IB'!E54</f>
        <v>0</v>
      </c>
      <c r="F39" s="132">
        <f>'Overview IB'!I54</f>
        <v>0</v>
      </c>
      <c r="G39" s="132">
        <f>'Overview IB'!J54</f>
        <v>0</v>
      </c>
      <c r="H39" s="132">
        <f>'Overview IB'!K54</f>
        <v>0</v>
      </c>
      <c r="I39" s="132">
        <f>'Overview IB'!L54</f>
        <v>0</v>
      </c>
      <c r="J39" s="132">
        <f>'Overview IB'!M54</f>
        <v>0</v>
      </c>
      <c r="K39" s="132">
        <f>'Overview IB'!N54</f>
        <v>0</v>
      </c>
      <c r="L39" s="132">
        <f>'Overview IB'!O54</f>
        <v>0</v>
      </c>
      <c r="M39" s="132">
        <f>'Overview IB'!P54</f>
        <v>0</v>
      </c>
      <c r="N39" s="132">
        <f>'Overview IB'!Q54</f>
        <v>0</v>
      </c>
      <c r="O39" s="132">
        <f>'Overview IB'!R54</f>
        <v>0</v>
      </c>
      <c r="P39" s="156"/>
      <c r="Q39" s="132">
        <f t="shared" si="3"/>
        <v>0</v>
      </c>
      <c r="R39" s="103"/>
      <c r="S39" s="157">
        <f t="shared" si="1"/>
        <v>0</v>
      </c>
      <c r="T39" s="168"/>
      <c r="U39" s="133"/>
      <c r="V39" s="133"/>
      <c r="W39" s="133"/>
      <c r="X39" s="133"/>
      <c r="Y39" s="133"/>
      <c r="Z39" s="133"/>
      <c r="AA39" s="133"/>
      <c r="AB39" s="133"/>
      <c r="AC39" s="133"/>
      <c r="AD39" s="133"/>
      <c r="AE39" s="31"/>
    </row>
    <row r="40" spans="2:31" x14ac:dyDescent="0.25">
      <c r="B40" s="81"/>
      <c r="C40" s="50" t="s">
        <v>67</v>
      </c>
      <c r="D40" s="64">
        <f>'Overview IB'!D55</f>
        <v>0</v>
      </c>
      <c r="E40" s="64">
        <f>'Overview IB'!E55</f>
        <v>0</v>
      </c>
      <c r="F40" s="132">
        <f>'Overview IB'!I55</f>
        <v>0</v>
      </c>
      <c r="G40" s="132">
        <f>'Overview IB'!J55</f>
        <v>0</v>
      </c>
      <c r="H40" s="132">
        <f>'Overview IB'!K55</f>
        <v>0</v>
      </c>
      <c r="I40" s="132">
        <f>'Overview IB'!L55</f>
        <v>0</v>
      </c>
      <c r="J40" s="132">
        <f>'Overview IB'!M55</f>
        <v>0</v>
      </c>
      <c r="K40" s="132">
        <f>'Overview IB'!N55</f>
        <v>0</v>
      </c>
      <c r="L40" s="132">
        <f>'Overview IB'!O55</f>
        <v>0</v>
      </c>
      <c r="M40" s="132">
        <f>'Overview IB'!P55</f>
        <v>0</v>
      </c>
      <c r="N40" s="132">
        <f>'Overview IB'!Q55</f>
        <v>0</v>
      </c>
      <c r="O40" s="132">
        <f>'Overview IB'!R55</f>
        <v>0</v>
      </c>
      <c r="P40" s="32"/>
      <c r="Q40" s="64">
        <f t="shared" si="3"/>
        <v>0</v>
      </c>
      <c r="R40" s="103"/>
      <c r="S40" s="157">
        <f t="shared" si="1"/>
        <v>0</v>
      </c>
      <c r="T40" s="168"/>
      <c r="U40" s="66"/>
      <c r="V40" s="66"/>
      <c r="W40" s="66"/>
      <c r="X40" s="66"/>
      <c r="Y40" s="66"/>
      <c r="Z40" s="66"/>
      <c r="AA40" s="66"/>
      <c r="AB40" s="66"/>
      <c r="AC40" s="66"/>
      <c r="AD40" s="66"/>
      <c r="AE40" s="31"/>
    </row>
    <row r="41" spans="2:31" x14ac:dyDescent="0.25">
      <c r="B41" s="81"/>
      <c r="C41" s="50" t="s">
        <v>68</v>
      </c>
      <c r="D41" s="64">
        <f>'Overview IB'!D56</f>
        <v>0</v>
      </c>
      <c r="E41" s="64">
        <f>'Overview IB'!E56</f>
        <v>0</v>
      </c>
      <c r="F41" s="132">
        <f>'Overview IB'!I56</f>
        <v>0</v>
      </c>
      <c r="G41" s="132">
        <f>'Overview IB'!J56</f>
        <v>0</v>
      </c>
      <c r="H41" s="132">
        <f>'Overview IB'!K56</f>
        <v>0</v>
      </c>
      <c r="I41" s="132">
        <f>'Overview IB'!L56</f>
        <v>0</v>
      </c>
      <c r="J41" s="132">
        <f>'Overview IB'!M56</f>
        <v>0</v>
      </c>
      <c r="K41" s="132">
        <f>'Overview IB'!N56</f>
        <v>0</v>
      </c>
      <c r="L41" s="132">
        <f>'Overview IB'!O56</f>
        <v>0</v>
      </c>
      <c r="M41" s="132">
        <f>'Overview IB'!P56</f>
        <v>0</v>
      </c>
      <c r="N41" s="132">
        <f>'Overview IB'!Q56</f>
        <v>0</v>
      </c>
      <c r="O41" s="132">
        <f>'Overview IB'!R56</f>
        <v>0</v>
      </c>
      <c r="P41" s="32"/>
      <c r="Q41" s="64">
        <f t="shared" si="3"/>
        <v>0</v>
      </c>
      <c r="R41" s="103"/>
      <c r="S41" s="157">
        <f t="shared" si="1"/>
        <v>0</v>
      </c>
      <c r="T41" s="168"/>
      <c r="U41" s="66"/>
      <c r="V41" s="66"/>
      <c r="W41" s="66"/>
      <c r="X41" s="66"/>
      <c r="Y41" s="66"/>
      <c r="Z41" s="66"/>
      <c r="AA41" s="66"/>
      <c r="AB41" s="66"/>
      <c r="AC41" s="66"/>
      <c r="AD41" s="66"/>
      <c r="AE41" s="31"/>
    </row>
    <row r="42" spans="2:31" x14ac:dyDescent="0.25">
      <c r="B42" s="81"/>
      <c r="C42" s="50" t="s">
        <v>25</v>
      </c>
      <c r="D42" s="64">
        <f>'Overview IB'!D57</f>
        <v>0</v>
      </c>
      <c r="E42" s="64">
        <f>'Overview IB'!E57</f>
        <v>0</v>
      </c>
      <c r="F42" s="132">
        <f>'Overview IB'!I57</f>
        <v>0</v>
      </c>
      <c r="G42" s="132">
        <f>'Overview IB'!J57</f>
        <v>0</v>
      </c>
      <c r="H42" s="132">
        <f>'Overview IB'!K57</f>
        <v>0</v>
      </c>
      <c r="I42" s="132">
        <f>'Overview IB'!L57</f>
        <v>0</v>
      </c>
      <c r="J42" s="132">
        <f>'Overview IB'!M57</f>
        <v>0</v>
      </c>
      <c r="K42" s="132">
        <f>'Overview IB'!N57</f>
        <v>0</v>
      </c>
      <c r="L42" s="132">
        <f>'Overview IB'!O57</f>
        <v>0</v>
      </c>
      <c r="M42" s="132">
        <f>'Overview IB'!P57</f>
        <v>0</v>
      </c>
      <c r="N42" s="132">
        <f>'Overview IB'!Q57</f>
        <v>0</v>
      </c>
      <c r="O42" s="132">
        <f>'Overview IB'!R57</f>
        <v>0</v>
      </c>
      <c r="P42" s="32"/>
      <c r="Q42" s="64">
        <f t="shared" si="3"/>
        <v>0</v>
      </c>
      <c r="R42" s="103"/>
      <c r="S42" s="157">
        <f t="shared" si="1"/>
        <v>0</v>
      </c>
      <c r="T42" s="168"/>
      <c r="U42" s="66"/>
      <c r="V42" s="66"/>
      <c r="W42" s="66"/>
      <c r="X42" s="66"/>
      <c r="Y42" s="66"/>
      <c r="Z42" s="66"/>
      <c r="AA42" s="66"/>
      <c r="AB42" s="66"/>
      <c r="AC42" s="66"/>
      <c r="AD42" s="66"/>
      <c r="AE42" s="31"/>
    </row>
    <row r="43" spans="2:31" ht="33" customHeight="1" x14ac:dyDescent="0.25">
      <c r="B43" s="81"/>
      <c r="C43" s="50" t="s">
        <v>117</v>
      </c>
      <c r="D43" s="64">
        <f>'Overview IB'!D58</f>
        <v>0</v>
      </c>
      <c r="E43" s="64">
        <f>'Overview IB'!E58</f>
        <v>0</v>
      </c>
      <c r="F43" s="132">
        <f>'Overview IB'!I58</f>
        <v>0</v>
      </c>
      <c r="G43" s="132">
        <f>'Overview IB'!J58</f>
        <v>0</v>
      </c>
      <c r="H43" s="132">
        <f>'Overview IB'!K58</f>
        <v>0</v>
      </c>
      <c r="I43" s="132">
        <f>'Overview IB'!L58</f>
        <v>0</v>
      </c>
      <c r="J43" s="132">
        <f>'Overview IB'!M58</f>
        <v>0</v>
      </c>
      <c r="K43" s="132">
        <f>'Overview IB'!N58</f>
        <v>0</v>
      </c>
      <c r="L43" s="132">
        <f>'Overview IB'!O58</f>
        <v>0</v>
      </c>
      <c r="M43" s="132">
        <f>'Overview IB'!P58</f>
        <v>0</v>
      </c>
      <c r="N43" s="132">
        <f>'Overview IB'!Q58</f>
        <v>0</v>
      </c>
      <c r="O43" s="132">
        <f>'Overview IB'!R58</f>
        <v>0</v>
      </c>
      <c r="P43" s="32"/>
      <c r="Q43" s="64">
        <f t="shared" si="3"/>
        <v>0</v>
      </c>
      <c r="R43" s="103"/>
      <c r="S43" s="157">
        <f t="shared" si="1"/>
        <v>0</v>
      </c>
      <c r="T43" s="168"/>
      <c r="U43" s="66"/>
      <c r="V43" s="66"/>
      <c r="W43" s="66"/>
      <c r="X43" s="66"/>
      <c r="Y43" s="66"/>
      <c r="Z43" s="66"/>
      <c r="AA43" s="66"/>
      <c r="AB43" s="66"/>
      <c r="AC43" s="66"/>
      <c r="AD43" s="66"/>
      <c r="AE43" s="31"/>
    </row>
    <row r="44" spans="2:31" ht="33" customHeight="1" x14ac:dyDescent="0.25">
      <c r="B44" s="81"/>
      <c r="C44" s="52" t="s">
        <v>118</v>
      </c>
      <c r="D44" s="132">
        <f>'Overview IB'!D59</f>
        <v>0</v>
      </c>
      <c r="E44" s="132">
        <f>'Overview IB'!E59</f>
        <v>0</v>
      </c>
      <c r="F44" s="132">
        <f>'Overview IB'!I59</f>
        <v>0</v>
      </c>
      <c r="G44" s="132">
        <f>'Overview IB'!J59</f>
        <v>0</v>
      </c>
      <c r="H44" s="132">
        <f>'Overview IB'!K59</f>
        <v>0</v>
      </c>
      <c r="I44" s="132">
        <f>'Overview IB'!L59</f>
        <v>0</v>
      </c>
      <c r="J44" s="132">
        <f>'Overview IB'!M59</f>
        <v>0</v>
      </c>
      <c r="K44" s="132">
        <f>'Overview IB'!N59</f>
        <v>0</v>
      </c>
      <c r="L44" s="132">
        <f>'Overview IB'!O59</f>
        <v>0</v>
      </c>
      <c r="M44" s="132">
        <f>'Overview IB'!P59</f>
        <v>0</v>
      </c>
      <c r="N44" s="132">
        <f>'Overview IB'!Q59</f>
        <v>0</v>
      </c>
      <c r="O44" s="132">
        <f>'Overview IB'!R59</f>
        <v>0</v>
      </c>
      <c r="P44" s="156"/>
      <c r="Q44" s="132">
        <f t="shared" si="3"/>
        <v>0</v>
      </c>
      <c r="R44" s="103"/>
      <c r="S44" s="157">
        <f t="shared" si="1"/>
        <v>0</v>
      </c>
      <c r="T44" s="168"/>
      <c r="U44" s="133"/>
      <c r="V44" s="133"/>
      <c r="W44" s="133"/>
      <c r="X44" s="133"/>
      <c r="Y44" s="133"/>
      <c r="Z44" s="133"/>
      <c r="AA44" s="133"/>
      <c r="AB44" s="133"/>
      <c r="AC44" s="133"/>
      <c r="AD44" s="133"/>
      <c r="AE44" s="31"/>
    </row>
    <row r="45" spans="2:31" x14ac:dyDescent="0.25">
      <c r="B45" s="81"/>
      <c r="C45" s="52" t="s">
        <v>57</v>
      </c>
      <c r="D45" s="132">
        <f>'Overview IB'!D60</f>
        <v>0</v>
      </c>
      <c r="E45" s="132">
        <f>'Overview IB'!E60</f>
        <v>0</v>
      </c>
      <c r="F45" s="132">
        <f>'Overview IB'!I60</f>
        <v>0</v>
      </c>
      <c r="G45" s="132">
        <f>'Overview IB'!J60</f>
        <v>0</v>
      </c>
      <c r="H45" s="132">
        <f>'Overview IB'!K60</f>
        <v>0</v>
      </c>
      <c r="I45" s="132">
        <f>'Overview IB'!L60</f>
        <v>0</v>
      </c>
      <c r="J45" s="132">
        <f>'Overview IB'!M60</f>
        <v>0</v>
      </c>
      <c r="K45" s="132">
        <f>'Overview IB'!N60</f>
        <v>0</v>
      </c>
      <c r="L45" s="132">
        <f>'Overview IB'!O60</f>
        <v>0</v>
      </c>
      <c r="M45" s="132">
        <f>'Overview IB'!P60</f>
        <v>0</v>
      </c>
      <c r="N45" s="132">
        <f>'Overview IB'!Q60</f>
        <v>0</v>
      </c>
      <c r="O45" s="132">
        <f>'Overview IB'!R60</f>
        <v>0</v>
      </c>
      <c r="P45" s="156"/>
      <c r="Q45" s="132">
        <f t="shared" si="3"/>
        <v>0</v>
      </c>
      <c r="R45" s="103"/>
      <c r="S45" s="157">
        <f t="shared" si="1"/>
        <v>0</v>
      </c>
      <c r="T45" s="168"/>
      <c r="U45" s="133"/>
      <c r="V45" s="133"/>
      <c r="W45" s="133"/>
      <c r="X45" s="133"/>
      <c r="Y45" s="133"/>
      <c r="Z45" s="133"/>
      <c r="AA45" s="133"/>
      <c r="AB45" s="133"/>
      <c r="AC45" s="133"/>
      <c r="AD45" s="133"/>
      <c r="AE45" s="31"/>
    </row>
    <row r="46" spans="2:31" x14ac:dyDescent="0.25">
      <c r="B46" s="81"/>
      <c r="C46" s="50" t="s">
        <v>44</v>
      </c>
      <c r="D46" s="64">
        <f>'Overview IB'!D61</f>
        <v>0</v>
      </c>
      <c r="E46" s="64">
        <f>'Overview IB'!E61</f>
        <v>0</v>
      </c>
      <c r="F46" s="132">
        <f>'Overview IB'!I61</f>
        <v>0</v>
      </c>
      <c r="G46" s="132">
        <f>'Overview IB'!J61</f>
        <v>0</v>
      </c>
      <c r="H46" s="132">
        <f>'Overview IB'!K61</f>
        <v>0</v>
      </c>
      <c r="I46" s="132">
        <f>'Overview IB'!L61</f>
        <v>0</v>
      </c>
      <c r="J46" s="132">
        <f>'Overview IB'!M61</f>
        <v>0</v>
      </c>
      <c r="K46" s="132">
        <f>'Overview IB'!N61</f>
        <v>0</v>
      </c>
      <c r="L46" s="132">
        <f>'Overview IB'!O61</f>
        <v>0</v>
      </c>
      <c r="M46" s="132">
        <f>'Overview IB'!P61</f>
        <v>0</v>
      </c>
      <c r="N46" s="132">
        <f>'Overview IB'!Q61</f>
        <v>0</v>
      </c>
      <c r="O46" s="132">
        <f>'Overview IB'!R61</f>
        <v>0</v>
      </c>
      <c r="P46" s="32"/>
      <c r="Q46" s="64">
        <f t="shared" si="3"/>
        <v>0</v>
      </c>
      <c r="R46" s="103"/>
      <c r="S46" s="157">
        <f t="shared" si="1"/>
        <v>0</v>
      </c>
      <c r="T46" s="168"/>
      <c r="U46" s="66"/>
      <c r="V46" s="66"/>
      <c r="W46" s="66"/>
      <c r="X46" s="66"/>
      <c r="Y46" s="66"/>
      <c r="Z46" s="66"/>
      <c r="AA46" s="66"/>
      <c r="AB46" s="66"/>
      <c r="AC46" s="66"/>
      <c r="AD46" s="66"/>
      <c r="AE46" s="31"/>
    </row>
    <row r="47" spans="2:31" ht="33" customHeight="1" x14ac:dyDescent="0.25">
      <c r="B47" s="81"/>
      <c r="C47" s="52" t="s">
        <v>81</v>
      </c>
      <c r="D47" s="132">
        <f>'Overview IB'!D62</f>
        <v>0</v>
      </c>
      <c r="E47" s="132">
        <f>'Overview IB'!E62</f>
        <v>0</v>
      </c>
      <c r="F47" s="132">
        <f>'Overview IB'!I62</f>
        <v>0</v>
      </c>
      <c r="G47" s="132">
        <f>'Overview IB'!J62</f>
        <v>0</v>
      </c>
      <c r="H47" s="132">
        <f>'Overview IB'!K62</f>
        <v>0</v>
      </c>
      <c r="I47" s="132">
        <f>'Overview IB'!L62</f>
        <v>0</v>
      </c>
      <c r="J47" s="132">
        <f>'Overview IB'!M62</f>
        <v>0</v>
      </c>
      <c r="K47" s="132">
        <f>'Overview IB'!N62</f>
        <v>0</v>
      </c>
      <c r="L47" s="132">
        <f>'Overview IB'!O62</f>
        <v>0</v>
      </c>
      <c r="M47" s="132">
        <f>'Overview IB'!P62</f>
        <v>0</v>
      </c>
      <c r="N47" s="132">
        <f>'Overview IB'!Q62</f>
        <v>0</v>
      </c>
      <c r="O47" s="132">
        <f>'Overview IB'!R62</f>
        <v>0</v>
      </c>
      <c r="P47" s="156"/>
      <c r="Q47" s="132">
        <f t="shared" si="3"/>
        <v>0</v>
      </c>
      <c r="R47" s="103"/>
      <c r="S47" s="157">
        <f t="shared" si="1"/>
        <v>0</v>
      </c>
      <c r="T47" s="168"/>
      <c r="U47" s="133"/>
      <c r="V47" s="133"/>
      <c r="W47" s="133"/>
      <c r="X47" s="133"/>
      <c r="Y47" s="133"/>
      <c r="Z47" s="133"/>
      <c r="AA47" s="133"/>
      <c r="AB47" s="133"/>
      <c r="AC47" s="133"/>
      <c r="AD47" s="133"/>
      <c r="AE47" s="31"/>
    </row>
    <row r="48" spans="2:31" ht="45" x14ac:dyDescent="0.25">
      <c r="B48" s="81"/>
      <c r="C48" s="8" t="s">
        <v>147</v>
      </c>
      <c r="D48" s="152" t="s">
        <v>72</v>
      </c>
      <c r="E48" s="152" t="s">
        <v>125</v>
      </c>
      <c r="F48" s="86" t="s">
        <v>129</v>
      </c>
      <c r="G48" s="86" t="s">
        <v>130</v>
      </c>
      <c r="H48" s="86" t="s">
        <v>131</v>
      </c>
      <c r="I48" s="86" t="s">
        <v>132</v>
      </c>
      <c r="J48" s="86" t="s">
        <v>133</v>
      </c>
      <c r="K48" s="86" t="s">
        <v>134</v>
      </c>
      <c r="L48" s="86" t="s">
        <v>135</v>
      </c>
      <c r="M48" s="86" t="s">
        <v>136</v>
      </c>
      <c r="N48" s="86" t="s">
        <v>137</v>
      </c>
      <c r="O48" s="86" t="s">
        <v>138</v>
      </c>
      <c r="P48" s="32"/>
      <c r="Q48" s="85" t="s">
        <v>29</v>
      </c>
      <c r="R48" s="85" t="s">
        <v>124</v>
      </c>
      <c r="S48" s="76" t="s">
        <v>8</v>
      </c>
      <c r="T48" s="8" t="s">
        <v>61</v>
      </c>
      <c r="U48" s="86" t="s">
        <v>129</v>
      </c>
      <c r="V48" s="86" t="s">
        <v>130</v>
      </c>
      <c r="W48" s="86" t="s">
        <v>131</v>
      </c>
      <c r="X48" s="86" t="s">
        <v>132</v>
      </c>
      <c r="Y48" s="86" t="s">
        <v>133</v>
      </c>
      <c r="Z48" s="86" t="s">
        <v>134</v>
      </c>
      <c r="AA48" s="86" t="s">
        <v>135</v>
      </c>
      <c r="AB48" s="86" t="s">
        <v>136</v>
      </c>
      <c r="AC48" s="86" t="s">
        <v>137</v>
      </c>
      <c r="AD48" s="86" t="s">
        <v>138</v>
      </c>
      <c r="AE48" s="31"/>
    </row>
    <row r="49" spans="2:31" ht="30" customHeight="1" x14ac:dyDescent="0.25">
      <c r="B49" s="81"/>
      <c r="C49" s="50" t="s">
        <v>109</v>
      </c>
      <c r="D49" s="64">
        <f>'Overview IB'!D64</f>
        <v>0</v>
      </c>
      <c r="E49" s="64">
        <f>'Overview IB'!E64</f>
        <v>0</v>
      </c>
      <c r="F49" s="132">
        <f>'Overview IB'!I64</f>
        <v>0</v>
      </c>
      <c r="G49" s="132">
        <f>'Overview IB'!J64</f>
        <v>0</v>
      </c>
      <c r="H49" s="132">
        <f>'Overview IB'!K64</f>
        <v>0</v>
      </c>
      <c r="I49" s="132">
        <f>'Overview IB'!L64</f>
        <v>0</v>
      </c>
      <c r="J49" s="132">
        <f>'Overview IB'!M64</f>
        <v>0</v>
      </c>
      <c r="K49" s="132">
        <f>'Overview IB'!N64</f>
        <v>0</v>
      </c>
      <c r="L49" s="132">
        <f>'Overview IB'!O64</f>
        <v>0</v>
      </c>
      <c r="M49" s="132">
        <f>'Overview IB'!P64</f>
        <v>0</v>
      </c>
      <c r="N49" s="132">
        <f>'Overview IB'!Q64</f>
        <v>0</v>
      </c>
      <c r="O49" s="132">
        <f>'Overview IB'!R64</f>
        <v>0</v>
      </c>
      <c r="P49" s="104"/>
      <c r="Q49" s="64">
        <f t="shared" si="3"/>
        <v>0</v>
      </c>
      <c r="R49" s="103"/>
      <c r="S49" s="157">
        <f t="shared" si="1"/>
        <v>0</v>
      </c>
      <c r="T49" s="168"/>
      <c r="U49" s="66"/>
      <c r="V49" s="66"/>
      <c r="W49" s="66"/>
      <c r="X49" s="66"/>
      <c r="Y49" s="66"/>
      <c r="Z49" s="66"/>
      <c r="AA49" s="66"/>
      <c r="AB49" s="66"/>
      <c r="AC49" s="66"/>
      <c r="AD49" s="66"/>
      <c r="AE49" s="31"/>
    </row>
    <row r="50" spans="2:31" x14ac:dyDescent="0.25">
      <c r="B50" s="81"/>
      <c r="C50" s="49" t="s">
        <v>69</v>
      </c>
      <c r="D50" s="64">
        <f>'Overview IB'!D65</f>
        <v>0</v>
      </c>
      <c r="E50" s="64">
        <f>'Overview IB'!E65</f>
        <v>0</v>
      </c>
      <c r="F50" s="132">
        <f>'Overview IB'!I65</f>
        <v>0</v>
      </c>
      <c r="G50" s="132">
        <f>'Overview IB'!J65</f>
        <v>0</v>
      </c>
      <c r="H50" s="132">
        <f>'Overview IB'!K65</f>
        <v>0</v>
      </c>
      <c r="I50" s="132">
        <f>'Overview IB'!L65</f>
        <v>0</v>
      </c>
      <c r="J50" s="132">
        <f>'Overview IB'!M65</f>
        <v>0</v>
      </c>
      <c r="K50" s="132">
        <f>'Overview IB'!N65</f>
        <v>0</v>
      </c>
      <c r="L50" s="132">
        <f>'Overview IB'!O65</f>
        <v>0</v>
      </c>
      <c r="M50" s="132">
        <f>'Overview IB'!P65</f>
        <v>0</v>
      </c>
      <c r="N50" s="132">
        <f>'Overview IB'!Q65</f>
        <v>0</v>
      </c>
      <c r="O50" s="132">
        <f>'Overview IB'!R65</f>
        <v>0</v>
      </c>
      <c r="P50" s="104"/>
      <c r="Q50" s="64">
        <f t="shared" si="3"/>
        <v>0</v>
      </c>
      <c r="R50" s="103"/>
      <c r="S50" s="157">
        <f t="shared" si="1"/>
        <v>0</v>
      </c>
      <c r="T50" s="168"/>
      <c r="U50" s="66"/>
      <c r="V50" s="66"/>
      <c r="W50" s="66"/>
      <c r="X50" s="66"/>
      <c r="Y50" s="66"/>
      <c r="Z50" s="66"/>
      <c r="AA50" s="66"/>
      <c r="AB50" s="66"/>
      <c r="AC50" s="66"/>
      <c r="AD50" s="66"/>
      <c r="AE50" s="31"/>
    </row>
    <row r="51" spans="2:31" ht="13.15" customHeight="1" x14ac:dyDescent="0.25">
      <c r="B51" s="81"/>
      <c r="C51" s="52" t="s">
        <v>64</v>
      </c>
      <c r="D51" s="132">
        <f>'Overview IB'!D66</f>
        <v>0</v>
      </c>
      <c r="E51" s="132">
        <f>'Overview IB'!E66</f>
        <v>0</v>
      </c>
      <c r="F51" s="132">
        <f>'Overview IB'!I66</f>
        <v>0</v>
      </c>
      <c r="G51" s="132">
        <f>'Overview IB'!J66</f>
        <v>0</v>
      </c>
      <c r="H51" s="132">
        <f>'Overview IB'!K66</f>
        <v>0</v>
      </c>
      <c r="I51" s="132">
        <f>'Overview IB'!L66</f>
        <v>0</v>
      </c>
      <c r="J51" s="132">
        <f>'Overview IB'!M66</f>
        <v>0</v>
      </c>
      <c r="K51" s="132">
        <f>'Overview IB'!N66</f>
        <v>0</v>
      </c>
      <c r="L51" s="132">
        <f>'Overview IB'!O66</f>
        <v>0</v>
      </c>
      <c r="M51" s="132">
        <f>'Overview IB'!P66</f>
        <v>0</v>
      </c>
      <c r="N51" s="132">
        <f>'Overview IB'!Q66</f>
        <v>0</v>
      </c>
      <c r="O51" s="132">
        <f>'Overview IB'!R66</f>
        <v>0</v>
      </c>
      <c r="P51" s="102"/>
      <c r="Q51" s="132">
        <f t="shared" si="3"/>
        <v>0</v>
      </c>
      <c r="R51" s="103"/>
      <c r="S51" s="157">
        <f t="shared" si="1"/>
        <v>0</v>
      </c>
      <c r="T51" s="168"/>
      <c r="U51" s="133"/>
      <c r="V51" s="133"/>
      <c r="W51" s="133"/>
      <c r="X51" s="133"/>
      <c r="Y51" s="133"/>
      <c r="Z51" s="133"/>
      <c r="AA51" s="133"/>
      <c r="AB51" s="133"/>
      <c r="AC51" s="133"/>
      <c r="AD51" s="133"/>
      <c r="AE51" s="31"/>
    </row>
    <row r="52" spans="2:31" ht="14.65" customHeight="1" x14ac:dyDescent="0.25">
      <c r="B52" s="81"/>
      <c r="C52" s="49" t="s">
        <v>110</v>
      </c>
      <c r="D52" s="64">
        <f>'Overview IB'!D67</f>
        <v>0</v>
      </c>
      <c r="E52" s="64">
        <f>'Overview IB'!E67</f>
        <v>0</v>
      </c>
      <c r="F52" s="132">
        <f>'Overview IB'!I67</f>
        <v>0</v>
      </c>
      <c r="G52" s="132">
        <f>'Overview IB'!J67</f>
        <v>0</v>
      </c>
      <c r="H52" s="132">
        <f>'Overview IB'!K67</f>
        <v>0</v>
      </c>
      <c r="I52" s="132">
        <f>'Overview IB'!L67</f>
        <v>0</v>
      </c>
      <c r="J52" s="132">
        <f>'Overview IB'!M67</f>
        <v>0</v>
      </c>
      <c r="K52" s="132">
        <f>'Overview IB'!N67</f>
        <v>0</v>
      </c>
      <c r="L52" s="132">
        <f>'Overview IB'!O67</f>
        <v>0</v>
      </c>
      <c r="M52" s="132">
        <f>'Overview IB'!P67</f>
        <v>0</v>
      </c>
      <c r="N52" s="132">
        <f>'Overview IB'!Q67</f>
        <v>0</v>
      </c>
      <c r="O52" s="132">
        <f>'Overview IB'!R67</f>
        <v>0</v>
      </c>
      <c r="P52" s="104"/>
      <c r="Q52" s="64">
        <f t="shared" si="3"/>
        <v>0</v>
      </c>
      <c r="R52" s="103"/>
      <c r="S52" s="157">
        <f t="shared" si="1"/>
        <v>0</v>
      </c>
      <c r="T52" s="168"/>
      <c r="U52" s="66"/>
      <c r="V52" s="66"/>
      <c r="W52" s="66"/>
      <c r="X52" s="66"/>
      <c r="Y52" s="66"/>
      <c r="Z52" s="66"/>
      <c r="AA52" s="66"/>
      <c r="AB52" s="66"/>
      <c r="AC52" s="66"/>
      <c r="AD52" s="66"/>
      <c r="AE52" s="31"/>
    </row>
    <row r="53" spans="2:31" ht="13.15" customHeight="1" x14ac:dyDescent="0.25">
      <c r="B53" s="81"/>
      <c r="C53" s="49" t="s">
        <v>53</v>
      </c>
      <c r="D53" s="64">
        <f>'Overview IB'!D68</f>
        <v>0</v>
      </c>
      <c r="E53" s="64">
        <f>'Overview IB'!E68</f>
        <v>0</v>
      </c>
      <c r="F53" s="132">
        <f>'Overview IB'!I68</f>
        <v>0</v>
      </c>
      <c r="G53" s="132">
        <f>'Overview IB'!J68</f>
        <v>0</v>
      </c>
      <c r="H53" s="132">
        <f>'Overview IB'!K68</f>
        <v>0</v>
      </c>
      <c r="I53" s="132">
        <f>'Overview IB'!L68</f>
        <v>0</v>
      </c>
      <c r="J53" s="132">
        <f>'Overview IB'!M68</f>
        <v>0</v>
      </c>
      <c r="K53" s="132">
        <f>'Overview IB'!N68</f>
        <v>0</v>
      </c>
      <c r="L53" s="132">
        <f>'Overview IB'!O68</f>
        <v>0</v>
      </c>
      <c r="M53" s="132">
        <f>'Overview IB'!P68</f>
        <v>0</v>
      </c>
      <c r="N53" s="132">
        <f>'Overview IB'!Q68</f>
        <v>0</v>
      </c>
      <c r="O53" s="132">
        <f>'Overview IB'!R68</f>
        <v>0</v>
      </c>
      <c r="P53" s="104"/>
      <c r="Q53" s="64">
        <f t="shared" si="3"/>
        <v>0</v>
      </c>
      <c r="R53" s="103"/>
      <c r="S53" s="157">
        <f t="shared" si="1"/>
        <v>0</v>
      </c>
      <c r="T53" s="168"/>
      <c r="U53" s="66"/>
      <c r="V53" s="66"/>
      <c r="W53" s="66"/>
      <c r="X53" s="66"/>
      <c r="Y53" s="66"/>
      <c r="Z53" s="66"/>
      <c r="AA53" s="66"/>
      <c r="AB53" s="66"/>
      <c r="AC53" s="66"/>
      <c r="AD53" s="66"/>
      <c r="AE53" s="31"/>
    </row>
    <row r="54" spans="2:31" ht="33" customHeight="1" x14ac:dyDescent="0.25">
      <c r="B54" s="81"/>
      <c r="C54" s="52" t="s">
        <v>97</v>
      </c>
      <c r="D54" s="132">
        <f>'Overview IB'!D69</f>
        <v>0</v>
      </c>
      <c r="E54" s="132">
        <f>'Overview IB'!E69</f>
        <v>0</v>
      </c>
      <c r="F54" s="132">
        <f>'Overview IB'!I69</f>
        <v>0</v>
      </c>
      <c r="G54" s="132">
        <f>'Overview IB'!J69</f>
        <v>0</v>
      </c>
      <c r="H54" s="132">
        <f>'Overview IB'!K69</f>
        <v>0</v>
      </c>
      <c r="I54" s="132">
        <f>'Overview IB'!L69</f>
        <v>0</v>
      </c>
      <c r="J54" s="132">
        <f>'Overview IB'!M69</f>
        <v>0</v>
      </c>
      <c r="K54" s="132">
        <f>'Overview IB'!N69</f>
        <v>0</v>
      </c>
      <c r="L54" s="132">
        <f>'Overview IB'!O69</f>
        <v>0</v>
      </c>
      <c r="M54" s="132">
        <f>'Overview IB'!P69</f>
        <v>0</v>
      </c>
      <c r="N54" s="132">
        <f>'Overview IB'!Q69</f>
        <v>0</v>
      </c>
      <c r="O54" s="132">
        <f>'Overview IB'!R69</f>
        <v>0</v>
      </c>
      <c r="P54" s="100"/>
      <c r="Q54" s="132">
        <f t="shared" si="3"/>
        <v>0</v>
      </c>
      <c r="R54" s="103"/>
      <c r="S54" s="157">
        <f t="shared" si="1"/>
        <v>0</v>
      </c>
      <c r="T54" s="168"/>
      <c r="U54" s="133"/>
      <c r="V54" s="133"/>
      <c r="W54" s="133"/>
      <c r="X54" s="133"/>
      <c r="Y54" s="133"/>
      <c r="Z54" s="133"/>
      <c r="AA54" s="133"/>
      <c r="AB54" s="133"/>
      <c r="AC54" s="133"/>
      <c r="AD54" s="133"/>
      <c r="AE54" s="31"/>
    </row>
    <row r="55" spans="2:31" ht="13.15" customHeight="1" x14ac:dyDescent="0.25">
      <c r="B55" s="81"/>
      <c r="C55" s="52" t="s">
        <v>65</v>
      </c>
      <c r="D55" s="132">
        <f>'Overview IB'!D70</f>
        <v>0</v>
      </c>
      <c r="E55" s="132">
        <f>'Overview IB'!E70</f>
        <v>0</v>
      </c>
      <c r="F55" s="132">
        <f>'Overview IB'!I70</f>
        <v>0</v>
      </c>
      <c r="G55" s="132">
        <f>'Overview IB'!J70</f>
        <v>0</v>
      </c>
      <c r="H55" s="132">
        <f>'Overview IB'!K70</f>
        <v>0</v>
      </c>
      <c r="I55" s="132">
        <f>'Overview IB'!L70</f>
        <v>0</v>
      </c>
      <c r="J55" s="132">
        <f>'Overview IB'!M70</f>
        <v>0</v>
      </c>
      <c r="K55" s="132">
        <f>'Overview IB'!N70</f>
        <v>0</v>
      </c>
      <c r="L55" s="132">
        <f>'Overview IB'!O70</f>
        <v>0</v>
      </c>
      <c r="M55" s="132">
        <f>'Overview IB'!P70</f>
        <v>0</v>
      </c>
      <c r="N55" s="132">
        <f>'Overview IB'!Q70</f>
        <v>0</v>
      </c>
      <c r="O55" s="132">
        <f>'Overview IB'!R70</f>
        <v>0</v>
      </c>
      <c r="P55" s="100"/>
      <c r="Q55" s="132">
        <f t="shared" si="3"/>
        <v>0</v>
      </c>
      <c r="R55" s="103"/>
      <c r="S55" s="157">
        <f t="shared" si="1"/>
        <v>0</v>
      </c>
      <c r="T55" s="168"/>
      <c r="U55" s="133"/>
      <c r="V55" s="133"/>
      <c r="W55" s="133"/>
      <c r="X55" s="133"/>
      <c r="Y55" s="133"/>
      <c r="Z55" s="133"/>
      <c r="AA55" s="133"/>
      <c r="AB55" s="133"/>
      <c r="AC55" s="133"/>
      <c r="AD55" s="133"/>
      <c r="AE55" s="31"/>
    </row>
    <row r="56" spans="2:31" x14ac:dyDescent="0.25">
      <c r="B56" s="81"/>
      <c r="C56" s="82" t="s">
        <v>74</v>
      </c>
      <c r="D56" s="64">
        <f>'Overview IB'!D71</f>
        <v>0</v>
      </c>
      <c r="E56" s="64">
        <f>'Overview IB'!E71</f>
        <v>0</v>
      </c>
      <c r="F56" s="132">
        <f>'Overview IB'!I71</f>
        <v>0</v>
      </c>
      <c r="G56" s="132">
        <f>'Overview IB'!J71</f>
        <v>0</v>
      </c>
      <c r="H56" s="132">
        <f>'Overview IB'!K71</f>
        <v>0</v>
      </c>
      <c r="I56" s="132">
        <f>'Overview IB'!L71</f>
        <v>0</v>
      </c>
      <c r="J56" s="132">
        <f>'Overview IB'!M71</f>
        <v>0</v>
      </c>
      <c r="K56" s="132">
        <f>'Overview IB'!N71</f>
        <v>0</v>
      </c>
      <c r="L56" s="132">
        <f>'Overview IB'!O71</f>
        <v>0</v>
      </c>
      <c r="M56" s="132">
        <f>'Overview IB'!P71</f>
        <v>0</v>
      </c>
      <c r="N56" s="132">
        <f>'Overview IB'!Q71</f>
        <v>0</v>
      </c>
      <c r="O56" s="132">
        <f>'Overview IB'!R71</f>
        <v>0</v>
      </c>
      <c r="P56" s="91"/>
      <c r="Q56" s="64">
        <f t="shared" si="3"/>
        <v>0</v>
      </c>
      <c r="R56" s="103"/>
      <c r="S56" s="157">
        <f t="shared" si="1"/>
        <v>0</v>
      </c>
      <c r="T56" s="168"/>
      <c r="U56" s="66"/>
      <c r="V56" s="66"/>
      <c r="W56" s="66"/>
      <c r="X56" s="66"/>
      <c r="Y56" s="66"/>
      <c r="Z56" s="66"/>
      <c r="AA56" s="66"/>
      <c r="AB56" s="66"/>
      <c r="AC56" s="66"/>
      <c r="AD56" s="66"/>
      <c r="AE56" s="31"/>
    </row>
    <row r="57" spans="2:31" x14ac:dyDescent="0.25">
      <c r="B57" s="81"/>
      <c r="C57" s="52" t="s">
        <v>75</v>
      </c>
      <c r="D57" s="132">
        <f>'Overview IB'!D72</f>
        <v>0</v>
      </c>
      <c r="E57" s="132">
        <f>'Overview IB'!E72</f>
        <v>0</v>
      </c>
      <c r="F57" s="132">
        <f>'Overview IB'!I72</f>
        <v>0</v>
      </c>
      <c r="G57" s="132">
        <f>'Overview IB'!J72</f>
        <v>0</v>
      </c>
      <c r="H57" s="132">
        <f>'Overview IB'!K72</f>
        <v>0</v>
      </c>
      <c r="I57" s="132">
        <f>'Overview IB'!L72</f>
        <v>0</v>
      </c>
      <c r="J57" s="132">
        <f>'Overview IB'!M72</f>
        <v>0</v>
      </c>
      <c r="K57" s="132">
        <f>'Overview IB'!N72</f>
        <v>0</v>
      </c>
      <c r="L57" s="132">
        <f>'Overview IB'!O72</f>
        <v>0</v>
      </c>
      <c r="M57" s="132">
        <f>'Overview IB'!P72</f>
        <v>0</v>
      </c>
      <c r="N57" s="132">
        <f>'Overview IB'!Q72</f>
        <v>0</v>
      </c>
      <c r="O57" s="132">
        <f>'Overview IB'!R72</f>
        <v>0</v>
      </c>
      <c r="P57" s="100"/>
      <c r="Q57" s="132">
        <f t="shared" si="3"/>
        <v>0</v>
      </c>
      <c r="R57" s="103"/>
      <c r="S57" s="157">
        <f t="shared" si="1"/>
        <v>0</v>
      </c>
      <c r="T57" s="168"/>
      <c r="U57" s="133"/>
      <c r="V57" s="133"/>
      <c r="W57" s="133"/>
      <c r="X57" s="133"/>
      <c r="Y57" s="133"/>
      <c r="Z57" s="133"/>
      <c r="AA57" s="133"/>
      <c r="AB57" s="133"/>
      <c r="AC57" s="133"/>
      <c r="AD57" s="133"/>
      <c r="AE57" s="31"/>
    </row>
    <row r="58" spans="2:31" x14ac:dyDescent="0.25">
      <c r="B58" s="81"/>
      <c r="C58" s="52" t="s">
        <v>76</v>
      </c>
      <c r="D58" s="132">
        <f>'Overview IB'!D73</f>
        <v>0</v>
      </c>
      <c r="E58" s="132">
        <f>'Overview IB'!E73</f>
        <v>0</v>
      </c>
      <c r="F58" s="132">
        <f>'Overview IB'!I73</f>
        <v>0</v>
      </c>
      <c r="G58" s="132">
        <f>'Overview IB'!J73</f>
        <v>0</v>
      </c>
      <c r="H58" s="132">
        <f>'Overview IB'!K73</f>
        <v>0</v>
      </c>
      <c r="I58" s="132">
        <f>'Overview IB'!L73</f>
        <v>0</v>
      </c>
      <c r="J58" s="132">
        <f>'Overview IB'!M73</f>
        <v>0</v>
      </c>
      <c r="K58" s="132">
        <f>'Overview IB'!N73</f>
        <v>0</v>
      </c>
      <c r="L58" s="132">
        <f>'Overview IB'!O73</f>
        <v>0</v>
      </c>
      <c r="M58" s="132">
        <f>'Overview IB'!P73</f>
        <v>0</v>
      </c>
      <c r="N58" s="132">
        <f>'Overview IB'!Q73</f>
        <v>0</v>
      </c>
      <c r="O58" s="132">
        <f>'Overview IB'!R73</f>
        <v>0</v>
      </c>
      <c r="P58" s="100"/>
      <c r="Q58" s="132">
        <f t="shared" si="3"/>
        <v>0</v>
      </c>
      <c r="R58" s="103"/>
      <c r="S58" s="157">
        <f t="shared" si="1"/>
        <v>0</v>
      </c>
      <c r="T58" s="168"/>
      <c r="U58" s="133"/>
      <c r="V58" s="133"/>
      <c r="W58" s="133"/>
      <c r="X58" s="133"/>
      <c r="Y58" s="133"/>
      <c r="Z58" s="133"/>
      <c r="AA58" s="133"/>
      <c r="AB58" s="133"/>
      <c r="AC58" s="133"/>
      <c r="AD58" s="133"/>
      <c r="AE58" s="31"/>
    </row>
    <row r="59" spans="2:31" x14ac:dyDescent="0.25">
      <c r="B59" s="81"/>
      <c r="C59" s="49" t="str">
        <f>'Overview IB'!C74</f>
        <v>Sonstiger Indikator - frei wählbar lt. Indikatorenblatt</v>
      </c>
      <c r="D59" s="64">
        <f>'Overview IB'!D74</f>
        <v>0</v>
      </c>
      <c r="E59" s="64">
        <f>'Overview IB'!E74</f>
        <v>0</v>
      </c>
      <c r="F59" s="132">
        <f>'Overview IB'!I74</f>
        <v>0</v>
      </c>
      <c r="G59" s="132">
        <f>'Overview IB'!J74</f>
        <v>0</v>
      </c>
      <c r="H59" s="132">
        <f>'Overview IB'!K74</f>
        <v>0</v>
      </c>
      <c r="I59" s="132">
        <f>'Overview IB'!L74</f>
        <v>0</v>
      </c>
      <c r="J59" s="132">
        <f>'Overview IB'!M74</f>
        <v>0</v>
      </c>
      <c r="K59" s="132">
        <f>'Overview IB'!N74</f>
        <v>0</v>
      </c>
      <c r="L59" s="132">
        <f>'Overview IB'!O74</f>
        <v>0</v>
      </c>
      <c r="M59" s="132">
        <f>'Overview IB'!P74</f>
        <v>0</v>
      </c>
      <c r="N59" s="132">
        <f>'Overview IB'!Q74</f>
        <v>0</v>
      </c>
      <c r="O59" s="132">
        <f>'Overview IB'!R74</f>
        <v>0</v>
      </c>
      <c r="P59" s="91"/>
      <c r="Q59" s="64">
        <f t="shared" si="3"/>
        <v>0</v>
      </c>
      <c r="R59" s="103"/>
      <c r="S59" s="157">
        <f t="shared" si="1"/>
        <v>0</v>
      </c>
      <c r="T59" s="168"/>
      <c r="U59" s="66"/>
      <c r="V59" s="66"/>
      <c r="W59" s="66"/>
      <c r="X59" s="66"/>
      <c r="Y59" s="66"/>
      <c r="Z59" s="66"/>
      <c r="AA59" s="66"/>
      <c r="AB59" s="66"/>
      <c r="AC59" s="66"/>
      <c r="AD59" s="66"/>
      <c r="AE59" s="31"/>
    </row>
    <row r="60" spans="2:31" x14ac:dyDescent="0.25">
      <c r="B60" s="81"/>
      <c r="C60" s="49" t="str">
        <f>'Overview IB'!C75</f>
        <v>Sonstiger Indikator - frei wählbar lt. Indikatorenblatt</v>
      </c>
      <c r="D60" s="64">
        <f>'Overview IB'!D75</f>
        <v>0</v>
      </c>
      <c r="E60" s="64">
        <f>'Overview IB'!E75</f>
        <v>0</v>
      </c>
      <c r="F60" s="132">
        <f>'Overview IB'!I75</f>
        <v>0</v>
      </c>
      <c r="G60" s="132">
        <f>'Overview IB'!J75</f>
        <v>0</v>
      </c>
      <c r="H60" s="132">
        <f>'Overview IB'!K75</f>
        <v>0</v>
      </c>
      <c r="I60" s="132">
        <f>'Overview IB'!L75</f>
        <v>0</v>
      </c>
      <c r="J60" s="132">
        <f>'Overview IB'!M75</f>
        <v>0</v>
      </c>
      <c r="K60" s="132">
        <f>'Overview IB'!N75</f>
        <v>0</v>
      </c>
      <c r="L60" s="132">
        <f>'Overview IB'!O75</f>
        <v>0</v>
      </c>
      <c r="M60" s="132">
        <f>'Overview IB'!P75</f>
        <v>0</v>
      </c>
      <c r="N60" s="132">
        <f>'Overview IB'!Q75</f>
        <v>0</v>
      </c>
      <c r="O60" s="132">
        <f>'Overview IB'!R75</f>
        <v>0</v>
      </c>
      <c r="P60" s="91"/>
      <c r="Q60" s="64">
        <f t="shared" si="3"/>
        <v>0</v>
      </c>
      <c r="R60" s="103"/>
      <c r="S60" s="157">
        <f t="shared" si="1"/>
        <v>0</v>
      </c>
      <c r="T60" s="168"/>
      <c r="U60" s="66"/>
      <c r="V60" s="66"/>
      <c r="W60" s="66"/>
      <c r="X60" s="66"/>
      <c r="Y60" s="66"/>
      <c r="Z60" s="66"/>
      <c r="AA60" s="66"/>
      <c r="AB60" s="66"/>
      <c r="AC60" s="66"/>
      <c r="AD60" s="66"/>
      <c r="AE60" s="31"/>
    </row>
    <row r="61" spans="2:31" ht="16.5" customHeight="1" x14ac:dyDescent="0.25">
      <c r="B61" s="253"/>
      <c r="C61" s="254"/>
      <c r="D61" s="105"/>
      <c r="E61" s="158"/>
      <c r="F61" s="106"/>
      <c r="G61" s="106"/>
      <c r="H61" s="106"/>
      <c r="I61" s="106"/>
      <c r="J61" s="106"/>
      <c r="K61" s="106"/>
      <c r="L61" s="106"/>
      <c r="M61" s="106"/>
      <c r="N61" s="106"/>
      <c r="O61" s="106"/>
      <c r="P61" s="91"/>
      <c r="Q61" s="107"/>
      <c r="R61" s="107"/>
      <c r="S61" s="108"/>
      <c r="T61" s="121"/>
      <c r="U61" s="106"/>
      <c r="V61" s="106">
        <v>2</v>
      </c>
      <c r="W61" s="106"/>
      <c r="X61" s="106"/>
      <c r="Y61" s="106"/>
      <c r="Z61" s="106"/>
      <c r="AA61" s="106"/>
      <c r="AB61" s="106"/>
      <c r="AC61" s="106"/>
      <c r="AD61" s="106"/>
      <c r="AE61" s="31"/>
    </row>
    <row r="62" spans="2:31" ht="45" x14ac:dyDescent="0.25">
      <c r="B62" s="81"/>
      <c r="C62" s="154" t="s">
        <v>30</v>
      </c>
      <c r="D62" s="152" t="s">
        <v>72</v>
      </c>
      <c r="E62" s="152" t="s">
        <v>125</v>
      </c>
      <c r="F62" s="86" t="s">
        <v>129</v>
      </c>
      <c r="G62" s="86" t="s">
        <v>130</v>
      </c>
      <c r="H62" s="86" t="s">
        <v>131</v>
      </c>
      <c r="I62" s="86" t="s">
        <v>132</v>
      </c>
      <c r="J62" s="86" t="s">
        <v>133</v>
      </c>
      <c r="K62" s="86" t="s">
        <v>134</v>
      </c>
      <c r="L62" s="86" t="s">
        <v>135</v>
      </c>
      <c r="M62" s="86" t="s">
        <v>136</v>
      </c>
      <c r="N62" s="86" t="s">
        <v>137</v>
      </c>
      <c r="O62" s="86" t="s">
        <v>138</v>
      </c>
      <c r="P62" s="32"/>
      <c r="Q62" s="85" t="s">
        <v>29</v>
      </c>
      <c r="R62" s="85" t="s">
        <v>124</v>
      </c>
      <c r="S62" s="76" t="s">
        <v>8</v>
      </c>
      <c r="T62" s="8" t="s">
        <v>61</v>
      </c>
      <c r="U62" s="86" t="s">
        <v>129</v>
      </c>
      <c r="V62" s="86" t="s">
        <v>130</v>
      </c>
      <c r="W62" s="86" t="s">
        <v>131</v>
      </c>
      <c r="X62" s="86" t="s">
        <v>132</v>
      </c>
      <c r="Y62" s="86" t="s">
        <v>133</v>
      </c>
      <c r="Z62" s="86" t="s">
        <v>134</v>
      </c>
      <c r="AA62" s="86" t="s">
        <v>135</v>
      </c>
      <c r="AB62" s="86" t="s">
        <v>136</v>
      </c>
      <c r="AC62" s="86" t="s">
        <v>137</v>
      </c>
      <c r="AD62" s="86" t="s">
        <v>138</v>
      </c>
      <c r="AE62" s="31"/>
    </row>
    <row r="63" spans="2:31" ht="15.75" customHeight="1" x14ac:dyDescent="0.25">
      <c r="B63" s="81"/>
      <c r="C63" s="82" t="s">
        <v>99</v>
      </c>
      <c r="D63" s="138"/>
      <c r="E63" s="136"/>
      <c r="F63" s="205"/>
      <c r="G63" s="178"/>
      <c r="H63" s="178"/>
      <c r="I63" s="178"/>
      <c r="J63" s="178"/>
      <c r="K63" s="178"/>
      <c r="L63" s="178"/>
      <c r="M63" s="178"/>
      <c r="N63" s="178"/>
      <c r="O63" s="179"/>
      <c r="P63" s="32"/>
      <c r="Q63" s="255"/>
      <c r="R63" s="255"/>
      <c r="S63" s="255"/>
      <c r="T63" s="255"/>
      <c r="U63" s="255"/>
      <c r="V63" s="255"/>
      <c r="W63" s="255"/>
      <c r="X63" s="255"/>
      <c r="Y63" s="255"/>
      <c r="Z63" s="255"/>
      <c r="AA63" s="255"/>
      <c r="AB63" s="255"/>
      <c r="AC63" s="255"/>
      <c r="AD63" s="255"/>
      <c r="AE63" s="31"/>
    </row>
    <row r="64" spans="2:31" ht="15.75" customHeight="1" x14ac:dyDescent="0.25">
      <c r="B64" s="81"/>
      <c r="C64" s="75" t="s">
        <v>36</v>
      </c>
      <c r="D64" s="259"/>
      <c r="E64" s="256"/>
      <c r="F64" s="244" t="s">
        <v>149</v>
      </c>
      <c r="G64" s="245"/>
      <c r="H64" s="245"/>
      <c r="I64" s="245"/>
      <c r="J64" s="245"/>
      <c r="K64" s="245"/>
      <c r="L64" s="245"/>
      <c r="M64" s="245"/>
      <c r="N64" s="245"/>
      <c r="O64" s="246"/>
      <c r="P64" s="156"/>
      <c r="Q64" s="256"/>
      <c r="R64" s="103">
        <v>9</v>
      </c>
      <c r="S64" s="259"/>
      <c r="T64" s="168"/>
      <c r="U64" s="263" t="s">
        <v>151</v>
      </c>
      <c r="V64" s="264"/>
      <c r="W64" s="264"/>
      <c r="X64" s="264"/>
      <c r="Y64" s="264"/>
      <c r="Z64" s="264"/>
      <c r="AA64" s="264"/>
      <c r="AB64" s="264"/>
      <c r="AC64" s="264"/>
      <c r="AD64" s="265"/>
      <c r="AE64" s="31"/>
    </row>
    <row r="65" spans="2:31" ht="15.75" customHeight="1" x14ac:dyDescent="0.25">
      <c r="B65" s="81"/>
      <c r="C65" s="75" t="s">
        <v>35</v>
      </c>
      <c r="D65" s="260"/>
      <c r="E65" s="257"/>
      <c r="F65" s="247"/>
      <c r="G65" s="248"/>
      <c r="H65" s="248"/>
      <c r="I65" s="248"/>
      <c r="J65" s="248"/>
      <c r="K65" s="248"/>
      <c r="L65" s="248"/>
      <c r="M65" s="248"/>
      <c r="N65" s="248"/>
      <c r="O65" s="249"/>
      <c r="P65" s="156"/>
      <c r="Q65" s="257"/>
      <c r="R65" s="103">
        <v>25</v>
      </c>
      <c r="S65" s="260"/>
      <c r="T65" s="168"/>
      <c r="U65" s="266"/>
      <c r="V65" s="267"/>
      <c r="W65" s="267"/>
      <c r="X65" s="267"/>
      <c r="Y65" s="267"/>
      <c r="Z65" s="267"/>
      <c r="AA65" s="267"/>
      <c r="AB65" s="267"/>
      <c r="AC65" s="267"/>
      <c r="AD65" s="268"/>
      <c r="AE65" s="31"/>
    </row>
    <row r="66" spans="2:31" ht="15.75" customHeight="1" x14ac:dyDescent="0.25">
      <c r="B66" s="81"/>
      <c r="C66" s="75" t="s">
        <v>102</v>
      </c>
      <c r="D66" s="260"/>
      <c r="E66" s="257"/>
      <c r="F66" s="247"/>
      <c r="G66" s="248"/>
      <c r="H66" s="248"/>
      <c r="I66" s="248"/>
      <c r="J66" s="248"/>
      <c r="K66" s="248"/>
      <c r="L66" s="248"/>
      <c r="M66" s="248"/>
      <c r="N66" s="248"/>
      <c r="O66" s="249"/>
      <c r="P66" s="156"/>
      <c r="Q66" s="257"/>
      <c r="R66" s="103">
        <v>3</v>
      </c>
      <c r="S66" s="260"/>
      <c r="T66" s="168"/>
      <c r="U66" s="266"/>
      <c r="V66" s="267"/>
      <c r="W66" s="267"/>
      <c r="X66" s="267"/>
      <c r="Y66" s="267"/>
      <c r="Z66" s="267"/>
      <c r="AA66" s="267"/>
      <c r="AB66" s="267"/>
      <c r="AC66" s="267"/>
      <c r="AD66" s="268"/>
      <c r="AE66" s="31"/>
    </row>
    <row r="67" spans="2:31" ht="15.75" customHeight="1" x14ac:dyDescent="0.25">
      <c r="B67" s="81"/>
      <c r="C67" s="75" t="s">
        <v>88</v>
      </c>
      <c r="D67" s="260"/>
      <c r="E67" s="257"/>
      <c r="F67" s="247"/>
      <c r="G67" s="248"/>
      <c r="H67" s="248"/>
      <c r="I67" s="248"/>
      <c r="J67" s="248"/>
      <c r="K67" s="248"/>
      <c r="L67" s="248"/>
      <c r="M67" s="248"/>
      <c r="N67" s="248"/>
      <c r="O67" s="249"/>
      <c r="P67" s="156"/>
      <c r="Q67" s="257"/>
      <c r="R67" s="103">
        <v>3</v>
      </c>
      <c r="S67" s="260"/>
      <c r="T67" s="168"/>
      <c r="U67" s="266"/>
      <c r="V67" s="267"/>
      <c r="W67" s="267"/>
      <c r="X67" s="267"/>
      <c r="Y67" s="267"/>
      <c r="Z67" s="267"/>
      <c r="AA67" s="267"/>
      <c r="AB67" s="267"/>
      <c r="AC67" s="267"/>
      <c r="AD67" s="268"/>
      <c r="AE67" s="31"/>
    </row>
    <row r="68" spans="2:31" ht="15.75" customHeight="1" x14ac:dyDescent="0.25">
      <c r="B68" s="81"/>
      <c r="C68" s="75" t="s">
        <v>87</v>
      </c>
      <c r="D68" s="260"/>
      <c r="E68" s="257"/>
      <c r="F68" s="247"/>
      <c r="G68" s="248"/>
      <c r="H68" s="248"/>
      <c r="I68" s="248"/>
      <c r="J68" s="248"/>
      <c r="K68" s="248"/>
      <c r="L68" s="248"/>
      <c r="M68" s="248"/>
      <c r="N68" s="248"/>
      <c r="O68" s="249"/>
      <c r="P68" s="156"/>
      <c r="Q68" s="257"/>
      <c r="R68" s="103">
        <v>2</v>
      </c>
      <c r="S68" s="260"/>
      <c r="T68" s="168"/>
      <c r="U68" s="266"/>
      <c r="V68" s="267"/>
      <c r="W68" s="267"/>
      <c r="X68" s="267"/>
      <c r="Y68" s="267"/>
      <c r="Z68" s="267"/>
      <c r="AA68" s="267"/>
      <c r="AB68" s="267"/>
      <c r="AC68" s="267"/>
      <c r="AD68" s="268"/>
      <c r="AE68" s="31"/>
    </row>
    <row r="69" spans="2:31" ht="15.75" customHeight="1" x14ac:dyDescent="0.25">
      <c r="B69" s="81"/>
      <c r="C69" s="75" t="s">
        <v>37</v>
      </c>
      <c r="D69" s="260"/>
      <c r="E69" s="257"/>
      <c r="F69" s="247"/>
      <c r="G69" s="248"/>
      <c r="H69" s="248"/>
      <c r="I69" s="248"/>
      <c r="J69" s="248"/>
      <c r="K69" s="248"/>
      <c r="L69" s="248"/>
      <c r="M69" s="248"/>
      <c r="N69" s="248"/>
      <c r="O69" s="249"/>
      <c r="P69" s="156"/>
      <c r="Q69" s="257"/>
      <c r="R69" s="103">
        <v>0</v>
      </c>
      <c r="S69" s="260"/>
      <c r="T69" s="168"/>
      <c r="U69" s="266"/>
      <c r="V69" s="267"/>
      <c r="W69" s="267"/>
      <c r="X69" s="267"/>
      <c r="Y69" s="267"/>
      <c r="Z69" s="267"/>
      <c r="AA69" s="267"/>
      <c r="AB69" s="267"/>
      <c r="AC69" s="267"/>
      <c r="AD69" s="268"/>
      <c r="AE69" s="31"/>
    </row>
    <row r="70" spans="2:31" ht="15.75" customHeight="1" x14ac:dyDescent="0.25">
      <c r="B70" s="81"/>
      <c r="C70" s="75" t="s">
        <v>103</v>
      </c>
      <c r="D70" s="261"/>
      <c r="E70" s="258"/>
      <c r="F70" s="250"/>
      <c r="G70" s="251"/>
      <c r="H70" s="251"/>
      <c r="I70" s="251"/>
      <c r="J70" s="251"/>
      <c r="K70" s="251"/>
      <c r="L70" s="251"/>
      <c r="M70" s="251"/>
      <c r="N70" s="251"/>
      <c r="O70" s="252"/>
      <c r="P70" s="156"/>
      <c r="Q70" s="258"/>
      <c r="R70" s="132">
        <f>SUM(R64:R69)</f>
        <v>42</v>
      </c>
      <c r="S70" s="261"/>
      <c r="T70" s="168"/>
      <c r="U70" s="269"/>
      <c r="V70" s="270"/>
      <c r="W70" s="270"/>
      <c r="X70" s="270"/>
      <c r="Y70" s="270"/>
      <c r="Z70" s="270"/>
      <c r="AA70" s="270"/>
      <c r="AB70" s="270"/>
      <c r="AC70" s="270"/>
      <c r="AD70" s="271"/>
      <c r="AE70" s="31"/>
    </row>
    <row r="71" spans="2:31" ht="15.75" customHeight="1" x14ac:dyDescent="0.25">
      <c r="B71" s="81"/>
      <c r="C71" s="53" t="s">
        <v>92</v>
      </c>
      <c r="D71" s="82"/>
      <c r="E71" s="53"/>
      <c r="F71" s="205"/>
      <c r="G71" s="178"/>
      <c r="H71" s="178"/>
      <c r="I71" s="178"/>
      <c r="J71" s="178"/>
      <c r="K71" s="178"/>
      <c r="L71" s="178"/>
      <c r="M71" s="178"/>
      <c r="N71" s="178"/>
      <c r="O71" s="179"/>
      <c r="P71" s="32"/>
      <c r="Q71" s="255"/>
      <c r="R71" s="255"/>
      <c r="S71" s="255"/>
      <c r="T71" s="255"/>
      <c r="U71" s="255"/>
      <c r="V71" s="255"/>
      <c r="W71" s="255"/>
      <c r="X71" s="255"/>
      <c r="Y71" s="255"/>
      <c r="Z71" s="255"/>
      <c r="AA71" s="255"/>
      <c r="AB71" s="255"/>
      <c r="AC71" s="255"/>
      <c r="AD71" s="255"/>
      <c r="AE71" s="31"/>
    </row>
    <row r="72" spans="2:31" ht="15.75" customHeight="1" x14ac:dyDescent="0.25">
      <c r="B72" s="81"/>
      <c r="C72" s="75" t="s">
        <v>111</v>
      </c>
      <c r="D72" s="132">
        <f>'Overview IB'!D87</f>
        <v>0</v>
      </c>
      <c r="E72" s="132">
        <f>'Overview IB'!E87</f>
        <v>0</v>
      </c>
      <c r="F72" s="244" t="s">
        <v>149</v>
      </c>
      <c r="G72" s="272"/>
      <c r="H72" s="272"/>
      <c r="I72" s="272"/>
      <c r="J72" s="272"/>
      <c r="K72" s="272"/>
      <c r="L72" s="272"/>
      <c r="M72" s="272"/>
      <c r="N72" s="272"/>
      <c r="O72" s="273"/>
      <c r="P72" s="156"/>
      <c r="Q72" s="259"/>
      <c r="R72" s="103">
        <v>0</v>
      </c>
      <c r="S72" s="157">
        <f>IF(R72="",0,IF(D72=0,0,IF(E72=0,IF(R72=0,Q72/D72,R72/D72),IF(R72=0,Q72/E72,R72/E72))))</f>
        <v>0</v>
      </c>
      <c r="T72" s="168"/>
      <c r="U72" s="263" t="s">
        <v>151</v>
      </c>
      <c r="V72" s="264"/>
      <c r="W72" s="264"/>
      <c r="X72" s="264"/>
      <c r="Y72" s="264"/>
      <c r="Z72" s="264"/>
      <c r="AA72" s="264"/>
      <c r="AB72" s="264"/>
      <c r="AC72" s="264"/>
      <c r="AD72" s="265"/>
      <c r="AE72" s="31"/>
    </row>
    <row r="73" spans="2:31" ht="15.75" customHeight="1" x14ac:dyDescent="0.25">
      <c r="B73" s="81"/>
      <c r="C73" s="75" t="s">
        <v>112</v>
      </c>
      <c r="D73" s="132">
        <f>'Overview IB'!D88</f>
        <v>0</v>
      </c>
      <c r="E73" s="132">
        <f>'Overview IB'!E88</f>
        <v>0</v>
      </c>
      <c r="F73" s="274"/>
      <c r="G73" s="275"/>
      <c r="H73" s="275"/>
      <c r="I73" s="275"/>
      <c r="J73" s="275"/>
      <c r="K73" s="275"/>
      <c r="L73" s="275"/>
      <c r="M73" s="275"/>
      <c r="N73" s="275"/>
      <c r="O73" s="276"/>
      <c r="P73" s="156"/>
      <c r="Q73" s="260"/>
      <c r="R73" s="103">
        <v>0</v>
      </c>
      <c r="S73" s="157">
        <f t="shared" ref="S73:S78" si="4">IF(R73="",0,IF(D73=0,0,IF(E73=0,IF(R73=0,Q73/D73,R73/D73),IF(R73=0,Q73/E73,R73/E73))))</f>
        <v>0</v>
      </c>
      <c r="T73" s="168"/>
      <c r="U73" s="266"/>
      <c r="V73" s="267"/>
      <c r="W73" s="267"/>
      <c r="X73" s="267"/>
      <c r="Y73" s="267"/>
      <c r="Z73" s="267"/>
      <c r="AA73" s="267"/>
      <c r="AB73" s="267"/>
      <c r="AC73" s="267"/>
      <c r="AD73" s="268"/>
      <c r="AE73" s="31"/>
    </row>
    <row r="74" spans="2:31" ht="15.75" customHeight="1" x14ac:dyDescent="0.25">
      <c r="B74" s="81"/>
      <c r="C74" s="75" t="s">
        <v>113</v>
      </c>
      <c r="D74" s="132">
        <f>'Overview IB'!D89</f>
        <v>0</v>
      </c>
      <c r="E74" s="132">
        <f>'Overview IB'!E89</f>
        <v>0</v>
      </c>
      <c r="F74" s="274"/>
      <c r="G74" s="275"/>
      <c r="H74" s="275"/>
      <c r="I74" s="275"/>
      <c r="J74" s="275"/>
      <c r="K74" s="275"/>
      <c r="L74" s="275"/>
      <c r="M74" s="275"/>
      <c r="N74" s="275"/>
      <c r="O74" s="276"/>
      <c r="P74" s="156"/>
      <c r="Q74" s="260"/>
      <c r="R74" s="103">
        <v>0</v>
      </c>
      <c r="S74" s="157">
        <f t="shared" si="4"/>
        <v>0</v>
      </c>
      <c r="T74" s="168"/>
      <c r="U74" s="266"/>
      <c r="V74" s="267"/>
      <c r="W74" s="267"/>
      <c r="X74" s="267"/>
      <c r="Y74" s="267"/>
      <c r="Z74" s="267"/>
      <c r="AA74" s="267"/>
      <c r="AB74" s="267"/>
      <c r="AC74" s="267"/>
      <c r="AD74" s="268"/>
      <c r="AE74" s="31"/>
    </row>
    <row r="75" spans="2:31" ht="15.75" customHeight="1" x14ac:dyDescent="0.25">
      <c r="B75" s="81"/>
      <c r="C75" s="75" t="s">
        <v>114</v>
      </c>
      <c r="D75" s="132">
        <f>'Overview IB'!D90</f>
        <v>0</v>
      </c>
      <c r="E75" s="132">
        <f>'Overview IB'!E90</f>
        <v>0</v>
      </c>
      <c r="F75" s="274"/>
      <c r="G75" s="275"/>
      <c r="H75" s="275"/>
      <c r="I75" s="275"/>
      <c r="J75" s="275"/>
      <c r="K75" s="275"/>
      <c r="L75" s="275"/>
      <c r="M75" s="275"/>
      <c r="N75" s="275"/>
      <c r="O75" s="276"/>
      <c r="P75" s="156"/>
      <c r="Q75" s="260"/>
      <c r="R75" s="103">
        <v>2</v>
      </c>
      <c r="S75" s="157">
        <f t="shared" si="4"/>
        <v>0</v>
      </c>
      <c r="T75" s="168"/>
      <c r="U75" s="266"/>
      <c r="V75" s="267"/>
      <c r="W75" s="267"/>
      <c r="X75" s="267"/>
      <c r="Y75" s="267"/>
      <c r="Z75" s="267"/>
      <c r="AA75" s="267"/>
      <c r="AB75" s="267"/>
      <c r="AC75" s="267"/>
      <c r="AD75" s="268"/>
      <c r="AE75" s="31"/>
    </row>
    <row r="76" spans="2:31" ht="15.75" customHeight="1" x14ac:dyDescent="0.25">
      <c r="B76" s="81"/>
      <c r="C76" s="75" t="s">
        <v>115</v>
      </c>
      <c r="D76" s="132">
        <f>'Overview IB'!D91</f>
        <v>0</v>
      </c>
      <c r="E76" s="132">
        <f>'Overview IB'!E91</f>
        <v>0</v>
      </c>
      <c r="F76" s="274"/>
      <c r="G76" s="275"/>
      <c r="H76" s="275"/>
      <c r="I76" s="275"/>
      <c r="J76" s="275"/>
      <c r="K76" s="275"/>
      <c r="L76" s="275"/>
      <c r="M76" s="275"/>
      <c r="N76" s="275"/>
      <c r="O76" s="276"/>
      <c r="P76" s="156"/>
      <c r="Q76" s="260"/>
      <c r="R76" s="103">
        <v>23</v>
      </c>
      <c r="S76" s="157">
        <f t="shared" si="4"/>
        <v>0</v>
      </c>
      <c r="T76" s="168"/>
      <c r="U76" s="266"/>
      <c r="V76" s="267"/>
      <c r="W76" s="267"/>
      <c r="X76" s="267"/>
      <c r="Y76" s="267"/>
      <c r="Z76" s="267"/>
      <c r="AA76" s="267"/>
      <c r="AB76" s="267"/>
      <c r="AC76" s="267"/>
      <c r="AD76" s="268"/>
      <c r="AE76" s="31"/>
    </row>
    <row r="77" spans="2:31" ht="15.75" customHeight="1" x14ac:dyDescent="0.25">
      <c r="B77" s="81"/>
      <c r="C77" s="75" t="s">
        <v>82</v>
      </c>
      <c r="D77" s="132">
        <f>'Overview IB'!D92</f>
        <v>0</v>
      </c>
      <c r="E77" s="132">
        <f>'Overview IB'!E92</f>
        <v>0</v>
      </c>
      <c r="F77" s="274"/>
      <c r="G77" s="275"/>
      <c r="H77" s="275"/>
      <c r="I77" s="275"/>
      <c r="J77" s="275"/>
      <c r="K77" s="275"/>
      <c r="L77" s="275"/>
      <c r="M77" s="275"/>
      <c r="N77" s="275"/>
      <c r="O77" s="276"/>
      <c r="P77" s="156"/>
      <c r="Q77" s="260"/>
      <c r="R77" s="103">
        <v>17</v>
      </c>
      <c r="S77" s="157">
        <f t="shared" si="4"/>
        <v>0</v>
      </c>
      <c r="T77" s="168"/>
      <c r="U77" s="266"/>
      <c r="V77" s="267"/>
      <c r="W77" s="267"/>
      <c r="X77" s="267"/>
      <c r="Y77" s="267"/>
      <c r="Z77" s="267"/>
      <c r="AA77" s="267"/>
      <c r="AB77" s="267"/>
      <c r="AC77" s="267"/>
      <c r="AD77" s="268"/>
      <c r="AE77" s="31"/>
    </row>
    <row r="78" spans="2:31" ht="15.75" customHeight="1" x14ac:dyDescent="0.25">
      <c r="B78" s="81"/>
      <c r="C78" s="75" t="s">
        <v>103</v>
      </c>
      <c r="D78" s="132">
        <f>'Overview IB'!D93</f>
        <v>0</v>
      </c>
      <c r="E78" s="132">
        <f>'Overview IB'!E93</f>
        <v>0</v>
      </c>
      <c r="F78" s="277"/>
      <c r="G78" s="278"/>
      <c r="H78" s="278"/>
      <c r="I78" s="278"/>
      <c r="J78" s="278"/>
      <c r="K78" s="278"/>
      <c r="L78" s="278"/>
      <c r="M78" s="278"/>
      <c r="N78" s="278"/>
      <c r="O78" s="279"/>
      <c r="P78" s="156"/>
      <c r="Q78" s="261"/>
      <c r="R78" s="132">
        <f>SUM(R72:R77)</f>
        <v>42</v>
      </c>
      <c r="S78" s="157">
        <f t="shared" si="4"/>
        <v>0</v>
      </c>
      <c r="T78" s="168"/>
      <c r="U78" s="269"/>
      <c r="V78" s="270"/>
      <c r="W78" s="270"/>
      <c r="X78" s="270"/>
      <c r="Y78" s="270"/>
      <c r="Z78" s="270"/>
      <c r="AA78" s="270"/>
      <c r="AB78" s="270"/>
      <c r="AC78" s="270"/>
      <c r="AD78" s="271"/>
      <c r="AE78" s="31"/>
    </row>
    <row r="79" spans="2:31" ht="15.75" customHeight="1" x14ac:dyDescent="0.25">
      <c r="B79" s="81"/>
      <c r="C79" s="53" t="s">
        <v>93</v>
      </c>
      <c r="D79" s="82"/>
      <c r="E79" s="53"/>
      <c r="F79" s="205"/>
      <c r="G79" s="178"/>
      <c r="H79" s="178"/>
      <c r="I79" s="178"/>
      <c r="J79" s="178"/>
      <c r="K79" s="178"/>
      <c r="L79" s="178"/>
      <c r="M79" s="178"/>
      <c r="N79" s="178"/>
      <c r="O79" s="179"/>
      <c r="P79" s="32"/>
      <c r="Q79" s="255"/>
      <c r="R79" s="255"/>
      <c r="S79" s="255"/>
      <c r="T79" s="255"/>
      <c r="U79" s="255"/>
      <c r="V79" s="255"/>
      <c r="W79" s="255"/>
      <c r="X79" s="255"/>
      <c r="Y79" s="255"/>
      <c r="Z79" s="255"/>
      <c r="AA79" s="255"/>
      <c r="AB79" s="255"/>
      <c r="AC79" s="255"/>
      <c r="AD79" s="255"/>
      <c r="AE79" s="31"/>
    </row>
    <row r="80" spans="2:31" ht="15.75" customHeight="1" x14ac:dyDescent="0.25">
      <c r="B80" s="81"/>
      <c r="C80" s="75" t="s">
        <v>32</v>
      </c>
      <c r="D80" s="132">
        <f>'Overview IB'!D95</f>
        <v>0</v>
      </c>
      <c r="E80" s="132">
        <f>'Overview IB'!E95</f>
        <v>0</v>
      </c>
      <c r="F80" s="244" t="s">
        <v>149</v>
      </c>
      <c r="G80" s="272"/>
      <c r="H80" s="272"/>
      <c r="I80" s="272"/>
      <c r="J80" s="272"/>
      <c r="K80" s="272"/>
      <c r="L80" s="272"/>
      <c r="M80" s="272"/>
      <c r="N80" s="272"/>
      <c r="O80" s="273"/>
      <c r="P80" s="156"/>
      <c r="Q80" s="259"/>
      <c r="R80" s="103">
        <v>22</v>
      </c>
      <c r="S80" s="157">
        <f>IF(R80="",0,IF(D80=0,0,IF(E80=0,IF(R80=0,#REF!/D80,R80/D80),IF(R80=0,#REF!/E80,R80/E80))))</f>
        <v>0</v>
      </c>
      <c r="T80" s="168"/>
      <c r="U80" s="263" t="s">
        <v>151</v>
      </c>
      <c r="V80" s="264"/>
      <c r="W80" s="264"/>
      <c r="X80" s="264"/>
      <c r="Y80" s="264"/>
      <c r="Z80" s="264"/>
      <c r="AA80" s="264"/>
      <c r="AB80" s="264"/>
      <c r="AC80" s="264"/>
      <c r="AD80" s="265"/>
      <c r="AE80" s="31"/>
    </row>
    <row r="81" spans="2:35" ht="15.75" customHeight="1" x14ac:dyDescent="0.25">
      <c r="B81" s="81"/>
      <c r="C81" s="75" t="s">
        <v>33</v>
      </c>
      <c r="D81" s="132">
        <f>'Overview IB'!D96</f>
        <v>0</v>
      </c>
      <c r="E81" s="132">
        <f>'Overview IB'!E96</f>
        <v>0</v>
      </c>
      <c r="F81" s="274"/>
      <c r="G81" s="275"/>
      <c r="H81" s="275"/>
      <c r="I81" s="275"/>
      <c r="J81" s="275"/>
      <c r="K81" s="275"/>
      <c r="L81" s="275"/>
      <c r="M81" s="275"/>
      <c r="N81" s="275"/>
      <c r="O81" s="276"/>
      <c r="P81" s="156"/>
      <c r="Q81" s="260"/>
      <c r="R81" s="103">
        <v>20</v>
      </c>
      <c r="S81" s="157">
        <f>IF(R81="",0,IF(D81=0,0,IF(E81=0,IF(R81=0,Q80/D81,R81/D81),IF(R81=0,Q80/E81,R81/E81))))</f>
        <v>0</v>
      </c>
      <c r="T81" s="168"/>
      <c r="U81" s="266"/>
      <c r="V81" s="267"/>
      <c r="W81" s="267"/>
      <c r="X81" s="267"/>
      <c r="Y81" s="267"/>
      <c r="Z81" s="267"/>
      <c r="AA81" s="267"/>
      <c r="AB81" s="267"/>
      <c r="AC81" s="267"/>
      <c r="AD81" s="268"/>
      <c r="AE81" s="31"/>
    </row>
    <row r="82" spans="2:35" ht="15.75" customHeight="1" x14ac:dyDescent="0.25">
      <c r="B82" s="81"/>
      <c r="C82" s="75" t="s">
        <v>83</v>
      </c>
      <c r="D82" s="132">
        <f>'Overview IB'!D97</f>
        <v>0</v>
      </c>
      <c r="E82" s="132">
        <f>'Overview IB'!E97</f>
        <v>0</v>
      </c>
      <c r="F82" s="274"/>
      <c r="G82" s="275"/>
      <c r="H82" s="275"/>
      <c r="I82" s="275"/>
      <c r="J82" s="275"/>
      <c r="K82" s="275"/>
      <c r="L82" s="275"/>
      <c r="M82" s="275"/>
      <c r="N82" s="275"/>
      <c r="O82" s="276"/>
      <c r="P82" s="156"/>
      <c r="Q82" s="260"/>
      <c r="R82" s="103">
        <v>0</v>
      </c>
      <c r="S82" s="157">
        <f t="shared" ref="S82:S88" si="5">IF(R82="",0,IF(D82=0,0,IF(E82=0,IF(R82=0,Q82/D82,R82/D82),IF(R82=0,Q82/E82,R82/E82))))</f>
        <v>0</v>
      </c>
      <c r="T82" s="168"/>
      <c r="U82" s="266"/>
      <c r="V82" s="267"/>
      <c r="W82" s="267"/>
      <c r="X82" s="267"/>
      <c r="Y82" s="267"/>
      <c r="Z82" s="267"/>
      <c r="AA82" s="267"/>
      <c r="AB82" s="267"/>
      <c r="AC82" s="267"/>
      <c r="AD82" s="268"/>
      <c r="AE82" s="31"/>
    </row>
    <row r="83" spans="2:35" ht="15.75" customHeight="1" x14ac:dyDescent="0.25">
      <c r="B83" s="81"/>
      <c r="C83" s="75" t="s">
        <v>116</v>
      </c>
      <c r="D83" s="132">
        <f>'Overview IB'!D98</f>
        <v>0</v>
      </c>
      <c r="E83" s="132">
        <f>'Overview IB'!E98</f>
        <v>0</v>
      </c>
      <c r="F83" s="274"/>
      <c r="G83" s="275"/>
      <c r="H83" s="275"/>
      <c r="I83" s="275"/>
      <c r="J83" s="275"/>
      <c r="K83" s="275"/>
      <c r="L83" s="275"/>
      <c r="M83" s="275"/>
      <c r="N83" s="275"/>
      <c r="O83" s="276"/>
      <c r="P83" s="156"/>
      <c r="Q83" s="260"/>
      <c r="R83" s="103">
        <v>0</v>
      </c>
      <c r="S83" s="157">
        <f t="shared" si="5"/>
        <v>0</v>
      </c>
      <c r="T83" s="168"/>
      <c r="U83" s="266"/>
      <c r="V83" s="267"/>
      <c r="W83" s="267"/>
      <c r="X83" s="267"/>
      <c r="Y83" s="267"/>
      <c r="Z83" s="267"/>
      <c r="AA83" s="267"/>
      <c r="AB83" s="267"/>
      <c r="AC83" s="267"/>
      <c r="AD83" s="268"/>
      <c r="AE83" s="31"/>
    </row>
    <row r="84" spans="2:35" ht="15.75" customHeight="1" x14ac:dyDescent="0.25">
      <c r="B84" s="81"/>
      <c r="C84" s="75" t="s">
        <v>84</v>
      </c>
      <c r="D84" s="132">
        <f>'Overview IB'!D99</f>
        <v>0</v>
      </c>
      <c r="E84" s="132">
        <f>'Overview IB'!E99</f>
        <v>0</v>
      </c>
      <c r="F84" s="274"/>
      <c r="G84" s="275"/>
      <c r="H84" s="275"/>
      <c r="I84" s="275"/>
      <c r="J84" s="275"/>
      <c r="K84" s="275"/>
      <c r="L84" s="275"/>
      <c r="M84" s="275"/>
      <c r="N84" s="275"/>
      <c r="O84" s="276"/>
      <c r="P84" s="156"/>
      <c r="Q84" s="260"/>
      <c r="R84" s="103">
        <v>0</v>
      </c>
      <c r="S84" s="157">
        <f t="shared" si="5"/>
        <v>0</v>
      </c>
      <c r="T84" s="168"/>
      <c r="U84" s="266"/>
      <c r="V84" s="267"/>
      <c r="W84" s="267"/>
      <c r="X84" s="267"/>
      <c r="Y84" s="267"/>
      <c r="Z84" s="267"/>
      <c r="AA84" s="267"/>
      <c r="AB84" s="267"/>
      <c r="AC84" s="267"/>
      <c r="AD84" s="268"/>
      <c r="AE84" s="31"/>
    </row>
    <row r="85" spans="2:35" ht="15.75" customHeight="1" x14ac:dyDescent="0.25">
      <c r="B85" s="81"/>
      <c r="C85" s="75" t="s">
        <v>85</v>
      </c>
      <c r="D85" s="132">
        <f>'Overview IB'!D100</f>
        <v>0</v>
      </c>
      <c r="E85" s="132">
        <f>'Overview IB'!E100</f>
        <v>0</v>
      </c>
      <c r="F85" s="274"/>
      <c r="G85" s="275"/>
      <c r="H85" s="275"/>
      <c r="I85" s="275"/>
      <c r="J85" s="275"/>
      <c r="K85" s="275"/>
      <c r="L85" s="275"/>
      <c r="M85" s="275"/>
      <c r="N85" s="275"/>
      <c r="O85" s="276"/>
      <c r="P85" s="156"/>
      <c r="Q85" s="260"/>
      <c r="R85" s="103">
        <v>0</v>
      </c>
      <c r="S85" s="157">
        <f t="shared" si="5"/>
        <v>0</v>
      </c>
      <c r="T85" s="168"/>
      <c r="U85" s="266"/>
      <c r="V85" s="267"/>
      <c r="W85" s="267"/>
      <c r="X85" s="267"/>
      <c r="Y85" s="267"/>
      <c r="Z85" s="267"/>
      <c r="AA85" s="267"/>
      <c r="AB85" s="267"/>
      <c r="AC85" s="267"/>
      <c r="AD85" s="268"/>
      <c r="AE85" s="31"/>
    </row>
    <row r="86" spans="2:35" ht="18.75" customHeight="1" x14ac:dyDescent="0.25">
      <c r="B86" s="81"/>
      <c r="C86" s="75" t="s">
        <v>86</v>
      </c>
      <c r="D86" s="132">
        <f>'Overview IB'!D101</f>
        <v>0</v>
      </c>
      <c r="E86" s="132">
        <f>'Overview IB'!E101</f>
        <v>0</v>
      </c>
      <c r="F86" s="277"/>
      <c r="G86" s="278"/>
      <c r="H86" s="278"/>
      <c r="I86" s="278"/>
      <c r="J86" s="278"/>
      <c r="K86" s="278"/>
      <c r="L86" s="278"/>
      <c r="M86" s="278"/>
      <c r="N86" s="278"/>
      <c r="O86" s="279"/>
      <c r="P86" s="156"/>
      <c r="Q86" s="260"/>
      <c r="R86" s="103">
        <v>0</v>
      </c>
      <c r="S86" s="157">
        <f t="shared" si="5"/>
        <v>0</v>
      </c>
      <c r="T86" s="168"/>
      <c r="U86" s="266"/>
      <c r="V86" s="267"/>
      <c r="W86" s="267"/>
      <c r="X86" s="267"/>
      <c r="Y86" s="267"/>
      <c r="Z86" s="267"/>
      <c r="AA86" s="267"/>
      <c r="AB86" s="267"/>
      <c r="AC86" s="267"/>
      <c r="AD86" s="268"/>
      <c r="AE86" s="31"/>
    </row>
    <row r="87" spans="2:35" ht="18.75" customHeight="1" x14ac:dyDescent="0.25">
      <c r="B87" s="81"/>
      <c r="C87" s="75" t="s">
        <v>103</v>
      </c>
      <c r="D87" s="132">
        <f>'Overview IB'!D102</f>
        <v>0</v>
      </c>
      <c r="E87" s="132">
        <f>'Overview IB'!E102</f>
        <v>0</v>
      </c>
      <c r="F87" s="205"/>
      <c r="G87" s="178"/>
      <c r="H87" s="178"/>
      <c r="I87" s="178"/>
      <c r="J87" s="178"/>
      <c r="K87" s="178"/>
      <c r="L87" s="178"/>
      <c r="M87" s="178"/>
      <c r="N87" s="178"/>
      <c r="O87" s="179"/>
      <c r="P87" s="156"/>
      <c r="Q87" s="261"/>
      <c r="R87" s="132">
        <f>SUM(R80:R86)</f>
        <v>42</v>
      </c>
      <c r="S87" s="157">
        <f t="shared" si="5"/>
        <v>0</v>
      </c>
      <c r="T87" s="168"/>
      <c r="U87" s="269"/>
      <c r="V87" s="270"/>
      <c r="W87" s="270"/>
      <c r="X87" s="270"/>
      <c r="Y87" s="270"/>
      <c r="Z87" s="270"/>
      <c r="AA87" s="270"/>
      <c r="AB87" s="270"/>
      <c r="AC87" s="270"/>
      <c r="AD87" s="271"/>
      <c r="AE87" s="31"/>
    </row>
    <row r="88" spans="2:35" ht="15.75" customHeight="1" x14ac:dyDescent="0.25">
      <c r="B88" s="81"/>
      <c r="C88" s="53" t="s">
        <v>31</v>
      </c>
      <c r="D88" s="64">
        <f>'Overview IB'!D103</f>
        <v>0</v>
      </c>
      <c r="E88" s="64">
        <f>'Overview IB'!E103</f>
        <v>0</v>
      </c>
      <c r="F88" s="132">
        <f>'Overview IB'!I103</f>
        <v>0</v>
      </c>
      <c r="G88" s="132">
        <f>'Overview IB'!J103</f>
        <v>0</v>
      </c>
      <c r="H88" s="132">
        <f>'Overview IB'!K103</f>
        <v>0</v>
      </c>
      <c r="I88" s="132">
        <f>'Overview IB'!L103</f>
        <v>0</v>
      </c>
      <c r="J88" s="132">
        <f>'Overview IB'!M103</f>
        <v>0</v>
      </c>
      <c r="K88" s="132">
        <f>'Overview IB'!N103</f>
        <v>0</v>
      </c>
      <c r="L88" s="132">
        <f>'Overview IB'!O103</f>
        <v>0</v>
      </c>
      <c r="M88" s="132">
        <f>'Overview IB'!P103</f>
        <v>0</v>
      </c>
      <c r="N88" s="132">
        <f>'Overview IB'!Q103</f>
        <v>0</v>
      </c>
      <c r="O88" s="132">
        <f>'Overview IB'!R103</f>
        <v>0</v>
      </c>
      <c r="P88" s="32"/>
      <c r="Q88" s="64">
        <f t="shared" ref="Q88:Q98" si="6">SUM(U88:AD88)</f>
        <v>0</v>
      </c>
      <c r="R88" s="103">
        <v>34</v>
      </c>
      <c r="S88" s="157">
        <f t="shared" si="5"/>
        <v>0</v>
      </c>
      <c r="T88" s="168"/>
      <c r="U88" s="134"/>
      <c r="V88" s="134"/>
      <c r="W88" s="134"/>
      <c r="X88" s="134"/>
      <c r="Y88" s="134"/>
      <c r="Z88" s="134"/>
      <c r="AA88" s="134"/>
      <c r="AB88" s="134"/>
      <c r="AC88" s="134"/>
      <c r="AD88" s="134"/>
      <c r="AE88" s="31"/>
    </row>
    <row r="89" spans="2:35" ht="15.75" customHeight="1" x14ac:dyDescent="0.25">
      <c r="B89" s="253"/>
      <c r="C89" s="254"/>
      <c r="D89" s="105"/>
      <c r="E89" s="158"/>
      <c r="F89" s="106"/>
      <c r="G89" s="106"/>
      <c r="H89" s="106"/>
      <c r="I89" s="106"/>
      <c r="J89" s="106"/>
      <c r="K89" s="106"/>
      <c r="L89" s="106"/>
      <c r="M89" s="106"/>
      <c r="N89" s="106"/>
      <c r="O89" s="106"/>
      <c r="P89" s="91"/>
      <c r="Q89" s="107"/>
      <c r="R89" s="107"/>
      <c r="S89" s="108"/>
      <c r="T89" s="121"/>
      <c r="U89" s="106"/>
      <c r="V89" s="106"/>
      <c r="W89" s="106"/>
      <c r="X89" s="106"/>
      <c r="Y89" s="106"/>
      <c r="Z89" s="106"/>
      <c r="AA89" s="106"/>
      <c r="AB89" s="106"/>
      <c r="AC89" s="106"/>
      <c r="AD89" s="106"/>
      <c r="AE89" s="31"/>
    </row>
    <row r="90" spans="2:35" ht="45" x14ac:dyDescent="0.25">
      <c r="B90" s="81"/>
      <c r="C90" s="154" t="s">
        <v>38</v>
      </c>
      <c r="D90" s="152" t="s">
        <v>72</v>
      </c>
      <c r="E90" s="152" t="s">
        <v>125</v>
      </c>
      <c r="F90" s="86" t="s">
        <v>129</v>
      </c>
      <c r="G90" s="86" t="s">
        <v>130</v>
      </c>
      <c r="H90" s="86" t="s">
        <v>131</v>
      </c>
      <c r="I90" s="86" t="s">
        <v>132</v>
      </c>
      <c r="J90" s="86" t="s">
        <v>133</v>
      </c>
      <c r="K90" s="86" t="s">
        <v>134</v>
      </c>
      <c r="L90" s="86" t="s">
        <v>135</v>
      </c>
      <c r="M90" s="86" t="s">
        <v>136</v>
      </c>
      <c r="N90" s="86" t="s">
        <v>137</v>
      </c>
      <c r="O90" s="86" t="s">
        <v>138</v>
      </c>
      <c r="P90" s="32"/>
      <c r="Q90" s="85" t="s">
        <v>29</v>
      </c>
      <c r="R90" s="85" t="s">
        <v>124</v>
      </c>
      <c r="S90" s="76" t="s">
        <v>8</v>
      </c>
      <c r="T90" s="8" t="s">
        <v>61</v>
      </c>
      <c r="U90" s="86" t="s">
        <v>129</v>
      </c>
      <c r="V90" s="86" t="s">
        <v>130</v>
      </c>
      <c r="W90" s="86" t="s">
        <v>131</v>
      </c>
      <c r="X90" s="86" t="s">
        <v>132</v>
      </c>
      <c r="Y90" s="86" t="s">
        <v>133</v>
      </c>
      <c r="Z90" s="86" t="s">
        <v>134</v>
      </c>
      <c r="AA90" s="86" t="s">
        <v>135</v>
      </c>
      <c r="AB90" s="86" t="s">
        <v>136</v>
      </c>
      <c r="AC90" s="86" t="s">
        <v>137</v>
      </c>
      <c r="AD90" s="86" t="s">
        <v>138</v>
      </c>
      <c r="AE90" s="31"/>
    </row>
    <row r="91" spans="2:35" ht="36.75" customHeight="1" x14ac:dyDescent="0.25">
      <c r="B91" s="81"/>
      <c r="C91" s="53" t="s">
        <v>148</v>
      </c>
      <c r="D91" s="64">
        <f>'Overview IB'!D106</f>
        <v>0</v>
      </c>
      <c r="E91" s="64">
        <f>'Overview IB'!E106</f>
        <v>0</v>
      </c>
      <c r="F91" s="132">
        <f>'Overview IB'!I106</f>
        <v>0</v>
      </c>
      <c r="G91" s="132">
        <f>'Overview IB'!J106</f>
        <v>0</v>
      </c>
      <c r="H91" s="132">
        <f>'Overview IB'!K106</f>
        <v>0</v>
      </c>
      <c r="I91" s="132">
        <f>'Overview IB'!L106</f>
        <v>0</v>
      </c>
      <c r="J91" s="132">
        <f>'Overview IB'!M106</f>
        <v>0</v>
      </c>
      <c r="K91" s="132">
        <f>'Overview IB'!N106</f>
        <v>0</v>
      </c>
      <c r="L91" s="132">
        <f>'Overview IB'!O106</f>
        <v>0</v>
      </c>
      <c r="M91" s="132">
        <f>'Overview IB'!P106</f>
        <v>0</v>
      </c>
      <c r="N91" s="132">
        <f>'Overview IB'!Q106</f>
        <v>0</v>
      </c>
      <c r="O91" s="132">
        <f>'Overview IB'!R106</f>
        <v>0</v>
      </c>
      <c r="P91" s="32"/>
      <c r="Q91" s="64">
        <f t="shared" si="6"/>
        <v>0</v>
      </c>
      <c r="R91" s="103">
        <v>0</v>
      </c>
      <c r="S91" s="157">
        <f t="shared" ref="S91:S98" si="7">IF(D91=0,0,IF(E91=0,IF(R91=0,Q91/D91,R91/D91),IF(R91=0,Q91/E91,R91/E91)))</f>
        <v>0</v>
      </c>
      <c r="T91" s="175" t="s">
        <v>159</v>
      </c>
      <c r="U91" s="134"/>
      <c r="V91" s="134"/>
      <c r="W91" s="134"/>
      <c r="X91" s="134"/>
      <c r="Y91" s="134"/>
      <c r="Z91" s="134"/>
      <c r="AA91" s="134"/>
      <c r="AB91" s="134"/>
      <c r="AC91" s="134"/>
      <c r="AD91" s="134"/>
      <c r="AE91" s="31"/>
    </row>
    <row r="92" spans="2:35" ht="36.75" customHeight="1" x14ac:dyDescent="0.25">
      <c r="B92" s="81"/>
      <c r="C92" s="53" t="s">
        <v>80</v>
      </c>
      <c r="D92" s="64">
        <f>'Overview IB'!D107</f>
        <v>0</v>
      </c>
      <c r="E92" s="64">
        <f>'Overview IB'!E107</f>
        <v>0</v>
      </c>
      <c r="F92" s="132">
        <f>'Overview IB'!I107</f>
        <v>0</v>
      </c>
      <c r="G92" s="132">
        <f>'Overview IB'!J107</f>
        <v>0</v>
      </c>
      <c r="H92" s="132">
        <f>'Overview IB'!K107</f>
        <v>0</v>
      </c>
      <c r="I92" s="132">
        <f>'Overview IB'!L107</f>
        <v>0</v>
      </c>
      <c r="J92" s="132">
        <f>'Overview IB'!M107</f>
        <v>0</v>
      </c>
      <c r="K92" s="132">
        <f>'Overview IB'!N107</f>
        <v>0</v>
      </c>
      <c r="L92" s="132">
        <f>'Overview IB'!O107</f>
        <v>0</v>
      </c>
      <c r="M92" s="132">
        <f>'Overview IB'!P107</f>
        <v>0</v>
      </c>
      <c r="N92" s="132">
        <f>'Overview IB'!Q107</f>
        <v>0</v>
      </c>
      <c r="O92" s="132">
        <f>'Overview IB'!R107</f>
        <v>0</v>
      </c>
      <c r="P92" s="32"/>
      <c r="Q92" s="64">
        <f t="shared" si="6"/>
        <v>0</v>
      </c>
      <c r="R92" s="103">
        <v>2</v>
      </c>
      <c r="S92" s="157">
        <f t="shared" si="7"/>
        <v>0</v>
      </c>
      <c r="T92" s="175" t="s">
        <v>164</v>
      </c>
      <c r="U92" s="134"/>
      <c r="V92" s="134"/>
      <c r="W92" s="134"/>
      <c r="X92" s="134"/>
      <c r="Y92" s="134"/>
      <c r="Z92" s="134"/>
      <c r="AA92" s="134"/>
      <c r="AB92" s="134"/>
      <c r="AC92" s="134"/>
      <c r="AD92" s="134"/>
      <c r="AE92" s="31"/>
    </row>
    <row r="93" spans="2:35" ht="47.25" customHeight="1" x14ac:dyDescent="0.25">
      <c r="B93" s="81"/>
      <c r="C93" s="53" t="s">
        <v>77</v>
      </c>
      <c r="D93" s="64">
        <f>'Overview IB'!D108</f>
        <v>0</v>
      </c>
      <c r="E93" s="64">
        <f>'Overview IB'!E108</f>
        <v>0</v>
      </c>
      <c r="F93" s="132">
        <f>'Overview IB'!I108</f>
        <v>0</v>
      </c>
      <c r="G93" s="132">
        <f>'Overview IB'!J108</f>
        <v>0</v>
      </c>
      <c r="H93" s="132">
        <f>'Overview IB'!K108</f>
        <v>0</v>
      </c>
      <c r="I93" s="132">
        <f>'Overview IB'!L108</f>
        <v>0</v>
      </c>
      <c r="J93" s="132">
        <f>'Overview IB'!M108</f>
        <v>0</v>
      </c>
      <c r="K93" s="132">
        <f>'Overview IB'!N108</f>
        <v>0</v>
      </c>
      <c r="L93" s="132">
        <f>'Overview IB'!O108</f>
        <v>0</v>
      </c>
      <c r="M93" s="132">
        <f>'Overview IB'!P108</f>
        <v>0</v>
      </c>
      <c r="N93" s="132">
        <f>'Overview IB'!Q108</f>
        <v>0</v>
      </c>
      <c r="O93" s="132">
        <f>'Overview IB'!R108</f>
        <v>0</v>
      </c>
      <c r="P93" s="32"/>
      <c r="Q93" s="64">
        <f t="shared" si="6"/>
        <v>0</v>
      </c>
      <c r="R93" s="103">
        <v>1</v>
      </c>
      <c r="S93" s="157">
        <f t="shared" si="7"/>
        <v>0</v>
      </c>
      <c r="T93" s="175" t="s">
        <v>165</v>
      </c>
      <c r="U93" s="134"/>
      <c r="V93" s="134"/>
      <c r="W93" s="134"/>
      <c r="X93" s="134"/>
      <c r="Y93" s="134"/>
      <c r="Z93" s="134"/>
      <c r="AA93" s="134"/>
      <c r="AB93" s="134"/>
      <c r="AC93" s="134"/>
      <c r="AD93" s="134"/>
      <c r="AE93" s="31"/>
    </row>
    <row r="94" spans="2:35" ht="36.75" customHeight="1" x14ac:dyDescent="0.25">
      <c r="B94" s="81"/>
      <c r="C94" s="53" t="s">
        <v>153</v>
      </c>
      <c r="D94" s="64">
        <f>'Overview IB'!D109</f>
        <v>0</v>
      </c>
      <c r="E94" s="64">
        <f>'Overview IB'!E109</f>
        <v>0</v>
      </c>
      <c r="F94" s="132">
        <f>'Overview IB'!I109</f>
        <v>0</v>
      </c>
      <c r="G94" s="132">
        <f>'Overview IB'!J109</f>
        <v>0</v>
      </c>
      <c r="H94" s="132">
        <f>'Overview IB'!K109</f>
        <v>0</v>
      </c>
      <c r="I94" s="132">
        <f>'Overview IB'!L109</f>
        <v>0</v>
      </c>
      <c r="J94" s="132">
        <f>'Overview IB'!M109</f>
        <v>0</v>
      </c>
      <c r="K94" s="132">
        <f>'Overview IB'!N109</f>
        <v>0</v>
      </c>
      <c r="L94" s="132">
        <f>'Overview IB'!O109</f>
        <v>0</v>
      </c>
      <c r="M94" s="132">
        <f>'Overview IB'!P109</f>
        <v>0</v>
      </c>
      <c r="N94" s="132">
        <f>'Overview IB'!Q109</f>
        <v>0</v>
      </c>
      <c r="O94" s="132">
        <f>'Overview IB'!R109</f>
        <v>0</v>
      </c>
      <c r="P94" s="32"/>
      <c r="Q94" s="64">
        <f t="shared" si="6"/>
        <v>0</v>
      </c>
      <c r="R94" s="103">
        <v>0</v>
      </c>
      <c r="S94" s="157">
        <f t="shared" si="7"/>
        <v>0</v>
      </c>
      <c r="T94" s="175" t="s">
        <v>160</v>
      </c>
      <c r="U94" s="134"/>
      <c r="V94" s="134"/>
      <c r="W94" s="134"/>
      <c r="X94" s="134"/>
      <c r="Y94" s="134"/>
      <c r="Z94" s="134"/>
      <c r="AA94" s="134"/>
      <c r="AB94" s="134"/>
      <c r="AC94" s="134"/>
      <c r="AD94" s="134"/>
      <c r="AE94" s="31"/>
    </row>
    <row r="95" spans="2:35" s="109" customFormat="1" ht="36.75" customHeight="1" x14ac:dyDescent="0.25">
      <c r="B95" s="81"/>
      <c r="C95" s="53" t="s">
        <v>101</v>
      </c>
      <c r="D95" s="64">
        <f>'Overview IB'!D110</f>
        <v>0</v>
      </c>
      <c r="E95" s="64">
        <f>'Overview IB'!E110</f>
        <v>0</v>
      </c>
      <c r="F95" s="132">
        <f>'Overview IB'!I110</f>
        <v>0</v>
      </c>
      <c r="G95" s="132">
        <f>'Overview IB'!J110</f>
        <v>0</v>
      </c>
      <c r="H95" s="132">
        <f>'Overview IB'!K110</f>
        <v>0</v>
      </c>
      <c r="I95" s="132">
        <f>'Overview IB'!L110</f>
        <v>0</v>
      </c>
      <c r="J95" s="132">
        <f>'Overview IB'!M110</f>
        <v>0</v>
      </c>
      <c r="K95" s="132">
        <f>'Overview IB'!N110</f>
        <v>0</v>
      </c>
      <c r="L95" s="132">
        <f>'Overview IB'!O110</f>
        <v>0</v>
      </c>
      <c r="M95" s="132">
        <f>'Overview IB'!P110</f>
        <v>0</v>
      </c>
      <c r="N95" s="132">
        <f>'Overview IB'!Q110</f>
        <v>0</v>
      </c>
      <c r="O95" s="132">
        <f>'Overview IB'!R110</f>
        <v>0</v>
      </c>
      <c r="P95" s="32"/>
      <c r="Q95" s="64">
        <f t="shared" si="6"/>
        <v>0</v>
      </c>
      <c r="R95" s="103">
        <v>1</v>
      </c>
      <c r="S95" s="157">
        <f t="shared" si="7"/>
        <v>0</v>
      </c>
      <c r="T95" s="175" t="s">
        <v>166</v>
      </c>
      <c r="U95" s="134"/>
      <c r="V95" s="134"/>
      <c r="W95" s="134"/>
      <c r="X95" s="134"/>
      <c r="Y95" s="134"/>
      <c r="Z95" s="134"/>
      <c r="AA95" s="134"/>
      <c r="AB95" s="134"/>
      <c r="AC95" s="134"/>
      <c r="AD95" s="134"/>
      <c r="AE95" s="31"/>
      <c r="AF95" s="45"/>
      <c r="AG95" s="45"/>
      <c r="AH95" s="45"/>
      <c r="AI95" s="45"/>
    </row>
    <row r="96" spans="2:35" s="109" customFormat="1" ht="36.75" customHeight="1" x14ac:dyDescent="0.25">
      <c r="B96" s="81"/>
      <c r="C96" s="53" t="s">
        <v>79</v>
      </c>
      <c r="D96" s="64">
        <f>'Overview IB'!D111</f>
        <v>0</v>
      </c>
      <c r="E96" s="64">
        <f>'Overview IB'!E111</f>
        <v>0</v>
      </c>
      <c r="F96" s="132">
        <f>'Overview IB'!I111</f>
        <v>0</v>
      </c>
      <c r="G96" s="132">
        <f>'Overview IB'!J111</f>
        <v>0</v>
      </c>
      <c r="H96" s="132">
        <f>'Overview IB'!K111</f>
        <v>0</v>
      </c>
      <c r="I96" s="132">
        <f>'Overview IB'!L111</f>
        <v>0</v>
      </c>
      <c r="J96" s="132">
        <f>'Overview IB'!M111</f>
        <v>0</v>
      </c>
      <c r="K96" s="132">
        <f>'Overview IB'!N111</f>
        <v>0</v>
      </c>
      <c r="L96" s="132">
        <f>'Overview IB'!O111</f>
        <v>0</v>
      </c>
      <c r="M96" s="132">
        <f>'Overview IB'!P111</f>
        <v>0</v>
      </c>
      <c r="N96" s="132">
        <f>'Overview IB'!Q111</f>
        <v>0</v>
      </c>
      <c r="O96" s="132">
        <f>'Overview IB'!R111</f>
        <v>0</v>
      </c>
      <c r="P96" s="32"/>
      <c r="Q96" s="64">
        <f t="shared" si="6"/>
        <v>0</v>
      </c>
      <c r="R96" s="103">
        <v>2</v>
      </c>
      <c r="S96" s="157">
        <f t="shared" si="7"/>
        <v>0</v>
      </c>
      <c r="T96" s="175" t="s">
        <v>161</v>
      </c>
      <c r="U96" s="134"/>
      <c r="V96" s="134"/>
      <c r="W96" s="134"/>
      <c r="X96" s="134"/>
      <c r="Y96" s="134"/>
      <c r="Z96" s="134"/>
      <c r="AA96" s="134"/>
      <c r="AB96" s="134"/>
      <c r="AC96" s="134"/>
      <c r="AD96" s="134"/>
      <c r="AE96" s="31"/>
      <c r="AF96" s="45"/>
      <c r="AG96" s="45"/>
      <c r="AH96" s="45"/>
      <c r="AI96" s="45"/>
    </row>
    <row r="97" spans="2:35" s="109" customFormat="1" ht="36.75" customHeight="1" x14ac:dyDescent="0.25">
      <c r="B97" s="81"/>
      <c r="C97" s="53" t="s">
        <v>78</v>
      </c>
      <c r="D97" s="64">
        <f>'Overview IB'!D112</f>
        <v>0</v>
      </c>
      <c r="E97" s="64">
        <f>'Overview IB'!E112</f>
        <v>0</v>
      </c>
      <c r="F97" s="132">
        <f>'Overview IB'!I112</f>
        <v>0</v>
      </c>
      <c r="G97" s="132">
        <f>'Overview IB'!J112</f>
        <v>0</v>
      </c>
      <c r="H97" s="132">
        <f>'Overview IB'!K112</f>
        <v>0</v>
      </c>
      <c r="I97" s="132">
        <f>'Overview IB'!L112</f>
        <v>0</v>
      </c>
      <c r="J97" s="132">
        <f>'Overview IB'!M112</f>
        <v>0</v>
      </c>
      <c r="K97" s="132">
        <f>'Overview IB'!N112</f>
        <v>0</v>
      </c>
      <c r="L97" s="132">
        <f>'Overview IB'!O112</f>
        <v>0</v>
      </c>
      <c r="M97" s="132">
        <f>'Overview IB'!P112</f>
        <v>0</v>
      </c>
      <c r="N97" s="132">
        <f>'Overview IB'!Q112</f>
        <v>0</v>
      </c>
      <c r="O97" s="132">
        <f>'Overview IB'!R112</f>
        <v>0</v>
      </c>
      <c r="P97" s="32"/>
      <c r="Q97" s="64">
        <f t="shared" si="6"/>
        <v>0</v>
      </c>
      <c r="R97" s="103">
        <v>2</v>
      </c>
      <c r="S97" s="157">
        <f t="shared" si="7"/>
        <v>0</v>
      </c>
      <c r="T97" s="176" t="s">
        <v>162</v>
      </c>
      <c r="U97" s="134"/>
      <c r="V97" s="134"/>
      <c r="W97" s="134"/>
      <c r="X97" s="134"/>
      <c r="Y97" s="134"/>
      <c r="Z97" s="134"/>
      <c r="AA97" s="134"/>
      <c r="AB97" s="134"/>
      <c r="AC97" s="134"/>
      <c r="AD97" s="134"/>
      <c r="AE97" s="31"/>
      <c r="AF97" s="45"/>
      <c r="AG97" s="45"/>
      <c r="AH97" s="45"/>
      <c r="AI97" s="45"/>
    </row>
    <row r="98" spans="2:35" s="109" customFormat="1" ht="36.75" customHeight="1" x14ac:dyDescent="0.25">
      <c r="B98" s="81"/>
      <c r="C98" s="87" t="str">
        <f>'Overview IB'!C113</f>
        <v xml:space="preserve">Anzahl der Teilnehmenden, die Teilziele auf ihrem Weg zur LAP (gemäß individuellem Bildungsplan) erreicht haben. </v>
      </c>
      <c r="D98" s="64">
        <f>'Overview IB'!D113</f>
        <v>0</v>
      </c>
      <c r="E98" s="64">
        <f>'Overview IB'!E113</f>
        <v>0</v>
      </c>
      <c r="F98" s="132">
        <f>'Overview IB'!I113</f>
        <v>0</v>
      </c>
      <c r="G98" s="132">
        <f>'Overview IB'!J113</f>
        <v>0</v>
      </c>
      <c r="H98" s="132">
        <f>'Overview IB'!K113</f>
        <v>0</v>
      </c>
      <c r="I98" s="132">
        <f>'Overview IB'!L113</f>
        <v>0</v>
      </c>
      <c r="J98" s="132">
        <f>'Overview IB'!M113</f>
        <v>0</v>
      </c>
      <c r="K98" s="132">
        <f>'Overview IB'!N113</f>
        <v>0</v>
      </c>
      <c r="L98" s="132">
        <f>'Overview IB'!O113</f>
        <v>0</v>
      </c>
      <c r="M98" s="132">
        <f>'Overview IB'!P113</f>
        <v>0</v>
      </c>
      <c r="N98" s="132">
        <f>'Overview IB'!Q113</f>
        <v>0</v>
      </c>
      <c r="O98" s="132">
        <f>'Overview IB'!R113</f>
        <v>0</v>
      </c>
      <c r="P98" s="32"/>
      <c r="Q98" s="64">
        <f t="shared" si="6"/>
        <v>0</v>
      </c>
      <c r="R98" s="103">
        <v>22</v>
      </c>
      <c r="S98" s="157">
        <f t="shared" si="7"/>
        <v>0</v>
      </c>
      <c r="T98" s="175" t="s">
        <v>163</v>
      </c>
      <c r="U98" s="134"/>
      <c r="V98" s="134"/>
      <c r="W98" s="134"/>
      <c r="X98" s="134"/>
      <c r="Y98" s="134"/>
      <c r="Z98" s="134"/>
      <c r="AA98" s="134"/>
      <c r="AB98" s="134"/>
      <c r="AC98" s="134"/>
      <c r="AD98" s="134"/>
      <c r="AE98" s="31"/>
      <c r="AF98" s="45"/>
      <c r="AG98" s="45"/>
      <c r="AH98" s="45"/>
      <c r="AI98" s="45"/>
    </row>
    <row r="99" spans="2:35" s="109" customFormat="1" x14ac:dyDescent="0.25">
      <c r="B99" s="110"/>
      <c r="C99" s="34"/>
      <c r="D99" s="11"/>
      <c r="E99" s="11"/>
      <c r="F99" s="34"/>
      <c r="G99" s="34"/>
      <c r="H99" s="34"/>
      <c r="I99" s="34"/>
      <c r="J99" s="34"/>
      <c r="K99" s="34"/>
      <c r="L99" s="34"/>
      <c r="M99" s="34"/>
      <c r="N99" s="34"/>
      <c r="O99" s="34"/>
      <c r="P99" s="34"/>
      <c r="Q99" s="34"/>
      <c r="R99" s="34"/>
      <c r="S99" s="34"/>
      <c r="T99" s="122"/>
      <c r="U99" s="34"/>
      <c r="V99" s="34"/>
      <c r="W99" s="34"/>
      <c r="X99" s="34"/>
      <c r="Y99" s="34"/>
      <c r="Z99" s="34"/>
      <c r="AA99" s="34"/>
      <c r="AB99" s="34"/>
      <c r="AC99" s="34"/>
      <c r="AD99" s="34"/>
      <c r="AE99" s="111"/>
      <c r="AF99" s="45"/>
      <c r="AG99" s="45"/>
      <c r="AH99" s="45"/>
      <c r="AI99" s="45"/>
    </row>
    <row r="100" spans="2:35" s="109" customFormat="1" x14ac:dyDescent="0.25">
      <c r="D100" s="112"/>
      <c r="E100" s="112"/>
      <c r="F100" s="113"/>
      <c r="G100" s="113"/>
      <c r="H100" s="113"/>
      <c r="I100" s="113"/>
      <c r="J100" s="113"/>
      <c r="K100" s="113"/>
      <c r="L100" s="113"/>
      <c r="M100" s="113"/>
      <c r="N100" s="113"/>
      <c r="O100" s="113"/>
      <c r="P100" s="94"/>
      <c r="Q100" s="113"/>
      <c r="R100" s="113"/>
      <c r="S100" s="113"/>
      <c r="T100" s="123"/>
      <c r="U100" s="112"/>
      <c r="V100" s="112"/>
      <c r="W100" s="112"/>
      <c r="X100" s="112"/>
      <c r="Y100" s="112"/>
      <c r="Z100" s="112"/>
      <c r="AA100" s="112"/>
      <c r="AB100" s="112"/>
      <c r="AC100" s="112"/>
      <c r="AD100" s="112"/>
      <c r="AE100" s="45"/>
      <c r="AF100" s="45"/>
      <c r="AG100" s="45"/>
      <c r="AH100" s="45"/>
      <c r="AI100" s="45"/>
    </row>
    <row r="101" spans="2:35" s="109" customFormat="1" x14ac:dyDescent="0.25">
      <c r="D101" s="112"/>
      <c r="E101" s="112"/>
      <c r="F101" s="113"/>
      <c r="G101" s="113"/>
      <c r="H101" s="113"/>
      <c r="I101" s="113"/>
      <c r="J101" s="113"/>
      <c r="K101" s="113"/>
      <c r="L101" s="113"/>
      <c r="M101" s="113"/>
      <c r="N101" s="113"/>
      <c r="O101" s="113"/>
      <c r="P101" s="94"/>
      <c r="Q101" s="113"/>
      <c r="R101" s="113"/>
      <c r="S101" s="113"/>
      <c r="T101" s="123"/>
      <c r="U101" s="112"/>
      <c r="V101" s="112"/>
      <c r="W101" s="112"/>
      <c r="X101" s="112"/>
      <c r="Y101" s="112"/>
      <c r="Z101" s="112"/>
      <c r="AA101" s="112"/>
      <c r="AB101" s="112"/>
      <c r="AC101" s="112"/>
      <c r="AD101" s="112"/>
      <c r="AE101" s="45"/>
      <c r="AF101" s="45"/>
      <c r="AG101" s="45"/>
      <c r="AH101" s="45"/>
      <c r="AI101" s="45"/>
    </row>
    <row r="102" spans="2:35" s="109" customFormat="1" x14ac:dyDescent="0.25">
      <c r="D102" s="112"/>
      <c r="E102" s="112"/>
      <c r="F102" s="114"/>
      <c r="G102" s="114"/>
      <c r="H102" s="114"/>
      <c r="I102" s="114"/>
      <c r="J102" s="114"/>
      <c r="K102" s="114"/>
      <c r="L102" s="114"/>
      <c r="M102" s="114"/>
      <c r="N102" s="114"/>
      <c r="O102" s="114"/>
      <c r="P102" s="94"/>
      <c r="Q102" s="114"/>
      <c r="R102" s="114"/>
      <c r="S102" s="112"/>
      <c r="T102" s="112"/>
      <c r="U102" s="112"/>
      <c r="V102" s="112"/>
      <c r="W102" s="112"/>
      <c r="X102" s="112"/>
      <c r="Y102" s="112"/>
      <c r="Z102" s="112"/>
      <c r="AA102" s="112"/>
      <c r="AB102" s="112"/>
      <c r="AC102" s="112"/>
      <c r="AD102" s="112"/>
      <c r="AE102" s="45"/>
      <c r="AF102" s="45"/>
      <c r="AG102" s="45"/>
      <c r="AH102" s="45"/>
      <c r="AI102" s="45"/>
    </row>
    <row r="103" spans="2:35" s="109" customFormat="1" x14ac:dyDescent="0.25">
      <c r="D103" s="112"/>
      <c r="E103" s="112"/>
      <c r="F103" s="115"/>
      <c r="G103" s="115"/>
      <c r="H103" s="115"/>
      <c r="I103" s="115"/>
      <c r="J103" s="115"/>
      <c r="K103" s="115"/>
      <c r="L103" s="115"/>
      <c r="M103" s="115"/>
      <c r="N103" s="115"/>
      <c r="O103" s="115"/>
      <c r="P103" s="94"/>
      <c r="Q103" s="115"/>
      <c r="R103" s="115"/>
      <c r="S103" s="112"/>
      <c r="T103" s="112"/>
      <c r="U103" s="112"/>
      <c r="V103" s="112"/>
      <c r="W103" s="112"/>
      <c r="X103" s="112"/>
      <c r="Y103" s="112"/>
      <c r="Z103" s="112"/>
      <c r="AB103" s="112"/>
      <c r="AC103" s="112"/>
      <c r="AD103" s="112"/>
      <c r="AE103" s="45"/>
      <c r="AF103" s="45"/>
      <c r="AG103" s="45"/>
      <c r="AH103" s="45"/>
      <c r="AI103" s="45"/>
    </row>
    <row r="104" spans="2:35" s="109" customFormat="1" x14ac:dyDescent="0.25">
      <c r="D104" s="112"/>
      <c r="E104" s="112"/>
      <c r="F104" s="115"/>
      <c r="G104" s="115"/>
      <c r="H104" s="115"/>
      <c r="I104" s="115"/>
      <c r="J104" s="115"/>
      <c r="K104" s="115"/>
      <c r="L104" s="115"/>
      <c r="M104" s="115"/>
      <c r="N104" s="115"/>
      <c r="O104" s="115"/>
      <c r="P104" s="94"/>
      <c r="Q104" s="115"/>
      <c r="R104" s="115"/>
      <c r="S104" s="112"/>
      <c r="T104" s="112"/>
      <c r="U104" s="112"/>
      <c r="V104" s="112"/>
      <c r="W104" s="112"/>
      <c r="X104" s="112"/>
      <c r="Y104" s="112"/>
      <c r="Z104" s="112"/>
      <c r="AA104" s="112"/>
      <c r="AB104" s="112"/>
      <c r="AC104" s="112"/>
      <c r="AD104" s="112"/>
      <c r="AE104" s="45"/>
      <c r="AF104" s="45"/>
      <c r="AG104" s="45"/>
      <c r="AH104" s="45"/>
      <c r="AI104" s="45"/>
    </row>
    <row r="105" spans="2:35" s="109" customFormat="1" x14ac:dyDescent="0.25">
      <c r="D105" s="112"/>
      <c r="E105" s="112"/>
      <c r="F105" s="115"/>
      <c r="G105" s="115"/>
      <c r="H105" s="115"/>
      <c r="I105" s="115"/>
      <c r="J105" s="115"/>
      <c r="K105" s="115"/>
      <c r="L105" s="115"/>
      <c r="M105" s="115"/>
      <c r="N105" s="115"/>
      <c r="O105" s="115"/>
      <c r="P105" s="94"/>
      <c r="Q105" s="115"/>
      <c r="R105" s="115"/>
      <c r="S105" s="112"/>
      <c r="T105" s="112"/>
      <c r="U105" s="112"/>
      <c r="V105" s="112"/>
      <c r="W105" s="112"/>
      <c r="X105" s="112"/>
      <c r="Y105" s="112"/>
      <c r="Z105" s="112"/>
      <c r="AA105" s="112"/>
      <c r="AB105" s="112"/>
      <c r="AC105" s="112"/>
      <c r="AD105" s="112"/>
      <c r="AE105" s="45"/>
      <c r="AF105" s="45"/>
      <c r="AG105" s="45"/>
      <c r="AH105" s="45"/>
      <c r="AI105" s="45"/>
    </row>
    <row r="106" spans="2:35" x14ac:dyDescent="0.25">
      <c r="C106" s="109"/>
      <c r="D106" s="112"/>
      <c r="E106" s="112"/>
      <c r="F106" s="113"/>
      <c r="G106" s="113"/>
      <c r="H106" s="113"/>
      <c r="I106" s="113"/>
      <c r="J106" s="113"/>
      <c r="K106" s="113"/>
      <c r="L106" s="113"/>
      <c r="M106" s="113"/>
      <c r="N106" s="113"/>
      <c r="O106" s="113"/>
      <c r="Q106" s="113"/>
      <c r="R106" s="113"/>
      <c r="S106" s="112"/>
      <c r="T106" s="112"/>
      <c r="U106" s="112"/>
      <c r="V106" s="112"/>
      <c r="W106" s="112"/>
      <c r="X106" s="112"/>
      <c r="Y106" s="112"/>
      <c r="Z106" s="112"/>
      <c r="AA106" s="112"/>
      <c r="AB106" s="112"/>
      <c r="AC106" s="112"/>
      <c r="AD106" s="112"/>
    </row>
    <row r="107" spans="2:35" x14ac:dyDescent="0.25">
      <c r="S107" s="112"/>
      <c r="T107" s="112"/>
      <c r="U107" s="112"/>
      <c r="V107" s="112"/>
      <c r="W107" s="112"/>
      <c r="X107" s="112"/>
      <c r="Y107" s="112"/>
      <c r="Z107" s="112"/>
      <c r="AA107" s="112"/>
      <c r="AB107" s="112"/>
      <c r="AC107" s="112"/>
      <c r="AD107" s="112"/>
    </row>
    <row r="108" spans="2:35" x14ac:dyDescent="0.25">
      <c r="S108" s="112"/>
      <c r="T108" s="112"/>
      <c r="U108" s="112"/>
      <c r="V108" s="112"/>
      <c r="W108" s="112"/>
      <c r="X108" s="112"/>
      <c r="Y108" s="112"/>
      <c r="Z108" s="112"/>
      <c r="AA108" s="112"/>
      <c r="AB108" s="112"/>
      <c r="AC108" s="112"/>
      <c r="AD108" s="112"/>
    </row>
    <row r="109" spans="2:35" x14ac:dyDescent="0.25">
      <c r="S109" s="112"/>
      <c r="T109" s="112"/>
      <c r="U109" s="112"/>
      <c r="V109" s="112"/>
      <c r="W109" s="112"/>
      <c r="X109" s="112"/>
      <c r="Y109" s="112"/>
      <c r="Z109" s="112"/>
      <c r="AA109" s="112"/>
      <c r="AB109" s="112"/>
      <c r="AC109" s="112"/>
      <c r="AD109" s="112"/>
    </row>
    <row r="110" spans="2:35" x14ac:dyDescent="0.25">
      <c r="S110" s="112"/>
      <c r="T110" s="112"/>
      <c r="U110" s="112"/>
      <c r="V110" s="112"/>
      <c r="W110" s="112"/>
      <c r="X110" s="112"/>
      <c r="Y110" s="112"/>
      <c r="Z110" s="112"/>
      <c r="AA110" s="112"/>
      <c r="AB110" s="112"/>
      <c r="AC110" s="112"/>
      <c r="AD110" s="112"/>
    </row>
    <row r="111" spans="2:35" x14ac:dyDescent="0.25">
      <c r="S111" s="112"/>
      <c r="T111" s="112"/>
      <c r="U111" s="112"/>
      <c r="V111" s="112"/>
      <c r="W111" s="112"/>
      <c r="X111" s="112"/>
      <c r="Y111" s="112"/>
      <c r="Z111" s="112"/>
      <c r="AA111" s="112"/>
      <c r="AB111" s="112"/>
      <c r="AC111" s="112"/>
      <c r="AD111" s="112"/>
    </row>
    <row r="112" spans="2:35" x14ac:dyDescent="0.25">
      <c r="S112" s="112"/>
      <c r="T112" s="112"/>
      <c r="U112" s="112"/>
      <c r="V112" s="112"/>
      <c r="W112" s="112"/>
      <c r="X112" s="112"/>
      <c r="Y112" s="112"/>
      <c r="Z112" s="112"/>
      <c r="AA112" s="112"/>
      <c r="AB112" s="112"/>
      <c r="AC112" s="112"/>
      <c r="AD112" s="112"/>
    </row>
    <row r="113" spans="19:30" x14ac:dyDescent="0.25">
      <c r="S113" s="112"/>
      <c r="T113" s="112"/>
      <c r="U113" s="112"/>
      <c r="V113" s="112"/>
      <c r="W113" s="112"/>
      <c r="X113" s="112"/>
      <c r="Y113" s="112"/>
      <c r="Z113" s="112"/>
      <c r="AA113" s="112"/>
      <c r="AB113" s="112"/>
      <c r="AC113" s="112"/>
      <c r="AD113" s="112"/>
    </row>
    <row r="114" spans="19:30" x14ac:dyDescent="0.25">
      <c r="S114" s="112"/>
      <c r="T114" s="112"/>
      <c r="U114" s="112"/>
      <c r="V114" s="112"/>
      <c r="W114" s="112"/>
      <c r="X114" s="112"/>
      <c r="Y114" s="112"/>
      <c r="Z114" s="112"/>
      <c r="AA114" s="112"/>
      <c r="AB114" s="112"/>
      <c r="AC114" s="112"/>
      <c r="AD114" s="112"/>
    </row>
    <row r="115" spans="19:30" x14ac:dyDescent="0.25">
      <c r="S115" s="112"/>
      <c r="T115" s="112"/>
      <c r="U115" s="112"/>
      <c r="V115" s="112"/>
      <c r="W115" s="112"/>
      <c r="X115" s="112"/>
      <c r="Y115" s="112"/>
      <c r="Z115" s="112"/>
      <c r="AA115" s="112"/>
      <c r="AB115" s="112"/>
      <c r="AC115" s="112"/>
      <c r="AD115" s="112"/>
    </row>
    <row r="116" spans="19:30" x14ac:dyDescent="0.25">
      <c r="S116" s="112"/>
      <c r="T116" s="112"/>
      <c r="U116" s="112"/>
      <c r="V116" s="112"/>
      <c r="W116" s="112"/>
      <c r="X116" s="112"/>
      <c r="Y116" s="112"/>
      <c r="Z116" s="112"/>
      <c r="AA116" s="112"/>
      <c r="AB116" s="112"/>
      <c r="AC116" s="112"/>
      <c r="AD116" s="112"/>
    </row>
    <row r="117" spans="19:30" x14ac:dyDescent="0.25">
      <c r="S117" s="112"/>
      <c r="T117" s="112"/>
      <c r="U117" s="112"/>
      <c r="V117" s="112"/>
      <c r="W117" s="112"/>
      <c r="X117" s="112"/>
      <c r="Y117" s="112"/>
      <c r="Z117" s="112"/>
      <c r="AA117" s="112"/>
      <c r="AB117" s="112"/>
      <c r="AC117" s="112"/>
      <c r="AD117" s="112"/>
    </row>
    <row r="118" spans="19:30" x14ac:dyDescent="0.25">
      <c r="T118" s="118"/>
      <c r="V118" s="93"/>
      <c r="Y118" s="93"/>
    </row>
    <row r="119" spans="19:30" x14ac:dyDescent="0.25">
      <c r="T119" s="118"/>
      <c r="V119" s="93"/>
      <c r="Y119" s="93"/>
    </row>
    <row r="120" spans="19:30" x14ac:dyDescent="0.25">
      <c r="T120" s="118"/>
      <c r="V120" s="93"/>
      <c r="Y120" s="93"/>
    </row>
    <row r="121" spans="19:30" x14ac:dyDescent="0.25">
      <c r="T121" s="118"/>
      <c r="V121" s="93"/>
      <c r="Y121" s="93"/>
    </row>
    <row r="122" spans="19:30" x14ac:dyDescent="0.25">
      <c r="T122" s="118"/>
      <c r="V122" s="93"/>
      <c r="Y122" s="93"/>
    </row>
    <row r="123" spans="19:30" x14ac:dyDescent="0.25">
      <c r="T123" s="118"/>
      <c r="V123" s="93"/>
      <c r="Y123" s="93"/>
    </row>
    <row r="124" spans="19:30" x14ac:dyDescent="0.25">
      <c r="T124" s="118"/>
      <c r="V124" s="93"/>
      <c r="Y124" s="93"/>
    </row>
    <row r="125" spans="19:30" x14ac:dyDescent="0.25">
      <c r="T125" s="118"/>
      <c r="V125" s="93"/>
      <c r="Y125" s="93"/>
    </row>
    <row r="126" spans="19:30" x14ac:dyDescent="0.25">
      <c r="T126" s="118"/>
      <c r="V126" s="93"/>
      <c r="Y126" s="93"/>
    </row>
    <row r="127" spans="19:30" x14ac:dyDescent="0.25">
      <c r="T127" s="118"/>
      <c r="V127" s="93"/>
      <c r="Y127" s="93"/>
    </row>
    <row r="128" spans="19:30" x14ac:dyDescent="0.25">
      <c r="T128" s="118"/>
      <c r="V128" s="93"/>
      <c r="Y128" s="93"/>
    </row>
    <row r="129" spans="20:25" x14ac:dyDescent="0.25">
      <c r="T129" s="118"/>
      <c r="V129" s="93"/>
      <c r="Y129" s="93"/>
    </row>
    <row r="130" spans="20:25" x14ac:dyDescent="0.25">
      <c r="T130" s="118"/>
      <c r="V130" s="93"/>
      <c r="Y130" s="93"/>
    </row>
    <row r="131" spans="20:25" x14ac:dyDescent="0.25">
      <c r="T131" s="118"/>
      <c r="V131" s="93"/>
      <c r="Y131" s="93"/>
    </row>
    <row r="132" spans="20:25" x14ac:dyDescent="0.25">
      <c r="T132" s="118"/>
      <c r="V132" s="93"/>
      <c r="Y132" s="93"/>
    </row>
    <row r="133" spans="20:25" x14ac:dyDescent="0.25">
      <c r="T133" s="118"/>
      <c r="V133" s="93"/>
      <c r="Y133" s="93"/>
    </row>
    <row r="134" spans="20:25" x14ac:dyDescent="0.25">
      <c r="T134" s="118"/>
      <c r="V134" s="93"/>
      <c r="Y134" s="93"/>
    </row>
    <row r="135" spans="20:25" x14ac:dyDescent="0.25">
      <c r="T135" s="118"/>
      <c r="V135" s="93"/>
      <c r="Y135" s="93"/>
    </row>
    <row r="136" spans="20:25" x14ac:dyDescent="0.25">
      <c r="T136" s="118"/>
      <c r="V136" s="93"/>
      <c r="Y136" s="93"/>
    </row>
    <row r="137" spans="20:25" x14ac:dyDescent="0.25">
      <c r="T137" s="118"/>
      <c r="V137" s="93"/>
      <c r="Y137" s="93"/>
    </row>
    <row r="138" spans="20:25" x14ac:dyDescent="0.25">
      <c r="T138" s="118"/>
      <c r="V138" s="93"/>
      <c r="Y138" s="93"/>
    </row>
    <row r="139" spans="20:25" x14ac:dyDescent="0.25">
      <c r="T139" s="118"/>
      <c r="V139" s="93"/>
      <c r="Y139" s="93"/>
    </row>
    <row r="140" spans="20:25" x14ac:dyDescent="0.25">
      <c r="T140" s="118"/>
      <c r="V140" s="93"/>
      <c r="Y140" s="93"/>
    </row>
    <row r="141" spans="20:25" x14ac:dyDescent="0.25">
      <c r="T141" s="118"/>
      <c r="V141" s="93"/>
      <c r="Y141" s="93"/>
    </row>
    <row r="142" spans="20:25" x14ac:dyDescent="0.25">
      <c r="T142" s="118"/>
      <c r="V142" s="93"/>
      <c r="Y142" s="93"/>
    </row>
    <row r="143" spans="20:25" x14ac:dyDescent="0.25">
      <c r="T143" s="118"/>
      <c r="V143" s="93"/>
      <c r="Y143" s="93"/>
    </row>
    <row r="144" spans="20:25" x14ac:dyDescent="0.25">
      <c r="T144" s="118"/>
      <c r="V144" s="93"/>
      <c r="Y144" s="93"/>
    </row>
    <row r="145" spans="20:25" x14ac:dyDescent="0.25">
      <c r="T145" s="118"/>
      <c r="V145" s="93"/>
      <c r="Y145" s="93"/>
    </row>
    <row r="146" spans="20:25" x14ac:dyDescent="0.25">
      <c r="T146" s="118"/>
      <c r="V146" s="93"/>
      <c r="Y146" s="93"/>
    </row>
    <row r="147" spans="20:25" x14ac:dyDescent="0.25">
      <c r="T147" s="118"/>
      <c r="V147" s="93"/>
      <c r="Y147" s="93"/>
    </row>
    <row r="148" spans="20:25" x14ac:dyDescent="0.25">
      <c r="T148" s="118"/>
      <c r="V148" s="93"/>
      <c r="Y148" s="93"/>
    </row>
    <row r="149" spans="20:25" x14ac:dyDescent="0.25">
      <c r="T149" s="118"/>
      <c r="V149" s="93"/>
      <c r="Y149" s="93"/>
    </row>
    <row r="150" spans="20:25" x14ac:dyDescent="0.25">
      <c r="T150" s="118"/>
      <c r="V150" s="93"/>
      <c r="Y150" s="93"/>
    </row>
    <row r="151" spans="20:25" x14ac:dyDescent="0.25">
      <c r="T151" s="118"/>
      <c r="V151" s="93"/>
      <c r="Y151" s="93"/>
    </row>
    <row r="152" spans="20:25" x14ac:dyDescent="0.25">
      <c r="T152" s="118"/>
      <c r="V152" s="93"/>
      <c r="Y152" s="93"/>
    </row>
    <row r="153" spans="20:25" x14ac:dyDescent="0.25">
      <c r="T153" s="118"/>
      <c r="V153" s="93"/>
      <c r="Y153" s="93"/>
    </row>
    <row r="154" spans="20:25" x14ac:dyDescent="0.25">
      <c r="T154" s="118"/>
      <c r="V154" s="93"/>
      <c r="Y154" s="93"/>
    </row>
    <row r="155" spans="20:25" x14ac:dyDescent="0.25">
      <c r="T155" s="118"/>
      <c r="V155" s="93"/>
      <c r="Y155" s="93"/>
    </row>
    <row r="156" spans="20:25" x14ac:dyDescent="0.25">
      <c r="T156" s="118"/>
      <c r="V156" s="93"/>
      <c r="Y156" s="93"/>
    </row>
    <row r="157" spans="20:25" x14ac:dyDescent="0.25">
      <c r="T157" s="118"/>
      <c r="V157" s="93"/>
      <c r="Y157" s="93"/>
    </row>
    <row r="158" spans="20:25" x14ac:dyDescent="0.25">
      <c r="T158" s="118"/>
      <c r="V158" s="93"/>
      <c r="Y158" s="93"/>
    </row>
    <row r="159" spans="20:25" x14ac:dyDescent="0.25">
      <c r="T159" s="118"/>
      <c r="V159" s="93"/>
      <c r="Y159" s="93"/>
    </row>
    <row r="160" spans="20:25" x14ac:dyDescent="0.25">
      <c r="T160" s="118"/>
      <c r="V160" s="93"/>
      <c r="Y160" s="93"/>
    </row>
    <row r="161" spans="20:25" x14ac:dyDescent="0.25">
      <c r="T161" s="118"/>
      <c r="V161" s="93"/>
      <c r="Y161" s="93"/>
    </row>
    <row r="162" spans="20:25" x14ac:dyDescent="0.25">
      <c r="T162" s="118"/>
      <c r="V162" s="93"/>
      <c r="Y162" s="93"/>
    </row>
    <row r="163" spans="20:25" x14ac:dyDescent="0.25">
      <c r="T163" s="118"/>
      <c r="V163" s="93"/>
      <c r="Y163" s="93"/>
    </row>
    <row r="164" spans="20:25" x14ac:dyDescent="0.25">
      <c r="T164" s="118"/>
      <c r="V164" s="93"/>
      <c r="Y164" s="93"/>
    </row>
    <row r="165" spans="20:25" x14ac:dyDescent="0.25">
      <c r="T165" s="118"/>
      <c r="V165" s="93"/>
      <c r="Y165" s="93"/>
    </row>
    <row r="166" spans="20:25" x14ac:dyDescent="0.25">
      <c r="T166" s="118"/>
      <c r="V166" s="93"/>
      <c r="Y166" s="93"/>
    </row>
    <row r="167" spans="20:25" x14ac:dyDescent="0.25">
      <c r="T167" s="118"/>
      <c r="V167" s="93"/>
      <c r="Y167" s="93"/>
    </row>
    <row r="168" spans="20:25" x14ac:dyDescent="0.25">
      <c r="T168" s="118"/>
      <c r="V168" s="93"/>
      <c r="Y168" s="93"/>
    </row>
    <row r="169" spans="20:25" x14ac:dyDescent="0.25">
      <c r="T169" s="118"/>
      <c r="V169" s="93"/>
      <c r="Y169" s="93"/>
    </row>
    <row r="170" spans="20:25" x14ac:dyDescent="0.25">
      <c r="T170" s="118"/>
      <c r="V170" s="93"/>
      <c r="Y170" s="93"/>
    </row>
    <row r="171" spans="20:25" x14ac:dyDescent="0.25">
      <c r="T171" s="118"/>
      <c r="V171" s="93"/>
      <c r="Y171" s="93"/>
    </row>
    <row r="172" spans="20:25" x14ac:dyDescent="0.25">
      <c r="T172" s="118"/>
      <c r="V172" s="93"/>
      <c r="Y172" s="93"/>
    </row>
    <row r="173" spans="20:25" x14ac:dyDescent="0.25">
      <c r="T173" s="118"/>
      <c r="V173" s="93"/>
      <c r="Y173" s="93"/>
    </row>
    <row r="174" spans="20:25" x14ac:dyDescent="0.25">
      <c r="T174" s="118"/>
      <c r="V174" s="93"/>
      <c r="Y174" s="93"/>
    </row>
    <row r="175" spans="20:25" x14ac:dyDescent="0.25">
      <c r="T175" s="118"/>
      <c r="V175" s="93"/>
      <c r="Y175" s="93"/>
    </row>
    <row r="176" spans="20:25" x14ac:dyDescent="0.25">
      <c r="T176" s="118"/>
      <c r="V176" s="93"/>
      <c r="Y176" s="93"/>
    </row>
    <row r="177" spans="20:25" x14ac:dyDescent="0.25">
      <c r="T177" s="118"/>
      <c r="V177" s="93"/>
      <c r="Y177" s="93"/>
    </row>
    <row r="178" spans="20:25" x14ac:dyDescent="0.25">
      <c r="T178" s="118"/>
      <c r="V178" s="93"/>
      <c r="Y178" s="93"/>
    </row>
    <row r="179" spans="20:25" x14ac:dyDescent="0.25">
      <c r="T179" s="118"/>
      <c r="V179" s="93"/>
      <c r="Y179" s="93"/>
    </row>
    <row r="180" spans="20:25" x14ac:dyDescent="0.25">
      <c r="T180" s="118"/>
      <c r="V180" s="93"/>
      <c r="Y180" s="93"/>
    </row>
    <row r="181" spans="20:25" x14ac:dyDescent="0.25">
      <c r="T181" s="118"/>
      <c r="V181" s="93"/>
      <c r="Y181" s="93"/>
    </row>
    <row r="182" spans="20:25" x14ac:dyDescent="0.25">
      <c r="T182" s="118"/>
      <c r="V182" s="93"/>
      <c r="Y182" s="93"/>
    </row>
    <row r="183" spans="20:25" x14ac:dyDescent="0.25">
      <c r="T183" s="118"/>
      <c r="V183" s="93"/>
      <c r="Y183" s="93"/>
    </row>
    <row r="184" spans="20:25" x14ac:dyDescent="0.25">
      <c r="T184" s="118"/>
      <c r="V184" s="93"/>
      <c r="Y184" s="93"/>
    </row>
    <row r="185" spans="20:25" x14ac:dyDescent="0.25">
      <c r="T185" s="118"/>
      <c r="V185" s="93"/>
      <c r="Y185" s="93"/>
    </row>
    <row r="186" spans="20:25" x14ac:dyDescent="0.25">
      <c r="T186" s="118"/>
      <c r="V186" s="93"/>
      <c r="Y186" s="93"/>
    </row>
    <row r="187" spans="20:25" x14ac:dyDescent="0.25">
      <c r="T187" s="118"/>
      <c r="V187" s="93"/>
      <c r="Y187" s="93"/>
    </row>
    <row r="188" spans="20:25" x14ac:dyDescent="0.25">
      <c r="T188" s="118"/>
      <c r="V188" s="93"/>
      <c r="Y188" s="93"/>
    </row>
    <row r="189" spans="20:25" x14ac:dyDescent="0.25">
      <c r="T189" s="118"/>
      <c r="V189" s="93"/>
      <c r="Y189" s="93"/>
    </row>
    <row r="190" spans="20:25" x14ac:dyDescent="0.25">
      <c r="T190" s="118"/>
      <c r="V190" s="93"/>
      <c r="Y190" s="93"/>
    </row>
    <row r="191" spans="20:25" x14ac:dyDescent="0.25">
      <c r="T191" s="118"/>
      <c r="V191" s="93"/>
      <c r="Y191" s="93"/>
    </row>
    <row r="192" spans="20:25" x14ac:dyDescent="0.25">
      <c r="T192" s="118"/>
      <c r="V192" s="93"/>
      <c r="Y192" s="93"/>
    </row>
    <row r="193" spans="20:25" x14ac:dyDescent="0.25">
      <c r="T193" s="118"/>
      <c r="V193" s="93"/>
      <c r="Y193" s="93"/>
    </row>
    <row r="194" spans="20:25" x14ac:dyDescent="0.25">
      <c r="T194" s="118"/>
      <c r="V194" s="93"/>
      <c r="Y194" s="93"/>
    </row>
    <row r="195" spans="20:25" x14ac:dyDescent="0.25">
      <c r="T195" s="118"/>
      <c r="V195" s="93"/>
      <c r="Y195" s="93"/>
    </row>
    <row r="196" spans="20:25" x14ac:dyDescent="0.25">
      <c r="T196" s="118"/>
      <c r="V196" s="93"/>
      <c r="Y196" s="93"/>
    </row>
    <row r="197" spans="20:25" x14ac:dyDescent="0.25">
      <c r="T197" s="118"/>
      <c r="V197" s="93"/>
      <c r="Y197" s="93"/>
    </row>
    <row r="198" spans="20:25" x14ac:dyDescent="0.25">
      <c r="T198" s="118"/>
      <c r="V198" s="93"/>
      <c r="Y198" s="93"/>
    </row>
    <row r="199" spans="20:25" x14ac:dyDescent="0.25">
      <c r="T199" s="118"/>
      <c r="V199" s="93"/>
      <c r="Y199" s="93"/>
    </row>
    <row r="200" spans="20:25" x14ac:dyDescent="0.25">
      <c r="T200" s="118"/>
      <c r="V200" s="93"/>
      <c r="Y200" s="93"/>
    </row>
    <row r="201" spans="20:25" x14ac:dyDescent="0.25">
      <c r="T201" s="118"/>
      <c r="V201" s="93"/>
      <c r="Y201" s="93"/>
    </row>
    <row r="202" spans="20:25" x14ac:dyDescent="0.25">
      <c r="T202" s="118"/>
      <c r="V202" s="93"/>
      <c r="Y202" s="93"/>
    </row>
    <row r="203" spans="20:25" x14ac:dyDescent="0.25">
      <c r="T203" s="118"/>
      <c r="V203" s="93"/>
      <c r="Y203" s="93"/>
    </row>
    <row r="204" spans="20:25" x14ac:dyDescent="0.25">
      <c r="T204" s="118"/>
      <c r="V204" s="93"/>
      <c r="Y204" s="93"/>
    </row>
    <row r="205" spans="20:25" x14ac:dyDescent="0.25">
      <c r="T205" s="118"/>
      <c r="V205" s="93"/>
      <c r="Y205" s="93"/>
    </row>
    <row r="206" spans="20:25" x14ac:dyDescent="0.25">
      <c r="T206" s="118"/>
      <c r="V206" s="93"/>
      <c r="Y206" s="93"/>
    </row>
    <row r="207" spans="20:25" x14ac:dyDescent="0.25">
      <c r="T207" s="118"/>
      <c r="V207" s="93"/>
      <c r="Y207" s="93"/>
    </row>
    <row r="208" spans="20:25" x14ac:dyDescent="0.25">
      <c r="T208" s="118"/>
      <c r="V208" s="93"/>
      <c r="Y208" s="93"/>
    </row>
    <row r="209" spans="20:25" x14ac:dyDescent="0.25">
      <c r="T209" s="118"/>
      <c r="V209" s="93"/>
      <c r="Y209" s="93"/>
    </row>
    <row r="210" spans="20:25" x14ac:dyDescent="0.25">
      <c r="T210" s="118"/>
      <c r="V210" s="93"/>
      <c r="Y210" s="93"/>
    </row>
    <row r="211" spans="20:25" x14ac:dyDescent="0.25">
      <c r="T211" s="118"/>
      <c r="V211" s="93"/>
      <c r="Y211" s="93"/>
    </row>
    <row r="212" spans="20:25" x14ac:dyDescent="0.25">
      <c r="T212" s="118"/>
      <c r="V212" s="93"/>
      <c r="Y212" s="93"/>
    </row>
    <row r="213" spans="20:25" x14ac:dyDescent="0.25">
      <c r="T213" s="118"/>
      <c r="V213" s="93"/>
      <c r="Y213" s="93"/>
    </row>
    <row r="214" spans="20:25" x14ac:dyDescent="0.25">
      <c r="T214" s="118"/>
      <c r="V214" s="93"/>
      <c r="Y214" s="93"/>
    </row>
    <row r="215" spans="20:25" x14ac:dyDescent="0.25">
      <c r="T215" s="118"/>
      <c r="V215" s="93"/>
      <c r="Y215" s="93"/>
    </row>
    <row r="216" spans="20:25" x14ac:dyDescent="0.25">
      <c r="T216" s="118"/>
      <c r="V216" s="93"/>
      <c r="Y216" s="93"/>
    </row>
    <row r="217" spans="20:25" x14ac:dyDescent="0.25">
      <c r="T217" s="118"/>
      <c r="V217" s="93"/>
      <c r="Y217" s="93"/>
    </row>
    <row r="218" spans="20:25" x14ac:dyDescent="0.25">
      <c r="T218" s="118"/>
      <c r="V218" s="93"/>
      <c r="Y218" s="93"/>
    </row>
    <row r="219" spans="20:25" x14ac:dyDescent="0.25">
      <c r="T219" s="118"/>
      <c r="V219" s="93"/>
      <c r="Y219" s="93"/>
    </row>
    <row r="220" spans="20:25" x14ac:dyDescent="0.25">
      <c r="T220" s="118"/>
      <c r="V220" s="93"/>
      <c r="Y220" s="93"/>
    </row>
    <row r="221" spans="20:25" x14ac:dyDescent="0.25">
      <c r="T221" s="118"/>
      <c r="V221" s="93"/>
      <c r="Y221" s="93"/>
    </row>
    <row r="222" spans="20:25" x14ac:dyDescent="0.25">
      <c r="T222" s="118"/>
      <c r="V222" s="93"/>
      <c r="Y222" s="93"/>
    </row>
    <row r="223" spans="20:25" x14ac:dyDescent="0.25">
      <c r="T223" s="118"/>
      <c r="V223" s="93"/>
      <c r="Y223" s="93"/>
    </row>
    <row r="224" spans="20:25" x14ac:dyDescent="0.25">
      <c r="T224" s="118"/>
      <c r="V224" s="93"/>
      <c r="Y224" s="93"/>
    </row>
    <row r="225" spans="20:25" x14ac:dyDescent="0.25">
      <c r="T225" s="118"/>
      <c r="V225" s="93"/>
      <c r="Y225" s="93"/>
    </row>
    <row r="226" spans="20:25" x14ac:dyDescent="0.25">
      <c r="T226" s="118"/>
      <c r="V226" s="93"/>
      <c r="Y226" s="93"/>
    </row>
    <row r="227" spans="20:25" x14ac:dyDescent="0.25">
      <c r="T227" s="118"/>
      <c r="V227" s="93"/>
      <c r="Y227" s="93"/>
    </row>
    <row r="228" spans="20:25" x14ac:dyDescent="0.25">
      <c r="T228" s="118"/>
      <c r="V228" s="93"/>
      <c r="Y228" s="93"/>
    </row>
    <row r="229" spans="20:25" x14ac:dyDescent="0.25">
      <c r="T229" s="118"/>
      <c r="V229" s="93"/>
      <c r="Y229" s="93"/>
    </row>
    <row r="230" spans="20:25" x14ac:dyDescent="0.25">
      <c r="T230" s="118"/>
      <c r="V230" s="93"/>
      <c r="Y230" s="93"/>
    </row>
    <row r="231" spans="20:25" x14ac:dyDescent="0.25">
      <c r="T231" s="118"/>
      <c r="V231" s="93"/>
      <c r="Y231" s="93"/>
    </row>
    <row r="232" spans="20:25" x14ac:dyDescent="0.25">
      <c r="T232" s="118"/>
      <c r="V232" s="93"/>
      <c r="Y232" s="93"/>
    </row>
    <row r="233" spans="20:25" x14ac:dyDescent="0.25">
      <c r="T233" s="118"/>
      <c r="V233" s="93"/>
      <c r="Y233" s="93"/>
    </row>
    <row r="234" spans="20:25" x14ac:dyDescent="0.25">
      <c r="T234" s="118"/>
      <c r="V234" s="93"/>
      <c r="Y234" s="93"/>
    </row>
    <row r="235" spans="20:25" x14ac:dyDescent="0.25">
      <c r="T235" s="118"/>
      <c r="V235" s="93"/>
      <c r="Y235" s="93"/>
    </row>
    <row r="236" spans="20:25" x14ac:dyDescent="0.25">
      <c r="T236" s="118"/>
      <c r="V236" s="93"/>
      <c r="Y236" s="93"/>
    </row>
    <row r="237" spans="20:25" x14ac:dyDescent="0.25">
      <c r="T237" s="118"/>
      <c r="V237" s="93"/>
      <c r="Y237" s="93"/>
    </row>
    <row r="238" spans="20:25" x14ac:dyDescent="0.25">
      <c r="T238" s="118"/>
      <c r="V238" s="93"/>
      <c r="Y238" s="93"/>
    </row>
    <row r="239" spans="20:25" x14ac:dyDescent="0.25">
      <c r="T239" s="118"/>
      <c r="V239" s="93"/>
      <c r="Y239" s="93"/>
    </row>
    <row r="240" spans="20:25" x14ac:dyDescent="0.25">
      <c r="T240" s="118"/>
      <c r="V240" s="93"/>
      <c r="Y240" s="93"/>
    </row>
    <row r="241" spans="20:25" x14ac:dyDescent="0.25">
      <c r="T241" s="118"/>
      <c r="V241" s="93"/>
      <c r="Y241" s="93"/>
    </row>
    <row r="242" spans="20:25" x14ac:dyDescent="0.25">
      <c r="T242" s="118"/>
      <c r="V242" s="93"/>
      <c r="Y242" s="93"/>
    </row>
    <row r="243" spans="20:25" x14ac:dyDescent="0.25">
      <c r="T243" s="118"/>
      <c r="V243" s="93"/>
      <c r="Y243" s="93"/>
    </row>
    <row r="244" spans="20:25" x14ac:dyDescent="0.25">
      <c r="T244" s="118"/>
      <c r="V244" s="93"/>
      <c r="Y244" s="93"/>
    </row>
    <row r="245" spans="20:25" x14ac:dyDescent="0.25">
      <c r="T245" s="118"/>
      <c r="V245" s="93"/>
      <c r="Y245" s="93"/>
    </row>
    <row r="246" spans="20:25" x14ac:dyDescent="0.25">
      <c r="T246" s="118"/>
      <c r="V246" s="93"/>
      <c r="Y246" s="93"/>
    </row>
    <row r="247" spans="20:25" x14ac:dyDescent="0.25">
      <c r="T247" s="118"/>
      <c r="V247" s="93"/>
      <c r="Y247" s="93"/>
    </row>
    <row r="248" spans="20:25" x14ac:dyDescent="0.25">
      <c r="T248" s="118"/>
      <c r="V248" s="93"/>
      <c r="Y248" s="93"/>
    </row>
    <row r="249" spans="20:25" x14ac:dyDescent="0.25">
      <c r="T249" s="118"/>
      <c r="V249" s="93"/>
      <c r="Y249" s="93"/>
    </row>
    <row r="250" spans="20:25" x14ac:dyDescent="0.25">
      <c r="T250" s="118"/>
      <c r="V250" s="93"/>
      <c r="Y250" s="93"/>
    </row>
    <row r="251" spans="20:25" x14ac:dyDescent="0.25">
      <c r="T251" s="118"/>
      <c r="V251" s="93"/>
      <c r="Y251" s="93"/>
    </row>
    <row r="252" spans="20:25" x14ac:dyDescent="0.25">
      <c r="T252" s="118"/>
      <c r="V252" s="93"/>
      <c r="Y252" s="93"/>
    </row>
    <row r="253" spans="20:25" x14ac:dyDescent="0.25">
      <c r="T253" s="118"/>
      <c r="V253" s="93"/>
      <c r="Y253" s="93"/>
    </row>
    <row r="254" spans="20:25" x14ac:dyDescent="0.25">
      <c r="T254" s="118"/>
      <c r="V254" s="93"/>
      <c r="Y254" s="93"/>
    </row>
    <row r="255" spans="20:25" x14ac:dyDescent="0.25">
      <c r="T255" s="118"/>
      <c r="V255" s="93"/>
      <c r="Y255" s="93"/>
    </row>
    <row r="256" spans="20:25" x14ac:dyDescent="0.25">
      <c r="T256" s="118"/>
      <c r="V256" s="93"/>
      <c r="Y256" s="93"/>
    </row>
    <row r="257" spans="20:25" x14ac:dyDescent="0.25">
      <c r="T257" s="118"/>
      <c r="V257" s="93"/>
      <c r="Y257" s="93"/>
    </row>
    <row r="258" spans="20:25" x14ac:dyDescent="0.25">
      <c r="T258" s="118"/>
      <c r="V258" s="93"/>
      <c r="Y258" s="93"/>
    </row>
    <row r="259" spans="20:25" x14ac:dyDescent="0.25">
      <c r="T259" s="118"/>
      <c r="V259" s="93"/>
      <c r="Y259" s="93"/>
    </row>
    <row r="260" spans="20:25" x14ac:dyDescent="0.25">
      <c r="T260" s="118"/>
      <c r="V260" s="93"/>
      <c r="Y260" s="93"/>
    </row>
    <row r="261" spans="20:25" x14ac:dyDescent="0.25">
      <c r="T261" s="118"/>
      <c r="V261" s="93"/>
      <c r="Y261" s="93"/>
    </row>
    <row r="262" spans="20:25" x14ac:dyDescent="0.25">
      <c r="T262" s="118"/>
      <c r="V262" s="93"/>
      <c r="Y262" s="93"/>
    </row>
    <row r="263" spans="20:25" x14ac:dyDescent="0.25">
      <c r="T263" s="118"/>
      <c r="V263" s="93"/>
      <c r="Y263" s="93"/>
    </row>
    <row r="264" spans="20:25" x14ac:dyDescent="0.25">
      <c r="T264" s="118"/>
      <c r="V264" s="93"/>
      <c r="Y264" s="93"/>
    </row>
    <row r="265" spans="20:25" x14ac:dyDescent="0.25">
      <c r="T265" s="118"/>
      <c r="V265" s="93"/>
      <c r="Y265" s="93"/>
    </row>
    <row r="266" spans="20:25" x14ac:dyDescent="0.25">
      <c r="T266" s="118"/>
      <c r="V266" s="93"/>
      <c r="Y266" s="93"/>
    </row>
    <row r="267" spans="20:25" x14ac:dyDescent="0.25">
      <c r="T267" s="118"/>
      <c r="V267" s="93"/>
      <c r="Y267" s="93"/>
    </row>
    <row r="268" spans="20:25" x14ac:dyDescent="0.25">
      <c r="T268" s="118"/>
      <c r="V268" s="93"/>
      <c r="Y268" s="93"/>
    </row>
    <row r="269" spans="20:25" x14ac:dyDescent="0.25">
      <c r="T269" s="118"/>
      <c r="V269" s="93"/>
      <c r="Y269" s="93"/>
    </row>
    <row r="270" spans="20:25" x14ac:dyDescent="0.25">
      <c r="T270" s="118"/>
      <c r="V270" s="93"/>
      <c r="Y270" s="93"/>
    </row>
    <row r="271" spans="20:25" x14ac:dyDescent="0.25">
      <c r="T271" s="118"/>
      <c r="V271" s="93"/>
      <c r="Y271" s="93"/>
    </row>
    <row r="272" spans="20:25" x14ac:dyDescent="0.25">
      <c r="T272" s="118"/>
      <c r="V272" s="93"/>
      <c r="Y272" s="93"/>
    </row>
    <row r="273" spans="20:25" x14ac:dyDescent="0.25">
      <c r="T273" s="118"/>
      <c r="V273" s="93"/>
      <c r="Y273" s="93"/>
    </row>
    <row r="274" spans="20:25" x14ac:dyDescent="0.25">
      <c r="T274" s="118"/>
      <c r="V274" s="93"/>
      <c r="Y274" s="93"/>
    </row>
    <row r="275" spans="20:25" x14ac:dyDescent="0.25">
      <c r="T275" s="118"/>
      <c r="V275" s="93"/>
      <c r="Y275" s="93"/>
    </row>
    <row r="276" spans="20:25" x14ac:dyDescent="0.25">
      <c r="T276" s="118"/>
      <c r="V276" s="93"/>
      <c r="Y276" s="93"/>
    </row>
    <row r="277" spans="20:25" x14ac:dyDescent="0.25">
      <c r="T277" s="118"/>
      <c r="V277" s="93"/>
      <c r="Y277" s="93"/>
    </row>
    <row r="278" spans="20:25" x14ac:dyDescent="0.25">
      <c r="T278" s="118"/>
      <c r="V278" s="93"/>
      <c r="Y278" s="93"/>
    </row>
    <row r="279" spans="20:25" x14ac:dyDescent="0.25">
      <c r="T279" s="118"/>
      <c r="V279" s="93"/>
      <c r="Y279" s="93"/>
    </row>
    <row r="280" spans="20:25" x14ac:dyDescent="0.25">
      <c r="T280" s="118"/>
      <c r="V280" s="93"/>
      <c r="Y280" s="93"/>
    </row>
    <row r="281" spans="20:25" x14ac:dyDescent="0.25">
      <c r="T281" s="118"/>
      <c r="V281" s="93"/>
      <c r="Y281" s="93"/>
    </row>
    <row r="282" spans="20:25" x14ac:dyDescent="0.25">
      <c r="T282" s="118"/>
      <c r="V282" s="93"/>
      <c r="Y282" s="93"/>
    </row>
    <row r="283" spans="20:25" x14ac:dyDescent="0.25">
      <c r="T283" s="118"/>
      <c r="V283" s="93"/>
      <c r="Y283" s="93"/>
    </row>
    <row r="284" spans="20:25" x14ac:dyDescent="0.25">
      <c r="T284" s="118"/>
      <c r="V284" s="93"/>
      <c r="Y284" s="93"/>
    </row>
    <row r="285" spans="20:25" x14ac:dyDescent="0.25">
      <c r="T285" s="118"/>
      <c r="V285" s="93"/>
      <c r="Y285" s="93"/>
    </row>
    <row r="286" spans="20:25" x14ac:dyDescent="0.25">
      <c r="T286" s="118"/>
      <c r="V286" s="93"/>
      <c r="Y286" s="93"/>
    </row>
    <row r="287" spans="20:25" x14ac:dyDescent="0.25">
      <c r="T287" s="118"/>
      <c r="V287" s="93"/>
      <c r="Y287" s="93"/>
    </row>
    <row r="288" spans="20:25" x14ac:dyDescent="0.25">
      <c r="T288" s="118"/>
      <c r="V288" s="93"/>
      <c r="Y288" s="93"/>
    </row>
    <row r="289" spans="20:25" x14ac:dyDescent="0.25">
      <c r="T289" s="118"/>
      <c r="V289" s="93"/>
      <c r="Y289" s="93"/>
    </row>
    <row r="290" spans="20:25" x14ac:dyDescent="0.25">
      <c r="T290" s="118"/>
      <c r="V290" s="93"/>
      <c r="Y290" s="93"/>
    </row>
    <row r="291" spans="20:25" x14ac:dyDescent="0.25">
      <c r="T291" s="118"/>
      <c r="V291" s="93"/>
      <c r="Y291" s="93"/>
    </row>
    <row r="292" spans="20:25" x14ac:dyDescent="0.25">
      <c r="T292" s="118"/>
      <c r="V292" s="93"/>
      <c r="Y292" s="93"/>
    </row>
    <row r="293" spans="20:25" x14ac:dyDescent="0.25">
      <c r="T293" s="118"/>
      <c r="V293" s="93"/>
      <c r="Y293" s="93"/>
    </row>
    <row r="294" spans="20:25" x14ac:dyDescent="0.25">
      <c r="T294" s="118"/>
      <c r="V294" s="93"/>
      <c r="Y294" s="93"/>
    </row>
    <row r="295" spans="20:25" x14ac:dyDescent="0.25">
      <c r="T295" s="118"/>
      <c r="V295" s="93"/>
      <c r="Y295" s="93"/>
    </row>
    <row r="296" spans="20:25" x14ac:dyDescent="0.25">
      <c r="T296" s="118"/>
      <c r="V296" s="93"/>
      <c r="Y296" s="93"/>
    </row>
    <row r="297" spans="20:25" x14ac:dyDescent="0.25">
      <c r="T297" s="118"/>
      <c r="V297" s="93"/>
      <c r="Y297" s="93"/>
    </row>
    <row r="298" spans="20:25" x14ac:dyDescent="0.25">
      <c r="T298" s="118"/>
      <c r="V298" s="93"/>
      <c r="Y298" s="93"/>
    </row>
    <row r="299" spans="20:25" x14ac:dyDescent="0.25">
      <c r="T299" s="118"/>
      <c r="V299" s="93"/>
      <c r="Y299" s="93"/>
    </row>
    <row r="300" spans="20:25" x14ac:dyDescent="0.25">
      <c r="T300" s="118"/>
      <c r="V300" s="93"/>
      <c r="Y300" s="93"/>
    </row>
    <row r="301" spans="20:25" x14ac:dyDescent="0.25">
      <c r="T301" s="118"/>
      <c r="V301" s="93"/>
      <c r="Y301" s="93"/>
    </row>
    <row r="302" spans="20:25" x14ac:dyDescent="0.25">
      <c r="T302" s="118"/>
      <c r="V302" s="93"/>
      <c r="Y302" s="93"/>
    </row>
    <row r="303" spans="20:25" x14ac:dyDescent="0.25">
      <c r="T303" s="118"/>
      <c r="V303" s="93"/>
      <c r="Y303" s="93"/>
    </row>
    <row r="304" spans="20:25" x14ac:dyDescent="0.25">
      <c r="T304" s="118"/>
      <c r="V304" s="93"/>
      <c r="Y304" s="93"/>
    </row>
    <row r="305" spans="20:25" x14ac:dyDescent="0.25">
      <c r="T305" s="118"/>
      <c r="V305" s="93"/>
      <c r="Y305" s="93"/>
    </row>
    <row r="306" spans="20:25" x14ac:dyDescent="0.25">
      <c r="T306" s="118"/>
      <c r="V306" s="93"/>
      <c r="Y306" s="93"/>
    </row>
    <row r="307" spans="20:25" x14ac:dyDescent="0.25">
      <c r="T307" s="118"/>
      <c r="V307" s="93"/>
      <c r="Y307" s="93"/>
    </row>
    <row r="308" spans="20:25" x14ac:dyDescent="0.25">
      <c r="T308" s="118"/>
      <c r="V308" s="93"/>
      <c r="Y308" s="93"/>
    </row>
    <row r="309" spans="20:25" x14ac:dyDescent="0.25">
      <c r="T309" s="118"/>
      <c r="V309" s="93"/>
      <c r="Y309" s="93"/>
    </row>
    <row r="310" spans="20:25" x14ac:dyDescent="0.25">
      <c r="T310" s="118"/>
      <c r="V310" s="93"/>
      <c r="Y310" s="93"/>
    </row>
    <row r="311" spans="20:25" x14ac:dyDescent="0.25">
      <c r="T311" s="118"/>
      <c r="V311" s="93"/>
      <c r="Y311" s="93"/>
    </row>
    <row r="312" spans="20:25" x14ac:dyDescent="0.25">
      <c r="T312" s="118"/>
      <c r="V312" s="93"/>
      <c r="Y312" s="93"/>
    </row>
    <row r="313" spans="20:25" x14ac:dyDescent="0.25">
      <c r="T313" s="118"/>
      <c r="V313" s="93"/>
      <c r="Y313" s="93"/>
    </row>
    <row r="314" spans="20:25" x14ac:dyDescent="0.25">
      <c r="T314" s="118"/>
      <c r="V314" s="93"/>
      <c r="Y314" s="93"/>
    </row>
    <row r="315" spans="20:25" x14ac:dyDescent="0.25">
      <c r="T315" s="118"/>
      <c r="V315" s="93"/>
      <c r="Y315" s="93"/>
    </row>
    <row r="316" spans="20:25" x14ac:dyDescent="0.25">
      <c r="T316" s="118"/>
      <c r="V316" s="93"/>
      <c r="Y316" s="93"/>
    </row>
    <row r="317" spans="20:25" x14ac:dyDescent="0.25">
      <c r="T317" s="118"/>
      <c r="V317" s="93"/>
      <c r="Y317" s="93"/>
    </row>
    <row r="318" spans="20:25" x14ac:dyDescent="0.25">
      <c r="T318" s="118"/>
      <c r="V318" s="93"/>
      <c r="Y318" s="93"/>
    </row>
    <row r="319" spans="20:25" x14ac:dyDescent="0.25">
      <c r="T319" s="118"/>
      <c r="V319" s="93"/>
      <c r="Y319" s="93"/>
    </row>
    <row r="320" spans="20:25" x14ac:dyDescent="0.25">
      <c r="T320" s="118"/>
      <c r="V320" s="93"/>
      <c r="Y320" s="93"/>
    </row>
    <row r="321" spans="20:25" x14ac:dyDescent="0.25">
      <c r="T321" s="118"/>
      <c r="V321" s="93"/>
      <c r="Y321" s="93"/>
    </row>
    <row r="322" spans="20:25" x14ac:dyDescent="0.25">
      <c r="T322" s="118"/>
      <c r="V322" s="93"/>
      <c r="Y322" s="93"/>
    </row>
    <row r="323" spans="20:25" x14ac:dyDescent="0.25">
      <c r="T323" s="118"/>
      <c r="V323" s="93"/>
      <c r="Y323" s="93"/>
    </row>
    <row r="324" spans="20:25" x14ac:dyDescent="0.25">
      <c r="T324" s="118"/>
      <c r="V324" s="93"/>
      <c r="Y324" s="93"/>
    </row>
    <row r="325" spans="20:25" x14ac:dyDescent="0.25">
      <c r="T325" s="118"/>
      <c r="V325" s="93"/>
      <c r="Y325" s="93"/>
    </row>
    <row r="326" spans="20:25" x14ac:dyDescent="0.25">
      <c r="T326" s="118"/>
      <c r="V326" s="93"/>
      <c r="Y326" s="93"/>
    </row>
    <row r="327" spans="20:25" x14ac:dyDescent="0.25">
      <c r="T327" s="118"/>
      <c r="V327" s="93"/>
      <c r="Y327" s="93"/>
    </row>
    <row r="328" spans="20:25" x14ac:dyDescent="0.25">
      <c r="T328" s="118"/>
      <c r="V328" s="93"/>
      <c r="Y328" s="93"/>
    </row>
    <row r="329" spans="20:25" x14ac:dyDescent="0.25">
      <c r="T329" s="118"/>
      <c r="V329" s="93"/>
      <c r="Y329" s="93"/>
    </row>
    <row r="330" spans="20:25" x14ac:dyDescent="0.25">
      <c r="T330" s="118"/>
      <c r="V330" s="93"/>
      <c r="Y330" s="93"/>
    </row>
    <row r="331" spans="20:25" x14ac:dyDescent="0.25">
      <c r="T331" s="118"/>
      <c r="V331" s="93"/>
      <c r="Y331" s="93"/>
    </row>
    <row r="332" spans="20:25" x14ac:dyDescent="0.25">
      <c r="T332" s="118"/>
      <c r="V332" s="93"/>
      <c r="Y332" s="93"/>
    </row>
    <row r="333" spans="20:25" x14ac:dyDescent="0.25">
      <c r="T333" s="118"/>
      <c r="V333" s="93"/>
      <c r="Y333" s="93"/>
    </row>
    <row r="334" spans="20:25" x14ac:dyDescent="0.25">
      <c r="T334" s="118"/>
      <c r="V334" s="93"/>
      <c r="Y334" s="93"/>
    </row>
    <row r="335" spans="20:25" x14ac:dyDescent="0.25">
      <c r="T335" s="118"/>
      <c r="V335" s="93"/>
      <c r="Y335" s="93"/>
    </row>
    <row r="336" spans="20:25" x14ac:dyDescent="0.25">
      <c r="T336" s="118"/>
      <c r="V336" s="93"/>
      <c r="Y336" s="93"/>
    </row>
    <row r="337" spans="20:25" x14ac:dyDescent="0.25">
      <c r="T337" s="118"/>
      <c r="V337" s="93"/>
      <c r="Y337" s="93"/>
    </row>
    <row r="338" spans="20:25" x14ac:dyDescent="0.25">
      <c r="T338" s="118"/>
      <c r="V338" s="93"/>
      <c r="Y338" s="93"/>
    </row>
    <row r="339" spans="20:25" x14ac:dyDescent="0.25">
      <c r="T339" s="118"/>
      <c r="V339" s="93"/>
      <c r="Y339" s="93"/>
    </row>
    <row r="340" spans="20:25" x14ac:dyDescent="0.25">
      <c r="T340" s="118"/>
      <c r="V340" s="93"/>
      <c r="Y340" s="93"/>
    </row>
    <row r="341" spans="20:25" x14ac:dyDescent="0.25">
      <c r="T341" s="118"/>
      <c r="V341" s="93"/>
      <c r="Y341" s="93"/>
    </row>
    <row r="342" spans="20:25" x14ac:dyDescent="0.25">
      <c r="T342" s="118"/>
      <c r="V342" s="93"/>
      <c r="Y342" s="93"/>
    </row>
    <row r="343" spans="20:25" x14ac:dyDescent="0.25">
      <c r="T343" s="118"/>
      <c r="V343" s="93"/>
      <c r="Y343" s="93"/>
    </row>
    <row r="344" spans="20:25" x14ac:dyDescent="0.25">
      <c r="T344" s="118"/>
      <c r="V344" s="93"/>
      <c r="Y344" s="93"/>
    </row>
    <row r="345" spans="20:25" x14ac:dyDescent="0.25">
      <c r="T345" s="118"/>
      <c r="V345" s="93"/>
      <c r="Y345" s="93"/>
    </row>
    <row r="346" spans="20:25" x14ac:dyDescent="0.25">
      <c r="T346" s="118"/>
      <c r="V346" s="93"/>
      <c r="Y346" s="93"/>
    </row>
    <row r="347" spans="20:25" x14ac:dyDescent="0.25">
      <c r="T347" s="118"/>
      <c r="V347" s="93"/>
      <c r="Y347" s="93"/>
    </row>
    <row r="348" spans="20:25" x14ac:dyDescent="0.25">
      <c r="T348" s="118"/>
      <c r="V348" s="93"/>
      <c r="Y348" s="93"/>
    </row>
    <row r="349" spans="20:25" x14ac:dyDescent="0.25">
      <c r="T349" s="118"/>
      <c r="V349" s="93"/>
      <c r="Y349" s="93"/>
    </row>
    <row r="350" spans="20:25" x14ac:dyDescent="0.25">
      <c r="T350" s="118"/>
      <c r="V350" s="93"/>
      <c r="Y350" s="93"/>
    </row>
    <row r="351" spans="20:25" x14ac:dyDescent="0.25">
      <c r="T351" s="118"/>
      <c r="V351" s="93"/>
      <c r="Y351" s="93"/>
    </row>
    <row r="352" spans="20:25" x14ac:dyDescent="0.25">
      <c r="T352" s="118"/>
      <c r="V352" s="93"/>
      <c r="Y352" s="93"/>
    </row>
    <row r="353" spans="20:25" x14ac:dyDescent="0.25">
      <c r="T353" s="118"/>
      <c r="V353" s="93"/>
      <c r="Y353" s="93"/>
    </row>
    <row r="354" spans="20:25" x14ac:dyDescent="0.25">
      <c r="T354" s="118"/>
      <c r="V354" s="93"/>
      <c r="Y354" s="93"/>
    </row>
    <row r="355" spans="20:25" x14ac:dyDescent="0.25">
      <c r="T355" s="118"/>
      <c r="V355" s="93"/>
      <c r="Y355" s="93"/>
    </row>
    <row r="356" spans="20:25" x14ac:dyDescent="0.25">
      <c r="T356" s="118"/>
      <c r="V356" s="93"/>
      <c r="Y356" s="93"/>
    </row>
    <row r="357" spans="20:25" x14ac:dyDescent="0.25">
      <c r="T357" s="118"/>
      <c r="V357" s="93"/>
      <c r="Y357" s="93"/>
    </row>
    <row r="358" spans="20:25" x14ac:dyDescent="0.25">
      <c r="T358" s="118"/>
      <c r="V358" s="93"/>
      <c r="Y358" s="93"/>
    </row>
    <row r="359" spans="20:25" x14ac:dyDescent="0.25">
      <c r="T359" s="118"/>
      <c r="V359" s="93"/>
      <c r="Y359" s="93"/>
    </row>
    <row r="360" spans="20:25" x14ac:dyDescent="0.25">
      <c r="T360" s="118"/>
      <c r="V360" s="93"/>
      <c r="Y360" s="93"/>
    </row>
    <row r="361" spans="20:25" x14ac:dyDescent="0.25">
      <c r="T361" s="118"/>
      <c r="V361" s="93"/>
      <c r="Y361" s="93"/>
    </row>
    <row r="362" spans="20:25" x14ac:dyDescent="0.25">
      <c r="T362" s="118"/>
      <c r="V362" s="93"/>
      <c r="Y362" s="93"/>
    </row>
    <row r="363" spans="20:25" x14ac:dyDescent="0.25">
      <c r="T363" s="118"/>
      <c r="V363" s="93"/>
      <c r="Y363" s="93"/>
    </row>
    <row r="364" spans="20:25" x14ac:dyDescent="0.25">
      <c r="T364" s="118"/>
      <c r="V364" s="93"/>
      <c r="Y364" s="93"/>
    </row>
    <row r="365" spans="20:25" x14ac:dyDescent="0.25">
      <c r="T365" s="118"/>
      <c r="V365" s="93"/>
      <c r="Y365" s="93"/>
    </row>
    <row r="366" spans="20:25" x14ac:dyDescent="0.25">
      <c r="T366" s="118"/>
      <c r="V366" s="93"/>
      <c r="Y366" s="93"/>
    </row>
    <row r="367" spans="20:25" x14ac:dyDescent="0.25">
      <c r="T367" s="118"/>
      <c r="V367" s="93"/>
      <c r="Y367" s="93"/>
    </row>
    <row r="368" spans="20:25" x14ac:dyDescent="0.25">
      <c r="T368" s="118"/>
      <c r="V368" s="93"/>
      <c r="Y368" s="93"/>
    </row>
    <row r="369" spans="20:25" x14ac:dyDescent="0.25">
      <c r="T369" s="118"/>
      <c r="V369" s="93"/>
      <c r="Y369" s="93"/>
    </row>
    <row r="370" spans="20:25" x14ac:dyDescent="0.25">
      <c r="T370" s="118"/>
      <c r="V370" s="93"/>
      <c r="Y370" s="93"/>
    </row>
    <row r="371" spans="20:25" x14ac:dyDescent="0.25">
      <c r="T371" s="118"/>
      <c r="V371" s="93"/>
      <c r="Y371" s="93"/>
    </row>
    <row r="372" spans="20:25" x14ac:dyDescent="0.25">
      <c r="T372" s="118"/>
      <c r="V372" s="93"/>
      <c r="Y372" s="93"/>
    </row>
    <row r="373" spans="20:25" x14ac:dyDescent="0.25">
      <c r="T373" s="118"/>
      <c r="V373" s="93"/>
      <c r="Y373" s="93"/>
    </row>
    <row r="374" spans="20:25" x14ac:dyDescent="0.25">
      <c r="T374" s="118"/>
      <c r="V374" s="93"/>
      <c r="Y374" s="93"/>
    </row>
    <row r="375" spans="20:25" x14ac:dyDescent="0.25">
      <c r="T375" s="118"/>
      <c r="V375" s="93"/>
      <c r="Y375" s="93"/>
    </row>
    <row r="376" spans="20:25" x14ac:dyDescent="0.25">
      <c r="T376" s="118"/>
      <c r="V376" s="93"/>
      <c r="Y376" s="93"/>
    </row>
    <row r="377" spans="20:25" x14ac:dyDescent="0.25">
      <c r="T377" s="118"/>
      <c r="V377" s="93"/>
      <c r="Y377" s="93"/>
    </row>
    <row r="378" spans="20:25" x14ac:dyDescent="0.25">
      <c r="T378" s="118"/>
      <c r="V378" s="93"/>
      <c r="Y378" s="93"/>
    </row>
    <row r="379" spans="20:25" x14ac:dyDescent="0.25">
      <c r="T379" s="118"/>
      <c r="V379" s="93"/>
      <c r="Y379" s="93"/>
    </row>
    <row r="380" spans="20:25" x14ac:dyDescent="0.25">
      <c r="T380" s="118"/>
      <c r="V380" s="93"/>
      <c r="Y380" s="93"/>
    </row>
    <row r="381" spans="20:25" x14ac:dyDescent="0.25">
      <c r="T381" s="118"/>
      <c r="V381" s="93"/>
      <c r="Y381" s="93"/>
    </row>
    <row r="382" spans="20:25" x14ac:dyDescent="0.25">
      <c r="T382" s="118"/>
      <c r="V382" s="93"/>
      <c r="Y382" s="93"/>
    </row>
    <row r="383" spans="20:25" x14ac:dyDescent="0.25">
      <c r="T383" s="118"/>
      <c r="V383" s="93"/>
      <c r="Y383" s="93"/>
    </row>
    <row r="384" spans="20:25" x14ac:dyDescent="0.25">
      <c r="T384" s="118"/>
      <c r="V384" s="93"/>
      <c r="Y384" s="93"/>
    </row>
    <row r="385" spans="20:25" x14ac:dyDescent="0.25">
      <c r="T385" s="118"/>
      <c r="V385" s="93"/>
      <c r="Y385" s="93"/>
    </row>
    <row r="386" spans="20:25" x14ac:dyDescent="0.25">
      <c r="T386" s="118"/>
      <c r="V386" s="93"/>
      <c r="Y386" s="93"/>
    </row>
    <row r="387" spans="20:25" x14ac:dyDescent="0.25">
      <c r="T387" s="118"/>
      <c r="V387" s="93"/>
      <c r="Y387" s="93"/>
    </row>
    <row r="388" spans="20:25" x14ac:dyDescent="0.25">
      <c r="T388" s="118"/>
      <c r="V388" s="93"/>
      <c r="Y388" s="93"/>
    </row>
    <row r="389" spans="20:25" x14ac:dyDescent="0.25">
      <c r="T389" s="118"/>
      <c r="V389" s="93"/>
      <c r="Y389" s="93"/>
    </row>
    <row r="390" spans="20:25" x14ac:dyDescent="0.25">
      <c r="T390" s="118"/>
      <c r="V390" s="93"/>
      <c r="Y390" s="93"/>
    </row>
    <row r="391" spans="20:25" x14ac:dyDescent="0.25">
      <c r="T391" s="118"/>
      <c r="V391" s="93"/>
      <c r="Y391" s="93"/>
    </row>
    <row r="392" spans="20:25" x14ac:dyDescent="0.25">
      <c r="T392" s="118"/>
      <c r="V392" s="93"/>
      <c r="Y392" s="93"/>
    </row>
    <row r="393" spans="20:25" x14ac:dyDescent="0.25">
      <c r="T393" s="118"/>
      <c r="V393" s="93"/>
      <c r="Y393" s="93"/>
    </row>
    <row r="394" spans="20:25" x14ac:dyDescent="0.25">
      <c r="T394" s="118"/>
      <c r="V394" s="93"/>
      <c r="Y394" s="93"/>
    </row>
    <row r="395" spans="20:25" x14ac:dyDescent="0.25">
      <c r="T395" s="118"/>
      <c r="V395" s="93"/>
      <c r="Y395" s="93"/>
    </row>
    <row r="396" spans="20:25" x14ac:dyDescent="0.25">
      <c r="T396" s="118"/>
      <c r="V396" s="93"/>
      <c r="Y396" s="93"/>
    </row>
    <row r="397" spans="20:25" x14ac:dyDescent="0.25">
      <c r="T397" s="118"/>
      <c r="V397" s="93"/>
      <c r="Y397" s="93"/>
    </row>
    <row r="398" spans="20:25" x14ac:dyDescent="0.25">
      <c r="T398" s="118"/>
      <c r="V398" s="93"/>
      <c r="Y398" s="93"/>
    </row>
    <row r="399" spans="20:25" x14ac:dyDescent="0.25">
      <c r="T399" s="118"/>
      <c r="V399" s="93"/>
      <c r="Y399" s="93"/>
    </row>
    <row r="400" spans="20:25" x14ac:dyDescent="0.25">
      <c r="T400" s="118"/>
      <c r="V400" s="93"/>
      <c r="Y400" s="93"/>
    </row>
    <row r="401" spans="20:25" x14ac:dyDescent="0.25">
      <c r="T401" s="118"/>
      <c r="V401" s="93"/>
      <c r="Y401" s="93"/>
    </row>
    <row r="402" spans="20:25" x14ac:dyDescent="0.25">
      <c r="T402" s="118"/>
      <c r="V402" s="93"/>
      <c r="Y402" s="93"/>
    </row>
    <row r="403" spans="20:25" x14ac:dyDescent="0.25">
      <c r="T403" s="118"/>
      <c r="V403" s="93"/>
      <c r="Y403" s="93"/>
    </row>
    <row r="404" spans="20:25" x14ac:dyDescent="0.25">
      <c r="T404" s="118"/>
      <c r="V404" s="93"/>
      <c r="Y404" s="93"/>
    </row>
    <row r="405" spans="20:25" x14ac:dyDescent="0.25">
      <c r="T405" s="118"/>
      <c r="V405" s="93"/>
      <c r="Y405" s="93"/>
    </row>
    <row r="406" spans="20:25" x14ac:dyDescent="0.25">
      <c r="T406" s="118"/>
      <c r="V406" s="93"/>
      <c r="Y406" s="93"/>
    </row>
    <row r="407" spans="20:25" x14ac:dyDescent="0.25">
      <c r="T407" s="118"/>
      <c r="V407" s="93"/>
      <c r="Y407" s="93"/>
    </row>
    <row r="408" spans="20:25" x14ac:dyDescent="0.25">
      <c r="T408" s="118"/>
      <c r="V408" s="93"/>
      <c r="Y408" s="93"/>
    </row>
    <row r="409" spans="20:25" x14ac:dyDescent="0.25">
      <c r="T409" s="118"/>
      <c r="V409" s="93"/>
      <c r="Y409" s="93"/>
    </row>
    <row r="410" spans="20:25" x14ac:dyDescent="0.25">
      <c r="T410" s="118"/>
      <c r="V410" s="93"/>
      <c r="Y410" s="93"/>
    </row>
    <row r="411" spans="20:25" x14ac:dyDescent="0.25">
      <c r="T411" s="118"/>
      <c r="V411" s="93"/>
      <c r="Y411" s="93"/>
    </row>
    <row r="412" spans="20:25" x14ac:dyDescent="0.25">
      <c r="T412" s="118"/>
      <c r="V412" s="93"/>
      <c r="Y412" s="93"/>
    </row>
    <row r="413" spans="20:25" x14ac:dyDescent="0.25">
      <c r="T413" s="118"/>
      <c r="V413" s="93"/>
      <c r="Y413" s="93"/>
    </row>
    <row r="414" spans="20:25" x14ac:dyDescent="0.25">
      <c r="T414" s="118"/>
      <c r="V414" s="93"/>
      <c r="Y414" s="93"/>
    </row>
    <row r="415" spans="20:25" x14ac:dyDescent="0.25">
      <c r="T415" s="118"/>
      <c r="V415" s="93"/>
      <c r="Y415" s="93"/>
    </row>
    <row r="416" spans="20:25" x14ac:dyDescent="0.25">
      <c r="T416" s="118"/>
      <c r="V416" s="93"/>
      <c r="Y416" s="93"/>
    </row>
    <row r="417" spans="20:25" x14ac:dyDescent="0.25">
      <c r="T417" s="118"/>
      <c r="V417" s="93"/>
      <c r="Y417" s="93"/>
    </row>
    <row r="418" spans="20:25" x14ac:dyDescent="0.25">
      <c r="T418" s="118"/>
      <c r="V418" s="93"/>
      <c r="Y418" s="93"/>
    </row>
    <row r="419" spans="20:25" x14ac:dyDescent="0.25">
      <c r="T419" s="118"/>
      <c r="V419" s="93"/>
      <c r="Y419" s="93"/>
    </row>
    <row r="420" spans="20:25" x14ac:dyDescent="0.25">
      <c r="T420" s="118"/>
      <c r="V420" s="93"/>
      <c r="Y420" s="93"/>
    </row>
    <row r="421" spans="20:25" x14ac:dyDescent="0.25">
      <c r="T421" s="118"/>
      <c r="V421" s="93"/>
      <c r="Y421" s="93"/>
    </row>
    <row r="422" spans="20:25" x14ac:dyDescent="0.25">
      <c r="T422" s="118"/>
      <c r="V422" s="93"/>
      <c r="Y422" s="93"/>
    </row>
    <row r="423" spans="20:25" x14ac:dyDescent="0.25">
      <c r="T423" s="118"/>
      <c r="V423" s="93"/>
      <c r="Y423" s="93"/>
    </row>
    <row r="424" spans="20:25" x14ac:dyDescent="0.25">
      <c r="T424" s="118"/>
      <c r="V424" s="93"/>
      <c r="Y424" s="93"/>
    </row>
    <row r="425" spans="20:25" x14ac:dyDescent="0.25">
      <c r="T425" s="118"/>
      <c r="V425" s="93"/>
      <c r="Y425" s="93"/>
    </row>
    <row r="426" spans="20:25" x14ac:dyDescent="0.25">
      <c r="T426" s="118"/>
      <c r="V426" s="93"/>
      <c r="Y426" s="93"/>
    </row>
    <row r="427" spans="20:25" x14ac:dyDescent="0.25">
      <c r="T427" s="118"/>
      <c r="V427" s="93"/>
      <c r="Y427" s="93"/>
    </row>
    <row r="428" spans="20:25" x14ac:dyDescent="0.25">
      <c r="T428" s="118"/>
      <c r="V428" s="93"/>
      <c r="Y428" s="93"/>
    </row>
    <row r="429" spans="20:25" x14ac:dyDescent="0.25">
      <c r="T429" s="118"/>
      <c r="V429" s="93"/>
      <c r="Y429" s="93"/>
    </row>
    <row r="430" spans="20:25" x14ac:dyDescent="0.25">
      <c r="T430" s="118"/>
      <c r="V430" s="93"/>
      <c r="Y430" s="93"/>
    </row>
    <row r="431" spans="20:25" x14ac:dyDescent="0.25">
      <c r="T431" s="118"/>
      <c r="V431" s="93"/>
      <c r="Y431" s="93"/>
    </row>
    <row r="432" spans="20:25" x14ac:dyDescent="0.25">
      <c r="T432" s="118"/>
      <c r="V432" s="93"/>
      <c r="Y432" s="93"/>
    </row>
    <row r="433" spans="20:25" x14ac:dyDescent="0.25">
      <c r="T433" s="118"/>
      <c r="V433" s="93"/>
      <c r="Y433" s="93"/>
    </row>
    <row r="434" spans="20:25" x14ac:dyDescent="0.25">
      <c r="T434" s="118"/>
      <c r="V434" s="93"/>
      <c r="Y434" s="93"/>
    </row>
    <row r="435" spans="20:25" x14ac:dyDescent="0.25">
      <c r="T435" s="118"/>
      <c r="V435" s="93"/>
      <c r="Y435" s="93"/>
    </row>
    <row r="436" spans="20:25" x14ac:dyDescent="0.25">
      <c r="T436" s="118"/>
      <c r="V436" s="93"/>
      <c r="Y436" s="93"/>
    </row>
    <row r="437" spans="20:25" x14ac:dyDescent="0.25">
      <c r="T437" s="118"/>
      <c r="V437" s="93"/>
      <c r="Y437" s="93"/>
    </row>
    <row r="438" spans="20:25" x14ac:dyDescent="0.25">
      <c r="T438" s="118"/>
      <c r="V438" s="93"/>
      <c r="Y438" s="93"/>
    </row>
    <row r="439" spans="20:25" x14ac:dyDescent="0.25">
      <c r="T439" s="118"/>
      <c r="V439" s="93"/>
      <c r="Y439" s="93"/>
    </row>
    <row r="440" spans="20:25" x14ac:dyDescent="0.25">
      <c r="T440" s="118"/>
      <c r="V440" s="93"/>
      <c r="Y440" s="93"/>
    </row>
    <row r="441" spans="20:25" x14ac:dyDescent="0.25">
      <c r="T441" s="118"/>
      <c r="V441" s="93"/>
      <c r="Y441" s="93"/>
    </row>
    <row r="442" spans="20:25" x14ac:dyDescent="0.25">
      <c r="T442" s="118"/>
      <c r="V442" s="93"/>
      <c r="Y442" s="93"/>
    </row>
    <row r="443" spans="20:25" x14ac:dyDescent="0.25">
      <c r="T443" s="118"/>
      <c r="V443" s="93"/>
      <c r="Y443" s="93"/>
    </row>
    <row r="444" spans="20:25" x14ac:dyDescent="0.25">
      <c r="T444" s="118"/>
      <c r="V444" s="93"/>
      <c r="Y444" s="93"/>
    </row>
    <row r="445" spans="20:25" x14ac:dyDescent="0.25">
      <c r="T445" s="118"/>
      <c r="V445" s="93"/>
      <c r="Y445" s="93"/>
    </row>
    <row r="446" spans="20:25" x14ac:dyDescent="0.25">
      <c r="T446" s="118"/>
      <c r="V446" s="93"/>
      <c r="Y446" s="93"/>
    </row>
    <row r="447" spans="20:25" x14ac:dyDescent="0.25">
      <c r="T447" s="118"/>
      <c r="V447" s="93"/>
      <c r="Y447" s="93"/>
    </row>
    <row r="448" spans="20:25" x14ac:dyDescent="0.25">
      <c r="T448" s="118"/>
      <c r="V448" s="93"/>
      <c r="Y448" s="93"/>
    </row>
    <row r="449" spans="20:25" x14ac:dyDescent="0.25">
      <c r="T449" s="118"/>
      <c r="V449" s="93"/>
      <c r="Y449" s="93"/>
    </row>
    <row r="450" spans="20:25" x14ac:dyDescent="0.25">
      <c r="T450" s="118"/>
      <c r="V450" s="93"/>
      <c r="Y450" s="93"/>
    </row>
    <row r="451" spans="20:25" x14ac:dyDescent="0.25">
      <c r="T451" s="118"/>
      <c r="V451" s="93"/>
      <c r="Y451" s="93"/>
    </row>
    <row r="452" spans="20:25" x14ac:dyDescent="0.25">
      <c r="T452" s="118"/>
      <c r="V452" s="93"/>
      <c r="Y452" s="93"/>
    </row>
    <row r="453" spans="20:25" x14ac:dyDescent="0.25">
      <c r="T453" s="118"/>
      <c r="V453" s="93"/>
      <c r="Y453" s="93"/>
    </row>
    <row r="454" spans="20:25" x14ac:dyDescent="0.25">
      <c r="T454" s="118"/>
      <c r="V454" s="93"/>
      <c r="Y454" s="93"/>
    </row>
    <row r="455" spans="20:25" x14ac:dyDescent="0.25">
      <c r="T455" s="118"/>
      <c r="V455" s="93"/>
      <c r="Y455" s="93"/>
    </row>
    <row r="456" spans="20:25" x14ac:dyDescent="0.25">
      <c r="T456" s="118"/>
      <c r="V456" s="93"/>
      <c r="Y456" s="93"/>
    </row>
    <row r="457" spans="20:25" x14ac:dyDescent="0.25">
      <c r="T457" s="118"/>
      <c r="V457" s="93"/>
      <c r="Y457" s="93"/>
    </row>
    <row r="458" spans="20:25" x14ac:dyDescent="0.25">
      <c r="T458" s="118"/>
      <c r="V458" s="93"/>
      <c r="Y458" s="93"/>
    </row>
    <row r="459" spans="20:25" x14ac:dyDescent="0.25">
      <c r="T459" s="118"/>
      <c r="V459" s="93"/>
      <c r="Y459" s="93"/>
    </row>
    <row r="460" spans="20:25" x14ac:dyDescent="0.25">
      <c r="T460" s="118"/>
      <c r="V460" s="93"/>
      <c r="Y460" s="93"/>
    </row>
    <row r="461" spans="20:25" x14ac:dyDescent="0.25">
      <c r="T461" s="118"/>
      <c r="V461" s="93"/>
      <c r="Y461" s="93"/>
    </row>
    <row r="462" spans="20:25" x14ac:dyDescent="0.25">
      <c r="T462" s="118"/>
      <c r="V462" s="93"/>
      <c r="Y462" s="93"/>
    </row>
    <row r="463" spans="20:25" x14ac:dyDescent="0.25">
      <c r="T463" s="118"/>
      <c r="V463" s="93"/>
      <c r="Y463" s="93"/>
    </row>
    <row r="464" spans="20:25" x14ac:dyDescent="0.25">
      <c r="T464" s="118"/>
      <c r="V464" s="93"/>
      <c r="Y464" s="93"/>
    </row>
    <row r="465" spans="20:25" x14ac:dyDescent="0.25">
      <c r="T465" s="118"/>
      <c r="V465" s="93"/>
      <c r="Y465" s="93"/>
    </row>
    <row r="466" spans="20:25" x14ac:dyDescent="0.25">
      <c r="T466" s="118"/>
      <c r="V466" s="93"/>
      <c r="Y466" s="93"/>
    </row>
    <row r="467" spans="20:25" x14ac:dyDescent="0.25">
      <c r="T467" s="118"/>
      <c r="V467" s="93"/>
      <c r="Y467" s="93"/>
    </row>
    <row r="468" spans="20:25" x14ac:dyDescent="0.25">
      <c r="T468" s="118"/>
      <c r="V468" s="93"/>
      <c r="Y468" s="93"/>
    </row>
    <row r="469" spans="20:25" x14ac:dyDescent="0.25">
      <c r="T469" s="118"/>
      <c r="V469" s="93"/>
      <c r="Y469" s="93"/>
    </row>
    <row r="470" spans="20:25" x14ac:dyDescent="0.25">
      <c r="T470" s="118"/>
      <c r="V470" s="93"/>
      <c r="Y470" s="93"/>
    </row>
    <row r="471" spans="20:25" x14ac:dyDescent="0.25">
      <c r="T471" s="118"/>
      <c r="V471" s="93"/>
      <c r="Y471" s="93"/>
    </row>
    <row r="472" spans="20:25" x14ac:dyDescent="0.25">
      <c r="T472" s="118"/>
      <c r="V472" s="93"/>
      <c r="Y472" s="93"/>
    </row>
    <row r="473" spans="20:25" x14ac:dyDescent="0.25">
      <c r="T473" s="118"/>
      <c r="V473" s="93"/>
      <c r="Y473" s="93"/>
    </row>
    <row r="474" spans="20:25" x14ac:dyDescent="0.25">
      <c r="T474" s="118"/>
      <c r="V474" s="93"/>
      <c r="Y474" s="93"/>
    </row>
    <row r="475" spans="20:25" x14ac:dyDescent="0.25">
      <c r="T475" s="118"/>
      <c r="V475" s="93"/>
      <c r="Y475" s="93"/>
    </row>
    <row r="476" spans="20:25" x14ac:dyDescent="0.25">
      <c r="T476" s="118"/>
      <c r="V476" s="93"/>
      <c r="Y476" s="93"/>
    </row>
    <row r="477" spans="20:25" x14ac:dyDescent="0.25">
      <c r="T477" s="118"/>
      <c r="V477" s="93"/>
      <c r="Y477" s="93"/>
    </row>
    <row r="478" spans="20:25" x14ac:dyDescent="0.25">
      <c r="T478" s="118"/>
      <c r="V478" s="93"/>
      <c r="Y478" s="93"/>
    </row>
    <row r="479" spans="20:25" x14ac:dyDescent="0.25">
      <c r="T479" s="118"/>
      <c r="V479" s="93"/>
      <c r="Y479" s="93"/>
    </row>
    <row r="480" spans="20:25" x14ac:dyDescent="0.25">
      <c r="T480" s="118"/>
      <c r="V480" s="93"/>
      <c r="Y480" s="93"/>
    </row>
    <row r="481" spans="20:25" x14ac:dyDescent="0.25">
      <c r="T481" s="118"/>
      <c r="V481" s="93"/>
      <c r="Y481" s="93"/>
    </row>
    <row r="482" spans="20:25" x14ac:dyDescent="0.25">
      <c r="T482" s="118"/>
      <c r="V482" s="93"/>
      <c r="Y482" s="93"/>
    </row>
    <row r="483" spans="20:25" x14ac:dyDescent="0.25">
      <c r="T483" s="118"/>
      <c r="V483" s="93"/>
      <c r="Y483" s="93"/>
    </row>
    <row r="484" spans="20:25" x14ac:dyDescent="0.25">
      <c r="T484" s="118"/>
      <c r="V484" s="93"/>
      <c r="Y484" s="93"/>
    </row>
    <row r="485" spans="20:25" x14ac:dyDescent="0.25">
      <c r="T485" s="118"/>
      <c r="V485" s="93"/>
      <c r="Y485" s="93"/>
    </row>
    <row r="486" spans="20:25" x14ac:dyDescent="0.25">
      <c r="T486" s="118"/>
      <c r="V486" s="93"/>
      <c r="Y486" s="93"/>
    </row>
    <row r="487" spans="20:25" x14ac:dyDescent="0.25">
      <c r="T487" s="118"/>
      <c r="V487" s="93"/>
      <c r="Y487" s="93"/>
    </row>
    <row r="488" spans="20:25" x14ac:dyDescent="0.25">
      <c r="T488" s="118"/>
      <c r="V488" s="93"/>
      <c r="Y488" s="93"/>
    </row>
    <row r="489" spans="20:25" x14ac:dyDescent="0.25">
      <c r="T489" s="118"/>
      <c r="V489" s="93"/>
      <c r="Y489" s="93"/>
    </row>
    <row r="490" spans="20:25" x14ac:dyDescent="0.25">
      <c r="T490" s="118"/>
      <c r="V490" s="93"/>
      <c r="Y490" s="93"/>
    </row>
    <row r="491" spans="20:25" x14ac:dyDescent="0.25">
      <c r="T491" s="118"/>
      <c r="V491" s="93"/>
      <c r="Y491" s="93"/>
    </row>
    <row r="492" spans="20:25" x14ac:dyDescent="0.25">
      <c r="T492" s="118"/>
      <c r="V492" s="93"/>
      <c r="Y492" s="93"/>
    </row>
    <row r="493" spans="20:25" x14ac:dyDescent="0.25">
      <c r="T493" s="118"/>
      <c r="V493" s="93"/>
      <c r="Y493" s="93"/>
    </row>
    <row r="494" spans="20:25" x14ac:dyDescent="0.25">
      <c r="T494" s="118"/>
      <c r="V494" s="93"/>
      <c r="Y494" s="93"/>
    </row>
    <row r="495" spans="20:25" x14ac:dyDescent="0.25">
      <c r="T495" s="118"/>
      <c r="V495" s="93"/>
      <c r="Y495" s="93"/>
    </row>
    <row r="496" spans="20:25" x14ac:dyDescent="0.25">
      <c r="T496" s="118"/>
      <c r="V496" s="93"/>
      <c r="Y496" s="93"/>
    </row>
    <row r="497" spans="20:25" x14ac:dyDescent="0.25">
      <c r="T497" s="118"/>
      <c r="V497" s="93"/>
      <c r="Y497" s="93"/>
    </row>
    <row r="498" spans="20:25" x14ac:dyDescent="0.25">
      <c r="T498" s="118"/>
      <c r="V498" s="93"/>
      <c r="Y498" s="93"/>
    </row>
    <row r="499" spans="20:25" x14ac:dyDescent="0.25">
      <c r="T499" s="118"/>
      <c r="V499" s="93"/>
      <c r="Y499" s="93"/>
    </row>
    <row r="500" spans="20:25" x14ac:dyDescent="0.25">
      <c r="T500" s="118"/>
      <c r="V500" s="93"/>
      <c r="Y500" s="93"/>
    </row>
    <row r="501" spans="20:25" x14ac:dyDescent="0.25">
      <c r="T501" s="118"/>
      <c r="V501" s="93"/>
      <c r="Y501" s="93"/>
    </row>
    <row r="502" spans="20:25" x14ac:dyDescent="0.25">
      <c r="T502" s="118"/>
      <c r="V502" s="93"/>
      <c r="Y502" s="93"/>
    </row>
    <row r="503" spans="20:25" x14ac:dyDescent="0.25">
      <c r="T503" s="118"/>
      <c r="V503" s="93"/>
      <c r="Y503" s="93"/>
    </row>
    <row r="504" spans="20:25" x14ac:dyDescent="0.25">
      <c r="T504" s="118"/>
      <c r="V504" s="93"/>
      <c r="Y504" s="93"/>
    </row>
    <row r="505" spans="20:25" x14ac:dyDescent="0.25">
      <c r="T505" s="118"/>
      <c r="V505" s="93"/>
      <c r="Y505" s="93"/>
    </row>
    <row r="506" spans="20:25" x14ac:dyDescent="0.25">
      <c r="T506" s="118"/>
      <c r="V506" s="93"/>
      <c r="Y506" s="93"/>
    </row>
    <row r="507" spans="20:25" x14ac:dyDescent="0.25">
      <c r="T507" s="118"/>
      <c r="V507" s="93"/>
      <c r="Y507" s="93"/>
    </row>
    <row r="508" spans="20:25" x14ac:dyDescent="0.25">
      <c r="T508" s="118"/>
      <c r="V508" s="93"/>
      <c r="Y508" s="93"/>
    </row>
    <row r="509" spans="20:25" x14ac:dyDescent="0.25">
      <c r="T509" s="118"/>
      <c r="V509" s="93"/>
      <c r="Y509" s="93"/>
    </row>
    <row r="510" spans="20:25" x14ac:dyDescent="0.25">
      <c r="T510" s="118"/>
      <c r="V510" s="93"/>
      <c r="Y510" s="93"/>
    </row>
    <row r="511" spans="20:25" x14ac:dyDescent="0.25">
      <c r="T511" s="118"/>
      <c r="V511" s="93"/>
      <c r="Y511" s="93"/>
    </row>
    <row r="512" spans="20:25" x14ac:dyDescent="0.25">
      <c r="T512" s="118"/>
      <c r="V512" s="93"/>
      <c r="Y512" s="93"/>
    </row>
    <row r="513" spans="20:25" x14ac:dyDescent="0.25">
      <c r="T513" s="118"/>
      <c r="V513" s="93"/>
      <c r="Y513" s="93"/>
    </row>
    <row r="514" spans="20:25" x14ac:dyDescent="0.25">
      <c r="T514" s="118"/>
      <c r="V514" s="93"/>
      <c r="Y514" s="93"/>
    </row>
    <row r="515" spans="20:25" x14ac:dyDescent="0.25">
      <c r="T515" s="118"/>
      <c r="V515" s="93"/>
      <c r="Y515" s="93"/>
    </row>
    <row r="516" spans="20:25" x14ac:dyDescent="0.25">
      <c r="T516" s="118"/>
      <c r="V516" s="93"/>
      <c r="Y516" s="93"/>
    </row>
    <row r="517" spans="20:25" x14ac:dyDescent="0.25">
      <c r="T517" s="118"/>
      <c r="V517" s="93"/>
      <c r="Y517" s="93"/>
    </row>
    <row r="518" spans="20:25" x14ac:dyDescent="0.25">
      <c r="T518" s="118"/>
      <c r="V518" s="93"/>
      <c r="Y518" s="93"/>
    </row>
    <row r="519" spans="20:25" x14ac:dyDescent="0.25">
      <c r="T519" s="118"/>
      <c r="V519" s="93"/>
      <c r="Y519" s="93"/>
    </row>
    <row r="520" spans="20:25" x14ac:dyDescent="0.25">
      <c r="T520" s="118"/>
      <c r="V520" s="93"/>
      <c r="Y520" s="93"/>
    </row>
    <row r="521" spans="20:25" x14ac:dyDescent="0.25">
      <c r="T521" s="118"/>
      <c r="V521" s="93"/>
      <c r="Y521" s="93"/>
    </row>
    <row r="522" spans="20:25" x14ac:dyDescent="0.25">
      <c r="T522" s="118"/>
      <c r="V522" s="93"/>
      <c r="Y522" s="93"/>
    </row>
    <row r="523" spans="20:25" x14ac:dyDescent="0.25">
      <c r="T523" s="118"/>
      <c r="V523" s="93"/>
      <c r="Y523" s="93"/>
    </row>
    <row r="524" spans="20:25" x14ac:dyDescent="0.25">
      <c r="T524" s="118"/>
      <c r="V524" s="93"/>
      <c r="Y524" s="93"/>
    </row>
    <row r="525" spans="20:25" x14ac:dyDescent="0.25">
      <c r="T525" s="118"/>
      <c r="V525" s="93"/>
      <c r="Y525" s="93"/>
    </row>
    <row r="526" spans="20:25" x14ac:dyDescent="0.25">
      <c r="T526" s="118"/>
      <c r="V526" s="93"/>
      <c r="Y526" s="93"/>
    </row>
    <row r="527" spans="20:25" x14ac:dyDescent="0.25">
      <c r="T527" s="118"/>
      <c r="V527" s="93"/>
      <c r="Y527" s="93"/>
    </row>
    <row r="528" spans="20:25" x14ac:dyDescent="0.25">
      <c r="T528" s="118"/>
      <c r="V528" s="93"/>
      <c r="Y528" s="93"/>
    </row>
    <row r="529" spans="20:25" x14ac:dyDescent="0.25">
      <c r="T529" s="118"/>
      <c r="V529" s="93"/>
      <c r="Y529" s="93"/>
    </row>
    <row r="530" spans="20:25" x14ac:dyDescent="0.25">
      <c r="T530" s="118"/>
      <c r="V530" s="93"/>
      <c r="Y530" s="93"/>
    </row>
    <row r="531" spans="20:25" x14ac:dyDescent="0.25">
      <c r="T531" s="118"/>
      <c r="V531" s="93"/>
      <c r="Y531" s="93"/>
    </row>
    <row r="532" spans="20:25" x14ac:dyDescent="0.25">
      <c r="T532" s="118"/>
      <c r="V532" s="93"/>
      <c r="Y532" s="93"/>
    </row>
    <row r="533" spans="20:25" x14ac:dyDescent="0.25">
      <c r="T533" s="118"/>
      <c r="V533" s="93"/>
      <c r="Y533" s="93"/>
    </row>
    <row r="534" spans="20:25" x14ac:dyDescent="0.25">
      <c r="T534" s="118"/>
      <c r="V534" s="93"/>
      <c r="Y534" s="93"/>
    </row>
    <row r="535" spans="20:25" x14ac:dyDescent="0.25">
      <c r="T535" s="118"/>
      <c r="V535" s="93"/>
      <c r="Y535" s="93"/>
    </row>
    <row r="536" spans="20:25" x14ac:dyDescent="0.25">
      <c r="T536" s="118"/>
      <c r="V536" s="93"/>
      <c r="Y536" s="93"/>
    </row>
    <row r="537" spans="20:25" x14ac:dyDescent="0.25">
      <c r="T537" s="118"/>
      <c r="V537" s="93"/>
      <c r="Y537" s="93"/>
    </row>
    <row r="538" spans="20:25" x14ac:dyDescent="0.25">
      <c r="T538" s="118"/>
      <c r="V538" s="93"/>
      <c r="Y538" s="93"/>
    </row>
    <row r="539" spans="20:25" x14ac:dyDescent="0.25">
      <c r="T539" s="118"/>
      <c r="V539" s="93"/>
      <c r="Y539" s="93"/>
    </row>
    <row r="540" spans="20:25" x14ac:dyDescent="0.25">
      <c r="T540" s="118"/>
      <c r="V540" s="93"/>
      <c r="Y540" s="93"/>
    </row>
    <row r="541" spans="20:25" x14ac:dyDescent="0.25">
      <c r="T541" s="118"/>
      <c r="V541" s="93"/>
      <c r="Y541" s="93"/>
    </row>
    <row r="542" spans="20:25" x14ac:dyDescent="0.25">
      <c r="T542" s="118"/>
      <c r="V542" s="93"/>
      <c r="Y542" s="93"/>
    </row>
    <row r="543" spans="20:25" x14ac:dyDescent="0.25">
      <c r="T543" s="118"/>
      <c r="V543" s="93"/>
      <c r="Y543" s="93"/>
    </row>
    <row r="544" spans="20:25" x14ac:dyDescent="0.25">
      <c r="T544" s="118"/>
      <c r="V544" s="93"/>
      <c r="Y544" s="93"/>
    </row>
    <row r="545" spans="20:25" x14ac:dyDescent="0.25">
      <c r="T545" s="118"/>
      <c r="V545" s="93"/>
      <c r="Y545" s="93"/>
    </row>
    <row r="546" spans="20:25" x14ac:dyDescent="0.25">
      <c r="T546" s="118"/>
      <c r="V546" s="93"/>
      <c r="Y546" s="93"/>
    </row>
    <row r="547" spans="20:25" x14ac:dyDescent="0.25">
      <c r="T547" s="118"/>
      <c r="V547" s="93"/>
      <c r="Y547" s="93"/>
    </row>
    <row r="548" spans="20:25" x14ac:dyDescent="0.25">
      <c r="T548" s="118"/>
      <c r="V548" s="93"/>
      <c r="Y548" s="93"/>
    </row>
    <row r="549" spans="20:25" x14ac:dyDescent="0.25">
      <c r="T549" s="118"/>
      <c r="V549" s="93"/>
      <c r="Y549" s="93"/>
    </row>
    <row r="550" spans="20:25" x14ac:dyDescent="0.25">
      <c r="T550" s="118"/>
      <c r="V550" s="93"/>
      <c r="Y550" s="93"/>
    </row>
    <row r="551" spans="20:25" x14ac:dyDescent="0.25">
      <c r="T551" s="118"/>
      <c r="V551" s="93"/>
      <c r="Y551" s="93"/>
    </row>
    <row r="552" spans="20:25" x14ac:dyDescent="0.25">
      <c r="T552" s="118"/>
      <c r="V552" s="93"/>
      <c r="Y552" s="93"/>
    </row>
    <row r="553" spans="20:25" x14ac:dyDescent="0.25">
      <c r="T553" s="118"/>
      <c r="V553" s="93"/>
      <c r="Y553" s="93"/>
    </row>
    <row r="554" spans="20:25" x14ac:dyDescent="0.25">
      <c r="T554" s="118"/>
      <c r="V554" s="93"/>
      <c r="Y554" s="93"/>
    </row>
    <row r="555" spans="20:25" x14ac:dyDescent="0.25">
      <c r="T555" s="118"/>
      <c r="V555" s="93"/>
      <c r="Y555" s="93"/>
    </row>
    <row r="556" spans="20:25" x14ac:dyDescent="0.25">
      <c r="T556" s="118"/>
      <c r="V556" s="93"/>
      <c r="Y556" s="93"/>
    </row>
    <row r="557" spans="20:25" x14ac:dyDescent="0.25">
      <c r="T557" s="118"/>
      <c r="V557" s="93"/>
      <c r="Y557" s="93"/>
    </row>
    <row r="558" spans="20:25" x14ac:dyDescent="0.25">
      <c r="T558" s="118"/>
      <c r="V558" s="93"/>
      <c r="Y558" s="93"/>
    </row>
    <row r="559" spans="20:25" x14ac:dyDescent="0.25">
      <c r="T559" s="118"/>
      <c r="V559" s="93"/>
      <c r="Y559" s="93"/>
    </row>
    <row r="560" spans="20:25" x14ac:dyDescent="0.25">
      <c r="T560" s="118"/>
      <c r="V560" s="93"/>
      <c r="Y560" s="93"/>
    </row>
    <row r="561" spans="20:25" x14ac:dyDescent="0.25">
      <c r="T561" s="118"/>
      <c r="V561" s="93"/>
      <c r="Y561" s="93"/>
    </row>
    <row r="562" spans="20:25" x14ac:dyDescent="0.25">
      <c r="T562" s="118"/>
      <c r="V562" s="93"/>
      <c r="Y562" s="93"/>
    </row>
    <row r="563" spans="20:25" x14ac:dyDescent="0.25">
      <c r="T563" s="118"/>
      <c r="V563" s="93"/>
      <c r="Y563" s="93"/>
    </row>
    <row r="564" spans="20:25" x14ac:dyDescent="0.25">
      <c r="T564" s="118"/>
      <c r="V564" s="93"/>
      <c r="Y564" s="93"/>
    </row>
    <row r="565" spans="20:25" x14ac:dyDescent="0.25">
      <c r="T565" s="118"/>
      <c r="V565" s="93"/>
      <c r="Y565" s="93"/>
    </row>
    <row r="566" spans="20:25" x14ac:dyDescent="0.25">
      <c r="T566" s="118"/>
      <c r="V566" s="93"/>
      <c r="Y566" s="93"/>
    </row>
    <row r="567" spans="20:25" x14ac:dyDescent="0.25">
      <c r="T567" s="118"/>
      <c r="V567" s="93"/>
      <c r="Y567" s="93"/>
    </row>
    <row r="568" spans="20:25" x14ac:dyDescent="0.25">
      <c r="T568" s="118"/>
      <c r="V568" s="93"/>
      <c r="Y568" s="93"/>
    </row>
    <row r="569" spans="20:25" x14ac:dyDescent="0.25">
      <c r="T569" s="118"/>
      <c r="V569" s="93"/>
      <c r="Y569" s="93"/>
    </row>
    <row r="570" spans="20:25" x14ac:dyDescent="0.25">
      <c r="T570" s="118"/>
      <c r="V570" s="93"/>
      <c r="Y570" s="93"/>
    </row>
  </sheetData>
  <sheetProtection password="FFFD" sheet="1" formatCells="0" formatColumns="0" formatRows="0" insertColumns="0" insertRows="0" insertHyperlinks="0" deleteColumns="0" deleteRows="0" selectLockedCells="1"/>
  <mergeCells count="44">
    <mergeCell ref="I4:O4"/>
    <mergeCell ref="C4:H4"/>
    <mergeCell ref="D5:H5"/>
    <mergeCell ref="D6:H6"/>
    <mergeCell ref="D7:H7"/>
    <mergeCell ref="I5:K5"/>
    <mergeCell ref="I6:K6"/>
    <mergeCell ref="I7:K7"/>
    <mergeCell ref="L5:O5"/>
    <mergeCell ref="L6:O6"/>
    <mergeCell ref="L7:O7"/>
    <mergeCell ref="P4:AD4"/>
    <mergeCell ref="P5:AD7"/>
    <mergeCell ref="Q9:Q10"/>
    <mergeCell ref="S9:S10"/>
    <mergeCell ref="R9:R10"/>
    <mergeCell ref="U9:AD9"/>
    <mergeCell ref="C9:C10"/>
    <mergeCell ref="D9:D10"/>
    <mergeCell ref="T9:T10"/>
    <mergeCell ref="E9:E10"/>
    <mergeCell ref="F87:O87"/>
    <mergeCell ref="F71:O71"/>
    <mergeCell ref="Q79:AD79"/>
    <mergeCell ref="U64:AD70"/>
    <mergeCell ref="U72:AD78"/>
    <mergeCell ref="F80:O86"/>
    <mergeCell ref="F72:O78"/>
    <mergeCell ref="F64:O69"/>
    <mergeCell ref="F9:O9"/>
    <mergeCell ref="U80:AD87"/>
    <mergeCell ref="S64:S70"/>
    <mergeCell ref="B89:C89"/>
    <mergeCell ref="B61:C61"/>
    <mergeCell ref="F70:O70"/>
    <mergeCell ref="Q63:AD63"/>
    <mergeCell ref="F63:O63"/>
    <mergeCell ref="F79:O79"/>
    <mergeCell ref="Q71:AD71"/>
    <mergeCell ref="Q64:Q70"/>
    <mergeCell ref="Q72:Q78"/>
    <mergeCell ref="Q80:Q87"/>
    <mergeCell ref="E64:E70"/>
    <mergeCell ref="D64:D70"/>
  </mergeCells>
  <conditionalFormatting sqref="R34">
    <cfRule type="expression" dxfId="39" priority="3">
      <formula>$R$34=0</formula>
    </cfRule>
  </conditionalFormatting>
  <conditionalFormatting sqref="S11:S13">
    <cfRule type="cellIs" dxfId="38" priority="34" stopIfTrue="1" operator="notBetween">
      <formula>0</formula>
      <formula>999999999</formula>
    </cfRule>
  </conditionalFormatting>
  <conditionalFormatting sqref="S15:S19">
    <cfRule type="cellIs" dxfId="37" priority="11" stopIfTrue="1" operator="notBetween">
      <formula>0</formula>
      <formula>999999999</formula>
    </cfRule>
  </conditionalFormatting>
  <conditionalFormatting sqref="S21:S32">
    <cfRule type="cellIs" dxfId="36" priority="10" stopIfTrue="1" operator="notBetween">
      <formula>0</formula>
      <formula>999999999</formula>
    </cfRule>
  </conditionalFormatting>
  <conditionalFormatting sqref="S34:S47">
    <cfRule type="cellIs" dxfId="35" priority="8" stopIfTrue="1" operator="notBetween">
      <formula>0</formula>
      <formula>999999999</formula>
    </cfRule>
  </conditionalFormatting>
  <conditionalFormatting sqref="S49:S60">
    <cfRule type="cellIs" dxfId="34" priority="7" stopIfTrue="1" operator="notBetween">
      <formula>0</formula>
      <formula>999999999</formula>
    </cfRule>
  </conditionalFormatting>
  <conditionalFormatting sqref="S72:S78">
    <cfRule type="cellIs" dxfId="33" priority="6" stopIfTrue="1" operator="notBetween">
      <formula>0</formula>
      <formula>999999999</formula>
    </cfRule>
  </conditionalFormatting>
  <conditionalFormatting sqref="S80:S88">
    <cfRule type="cellIs" dxfId="32" priority="1" stopIfTrue="1" operator="notBetween">
      <formula>0</formula>
      <formula>999999999</formula>
    </cfRule>
  </conditionalFormatting>
  <conditionalFormatting sqref="S91:S98">
    <cfRule type="cellIs" dxfId="31" priority="4" stopIfTrue="1" operator="notBetween">
      <formula>0</formula>
      <formula>999999999</formula>
    </cfRule>
  </conditionalFormatting>
  <conditionalFormatting sqref="U34:AD34">
    <cfRule type="expression" dxfId="30" priority="2">
      <formula>U$34=0</formula>
    </cfRule>
  </conditionalFormatting>
  <pageMargins left="0.7" right="0.7" top="0.78740157499999996" bottom="0.78740157499999996" header="0.3" footer="0.3"/>
  <pageSetup paperSize="9" orientation="portrait" r:id="rId1"/>
  <ignoredErrors>
    <ignoredError sqref="C59:C60"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I570"/>
  <sheetViews>
    <sheetView topLeftCell="A10" zoomScale="90" zoomScaleNormal="90" workbookViewId="0">
      <pane xSplit="3" topLeftCell="D1" activePane="topRight" state="frozen"/>
      <selection activeCell="A55" sqref="A55"/>
      <selection pane="topRight" activeCell="V23" sqref="V23"/>
    </sheetView>
  </sheetViews>
  <sheetFormatPr baseColWidth="10" defaultColWidth="11.42578125" defaultRowHeight="15" x14ac:dyDescent="0.25"/>
  <cols>
    <col min="1" max="2" width="3.7109375" style="45" customWidth="1"/>
    <col min="3" max="3" width="58.7109375" style="45" customWidth="1"/>
    <col min="4" max="5" width="10.42578125" style="92" customWidth="1"/>
    <col min="6" max="15" width="8.85546875" style="93" customWidth="1"/>
    <col min="16" max="16" width="2.28515625" style="94" customWidth="1"/>
    <col min="17" max="19" width="10.42578125" style="93" customWidth="1"/>
    <col min="20" max="20" width="28.85546875" style="124" customWidth="1"/>
    <col min="21" max="21" width="9" style="93" customWidth="1"/>
    <col min="22" max="22" width="9" style="116" customWidth="1"/>
    <col min="23" max="24" width="9" style="93" customWidth="1"/>
    <col min="25" max="25" width="9" style="116" customWidth="1"/>
    <col min="26" max="27" width="9" style="93" customWidth="1"/>
    <col min="28" max="30" width="9" style="45" customWidth="1"/>
    <col min="31" max="31" width="2.42578125" style="45" customWidth="1"/>
    <col min="32" max="32" width="40.7109375" style="45" customWidth="1"/>
    <col min="33" max="33" width="48.28515625" style="45" customWidth="1"/>
    <col min="34" max="34" width="3.7109375" style="45" customWidth="1"/>
    <col min="35" max="16384" width="11.42578125" style="45"/>
  </cols>
  <sheetData>
    <row r="1" spans="1:35" ht="13.15" hidden="1" customHeight="1" x14ac:dyDescent="0.25">
      <c r="T1" s="118"/>
      <c r="V1" s="93"/>
      <c r="Y1" s="93"/>
    </row>
    <row r="2" spans="1:35" ht="13.15" customHeight="1" x14ac:dyDescent="0.25">
      <c r="F2" s="92"/>
      <c r="G2" s="92"/>
      <c r="H2" s="92"/>
      <c r="I2" s="92"/>
      <c r="J2" s="92"/>
      <c r="K2" s="92"/>
      <c r="L2" s="92"/>
      <c r="M2" s="92"/>
      <c r="N2" s="92"/>
      <c r="O2" s="92"/>
      <c r="P2" s="92"/>
      <c r="Q2" s="92"/>
      <c r="R2" s="92"/>
      <c r="T2" s="118"/>
      <c r="V2" s="93"/>
      <c r="Y2" s="93"/>
    </row>
    <row r="3" spans="1:35" ht="13.15" customHeight="1" x14ac:dyDescent="0.25">
      <c r="B3" s="95"/>
      <c r="C3" s="96"/>
      <c r="D3" s="97"/>
      <c r="E3" s="97"/>
      <c r="F3" s="98"/>
      <c r="G3" s="98"/>
      <c r="H3" s="98"/>
      <c r="I3" s="98"/>
      <c r="J3" s="98"/>
      <c r="K3" s="98"/>
      <c r="L3" s="98"/>
      <c r="M3" s="98"/>
      <c r="N3" s="98"/>
      <c r="O3" s="98"/>
      <c r="P3" s="98"/>
      <c r="Q3" s="98"/>
      <c r="R3" s="98"/>
      <c r="S3" s="98"/>
      <c r="T3" s="119"/>
      <c r="U3" s="98"/>
      <c r="V3" s="98"/>
      <c r="W3" s="98"/>
      <c r="X3" s="98"/>
      <c r="Y3" s="98"/>
      <c r="Z3" s="98"/>
      <c r="AA3" s="98"/>
      <c r="AB3" s="98"/>
      <c r="AC3" s="98"/>
      <c r="AD3" s="98"/>
      <c r="AE3" s="99"/>
    </row>
    <row r="4" spans="1:35" ht="24.75" customHeight="1" x14ac:dyDescent="0.25">
      <c r="B4" s="89"/>
      <c r="C4" s="262" t="s">
        <v>89</v>
      </c>
      <c r="D4" s="262"/>
      <c r="E4" s="262"/>
      <c r="F4" s="262"/>
      <c r="G4" s="262"/>
      <c r="H4" s="262"/>
      <c r="I4" s="262" t="s">
        <v>94</v>
      </c>
      <c r="J4" s="262"/>
      <c r="K4" s="262"/>
      <c r="L4" s="262"/>
      <c r="M4" s="262"/>
      <c r="N4" s="262"/>
      <c r="O4" s="262"/>
      <c r="P4" s="180"/>
      <c r="Q4" s="180"/>
      <c r="R4" s="180"/>
      <c r="S4" s="180"/>
      <c r="T4" s="180"/>
      <c r="U4" s="180"/>
      <c r="V4" s="180"/>
      <c r="W4" s="180"/>
      <c r="X4" s="180"/>
      <c r="Y4" s="180"/>
      <c r="Z4" s="180"/>
      <c r="AA4" s="180"/>
      <c r="AB4" s="180"/>
      <c r="AC4" s="180"/>
      <c r="AD4" s="180"/>
      <c r="AE4" s="31"/>
    </row>
    <row r="5" spans="1:35" s="117" customFormat="1" ht="23.25" customHeight="1" x14ac:dyDescent="0.25">
      <c r="B5" s="89"/>
      <c r="C5" s="58" t="s">
        <v>90</v>
      </c>
      <c r="D5" s="282">
        <f>L5</f>
        <v>45292</v>
      </c>
      <c r="E5" s="283"/>
      <c r="F5" s="283"/>
      <c r="G5" s="283"/>
      <c r="H5" s="284"/>
      <c r="I5" s="287" t="s">
        <v>12</v>
      </c>
      <c r="J5" s="287"/>
      <c r="K5" s="287"/>
      <c r="L5" s="288">
        <f>IF('Overview IB'!D9="","",'Overview IB'!D9)</f>
        <v>45292</v>
      </c>
      <c r="M5" s="288"/>
      <c r="N5" s="288"/>
      <c r="O5" s="288"/>
      <c r="P5" s="280"/>
      <c r="Q5" s="280"/>
      <c r="R5" s="280"/>
      <c r="S5" s="280"/>
      <c r="T5" s="280"/>
      <c r="U5" s="280"/>
      <c r="V5" s="280"/>
      <c r="W5" s="280"/>
      <c r="X5" s="280"/>
      <c r="Y5" s="280"/>
      <c r="Z5" s="280"/>
      <c r="AA5" s="280"/>
      <c r="AB5" s="280"/>
      <c r="AC5" s="280"/>
      <c r="AD5" s="280"/>
      <c r="AE5" s="31"/>
      <c r="AF5" s="45"/>
      <c r="AG5" s="45"/>
      <c r="AH5" s="45"/>
      <c r="AI5" s="45"/>
    </row>
    <row r="6" spans="1:35" s="117" customFormat="1" ht="18.75" customHeight="1" x14ac:dyDescent="0.25">
      <c r="B6" s="89"/>
      <c r="C6" s="58" t="s">
        <v>91</v>
      </c>
      <c r="D6" s="285">
        <v>45657</v>
      </c>
      <c r="E6" s="285"/>
      <c r="F6" s="285"/>
      <c r="G6" s="285"/>
      <c r="H6" s="285"/>
      <c r="I6" s="287" t="s">
        <v>13</v>
      </c>
      <c r="J6" s="287"/>
      <c r="K6" s="287"/>
      <c r="L6" s="288">
        <f>IF('Overview IB'!D10="","",'Overview IB'!D10)</f>
        <v>46022</v>
      </c>
      <c r="M6" s="288"/>
      <c r="N6" s="288"/>
      <c r="O6" s="288"/>
      <c r="P6" s="280"/>
      <c r="Q6" s="280"/>
      <c r="R6" s="280"/>
      <c r="S6" s="280"/>
      <c r="T6" s="280"/>
      <c r="U6" s="280"/>
      <c r="V6" s="280"/>
      <c r="W6" s="280"/>
      <c r="X6" s="280"/>
      <c r="Y6" s="280"/>
      <c r="Z6" s="280"/>
      <c r="AA6" s="280"/>
      <c r="AB6" s="280"/>
      <c r="AC6" s="280"/>
      <c r="AD6" s="280"/>
      <c r="AE6" s="31"/>
      <c r="AF6" s="45"/>
      <c r="AG6" s="45"/>
      <c r="AH6" s="45"/>
      <c r="AI6" s="45"/>
    </row>
    <row r="7" spans="1:35" s="117" customFormat="1" ht="18.75" customHeight="1" x14ac:dyDescent="0.25">
      <c r="B7" s="89"/>
      <c r="C7" s="58" t="s">
        <v>28</v>
      </c>
      <c r="D7" s="286">
        <f>IF(OR(D5="",L7="befüllt sich automatisch"),0,((D6-D5)/30)/L7)</f>
        <v>0.5</v>
      </c>
      <c r="E7" s="286"/>
      <c r="F7" s="286"/>
      <c r="G7" s="286"/>
      <c r="H7" s="286"/>
      <c r="I7" s="287" t="s">
        <v>60</v>
      </c>
      <c r="J7" s="287"/>
      <c r="K7" s="287"/>
      <c r="L7" s="289">
        <f>IF(IF(OR(L6="",L5=""),"",(L6-L5)/30)="","befüllt sich automatisch",IF(OR(L6="",L5=""),"",(L6-L5)/30))</f>
        <v>24.333333333333332</v>
      </c>
      <c r="M7" s="289"/>
      <c r="N7" s="289"/>
      <c r="O7" s="289"/>
      <c r="P7" s="280"/>
      <c r="Q7" s="280"/>
      <c r="R7" s="280"/>
      <c r="S7" s="280"/>
      <c r="T7" s="280"/>
      <c r="U7" s="280"/>
      <c r="V7" s="280"/>
      <c r="W7" s="280"/>
      <c r="X7" s="280"/>
      <c r="Y7" s="280"/>
      <c r="Z7" s="280"/>
      <c r="AA7" s="280"/>
      <c r="AB7" s="280"/>
      <c r="AC7" s="280"/>
      <c r="AD7" s="280"/>
      <c r="AE7" s="31"/>
      <c r="AF7" s="45"/>
      <c r="AG7" s="45"/>
      <c r="AH7" s="45"/>
      <c r="AI7" s="45"/>
    </row>
    <row r="8" spans="1:35" ht="12" customHeight="1" x14ac:dyDescent="0.25">
      <c r="A8" s="88"/>
      <c r="B8" s="89"/>
      <c r="C8" s="100"/>
      <c r="D8" s="120"/>
      <c r="E8" s="120"/>
      <c r="F8" s="101"/>
      <c r="G8" s="101"/>
      <c r="H8" s="101"/>
      <c r="I8" s="90"/>
      <c r="J8" s="90"/>
      <c r="K8" s="90"/>
      <c r="L8" s="90"/>
      <c r="M8" s="90"/>
      <c r="N8" s="90"/>
      <c r="O8" s="90"/>
      <c r="P8" s="90"/>
      <c r="Q8" s="90"/>
      <c r="R8" s="90"/>
      <c r="S8" s="90"/>
      <c r="T8" s="120"/>
      <c r="U8" s="100"/>
      <c r="V8" s="100"/>
      <c r="W8" s="100"/>
      <c r="X8" s="100"/>
      <c r="Y8" s="100"/>
      <c r="Z8" s="100"/>
      <c r="AA8" s="100"/>
      <c r="AB8" s="100"/>
      <c r="AC8" s="100"/>
      <c r="AD8" s="100"/>
      <c r="AE8" s="102"/>
    </row>
    <row r="9" spans="1:35" ht="28.5" customHeight="1" x14ac:dyDescent="0.25">
      <c r="A9" s="88"/>
      <c r="B9" s="89"/>
      <c r="C9" s="262" t="s">
        <v>34</v>
      </c>
      <c r="D9" s="180" t="s">
        <v>108</v>
      </c>
      <c r="E9" s="180" t="s">
        <v>126</v>
      </c>
      <c r="F9" s="183" t="s">
        <v>119</v>
      </c>
      <c r="G9" s="184"/>
      <c r="H9" s="184"/>
      <c r="I9" s="184"/>
      <c r="J9" s="184"/>
      <c r="K9" s="184"/>
      <c r="L9" s="184"/>
      <c r="M9" s="184"/>
      <c r="N9" s="184"/>
      <c r="O9" s="185"/>
      <c r="P9" s="90"/>
      <c r="Q9" s="180" t="s">
        <v>120</v>
      </c>
      <c r="R9" s="180" t="s">
        <v>123</v>
      </c>
      <c r="S9" s="180" t="s">
        <v>8</v>
      </c>
      <c r="T9" s="180" t="s">
        <v>122</v>
      </c>
      <c r="U9" s="281" t="s">
        <v>121</v>
      </c>
      <c r="V9" s="281"/>
      <c r="W9" s="281"/>
      <c r="X9" s="281"/>
      <c r="Y9" s="281"/>
      <c r="Z9" s="281"/>
      <c r="AA9" s="281"/>
      <c r="AB9" s="281"/>
      <c r="AC9" s="281"/>
      <c r="AD9" s="281"/>
      <c r="AE9" s="31"/>
    </row>
    <row r="10" spans="1:35" s="88" customFormat="1" ht="33" customHeight="1" x14ac:dyDescent="0.25">
      <c r="B10" s="89"/>
      <c r="C10" s="262"/>
      <c r="D10" s="180"/>
      <c r="E10" s="180"/>
      <c r="F10" s="86" t="s">
        <v>129</v>
      </c>
      <c r="G10" s="86" t="s">
        <v>130</v>
      </c>
      <c r="H10" s="86" t="s">
        <v>131</v>
      </c>
      <c r="I10" s="86" t="s">
        <v>132</v>
      </c>
      <c r="J10" s="86" t="s">
        <v>133</v>
      </c>
      <c r="K10" s="86" t="s">
        <v>134</v>
      </c>
      <c r="L10" s="86" t="s">
        <v>135</v>
      </c>
      <c r="M10" s="86" t="s">
        <v>136</v>
      </c>
      <c r="N10" s="86" t="s">
        <v>137</v>
      </c>
      <c r="O10" s="86" t="s">
        <v>138</v>
      </c>
      <c r="P10" s="91"/>
      <c r="Q10" s="180"/>
      <c r="R10" s="180"/>
      <c r="S10" s="180"/>
      <c r="T10" s="180"/>
      <c r="U10" s="86" t="s">
        <v>129</v>
      </c>
      <c r="V10" s="86" t="s">
        <v>130</v>
      </c>
      <c r="W10" s="86" t="s">
        <v>131</v>
      </c>
      <c r="X10" s="86" t="s">
        <v>132</v>
      </c>
      <c r="Y10" s="86" t="s">
        <v>133</v>
      </c>
      <c r="Z10" s="86" t="s">
        <v>134</v>
      </c>
      <c r="AA10" s="86" t="s">
        <v>135</v>
      </c>
      <c r="AB10" s="86" t="s">
        <v>136</v>
      </c>
      <c r="AC10" s="86" t="s">
        <v>137</v>
      </c>
      <c r="AD10" s="86" t="s">
        <v>138</v>
      </c>
      <c r="AE10" s="31"/>
      <c r="AF10" s="45"/>
      <c r="AG10" s="45"/>
      <c r="AH10" s="45"/>
      <c r="AI10" s="45"/>
    </row>
    <row r="11" spans="1:35" s="88" customFormat="1" ht="18.75" customHeight="1" x14ac:dyDescent="0.25">
      <c r="B11" s="89"/>
      <c r="C11" s="84" t="s">
        <v>95</v>
      </c>
      <c r="D11" s="79">
        <f>'Overview IB'!D26</f>
        <v>194</v>
      </c>
      <c r="E11" s="79">
        <f>'Overview IB'!E26</f>
        <v>72</v>
      </c>
      <c r="F11" s="132">
        <f>'Overview IB'!I26</f>
        <v>72</v>
      </c>
      <c r="G11" s="132">
        <f>'Overview IB'!J26</f>
        <v>72</v>
      </c>
      <c r="H11" s="132">
        <f>'Overview IB'!K26</f>
        <v>50</v>
      </c>
      <c r="I11" s="132">
        <f>'Overview IB'!L26</f>
        <v>0</v>
      </c>
      <c r="J11" s="132">
        <f>'Overview IB'!M26</f>
        <v>0</v>
      </c>
      <c r="K11" s="132">
        <f>'Overview IB'!N26</f>
        <v>0</v>
      </c>
      <c r="L11" s="132">
        <f>'Overview IB'!O26</f>
        <v>0</v>
      </c>
      <c r="M11" s="132">
        <f>'Overview IB'!P26</f>
        <v>0</v>
      </c>
      <c r="N11" s="132">
        <f>'Overview IB'!Q26</f>
        <v>0</v>
      </c>
      <c r="O11" s="132">
        <f>'Overview IB'!R26</f>
        <v>0</v>
      </c>
      <c r="P11" s="32"/>
      <c r="Q11" s="64">
        <f>SUM(U11:AD11)</f>
        <v>149</v>
      </c>
      <c r="R11" s="103">
        <v>55</v>
      </c>
      <c r="S11" s="157">
        <f>IF(D11=0,0,IF(E11=0,IF(R11=0,Q11/D11,R11/D11),IF(R11=0,Q11/E11,R11/E11)))</f>
        <v>0.76388888888888884</v>
      </c>
      <c r="T11" s="168"/>
      <c r="U11" s="66">
        <v>55</v>
      </c>
      <c r="V11" s="66">
        <v>55</v>
      </c>
      <c r="W11" s="66">
        <v>39</v>
      </c>
      <c r="X11" s="66"/>
      <c r="Y11" s="66"/>
      <c r="Z11" s="66"/>
      <c r="AA11" s="66"/>
      <c r="AB11" s="66"/>
      <c r="AC11" s="66"/>
      <c r="AD11" s="66"/>
      <c r="AE11" s="31"/>
      <c r="AF11" s="45"/>
      <c r="AG11" s="45"/>
      <c r="AH11" s="45"/>
      <c r="AI11" s="45"/>
    </row>
    <row r="12" spans="1:35" s="88" customFormat="1" ht="18.75" customHeight="1" x14ac:dyDescent="0.25">
      <c r="B12" s="89"/>
      <c r="C12" s="49" t="s">
        <v>106</v>
      </c>
      <c r="D12" s="64">
        <f>'Overview IB'!D27</f>
        <v>194</v>
      </c>
      <c r="E12" s="79">
        <f>'Overview IB'!E27</f>
        <v>72</v>
      </c>
      <c r="F12" s="132">
        <f>'Overview IB'!I27</f>
        <v>72</v>
      </c>
      <c r="G12" s="132">
        <f>'Overview IB'!J27</f>
        <v>72</v>
      </c>
      <c r="H12" s="132">
        <f>'Overview IB'!K27</f>
        <v>50</v>
      </c>
      <c r="I12" s="132">
        <f>'Overview IB'!L27</f>
        <v>0</v>
      </c>
      <c r="J12" s="132">
        <f>'Overview IB'!M27</f>
        <v>0</v>
      </c>
      <c r="K12" s="132">
        <f>'Overview IB'!N27</f>
        <v>0</v>
      </c>
      <c r="L12" s="132">
        <f>'Overview IB'!O27</f>
        <v>0</v>
      </c>
      <c r="M12" s="132">
        <f>'Overview IB'!P27</f>
        <v>0</v>
      </c>
      <c r="N12" s="132">
        <f>'Overview IB'!Q27</f>
        <v>0</v>
      </c>
      <c r="O12" s="132">
        <f>'Overview IB'!R27</f>
        <v>0</v>
      </c>
      <c r="P12" s="32"/>
      <c r="Q12" s="64">
        <f t="shared" ref="Q12:Q32" si="0">SUM(U12:AD12)</f>
        <v>149</v>
      </c>
      <c r="R12" s="103">
        <v>55</v>
      </c>
      <c r="S12" s="157">
        <f t="shared" ref="S12:S60" si="1">IF(D12=0,0,IF(E12=0,IF(R12=0,Q12/D12,R12/D12),IF(R12=0,Q12/E12,R12/E12)))</f>
        <v>0.76388888888888884</v>
      </c>
      <c r="T12" s="168"/>
      <c r="U12" s="66">
        <v>55</v>
      </c>
      <c r="V12" s="66">
        <v>55</v>
      </c>
      <c r="W12" s="66">
        <v>39</v>
      </c>
      <c r="X12" s="66"/>
      <c r="Y12" s="66"/>
      <c r="Z12" s="66"/>
      <c r="AA12" s="66"/>
      <c r="AB12" s="66"/>
      <c r="AC12" s="66"/>
      <c r="AD12" s="66"/>
      <c r="AE12" s="31"/>
      <c r="AF12" s="45"/>
      <c r="AG12" s="45"/>
      <c r="AH12" s="45"/>
      <c r="AI12" s="45"/>
    </row>
    <row r="13" spans="1:35" s="88" customFormat="1" ht="18.75" customHeight="1" x14ac:dyDescent="0.25">
      <c r="B13" s="89"/>
      <c r="C13" s="49" t="s">
        <v>107</v>
      </c>
      <c r="D13" s="64">
        <f>'Overview IB'!D28</f>
        <v>3</v>
      </c>
      <c r="E13" s="79">
        <f>'Overview IB'!E28</f>
        <v>1</v>
      </c>
      <c r="F13" s="132">
        <f>'Overview IB'!I28</f>
        <v>1</v>
      </c>
      <c r="G13" s="132">
        <f>'Overview IB'!J28</f>
        <v>1</v>
      </c>
      <c r="H13" s="132">
        <f>'Overview IB'!K28</f>
        <v>1</v>
      </c>
      <c r="I13" s="132">
        <f>'Overview IB'!L28</f>
        <v>0</v>
      </c>
      <c r="J13" s="132">
        <f>'Overview IB'!M28</f>
        <v>0</v>
      </c>
      <c r="K13" s="132">
        <f>'Overview IB'!N28</f>
        <v>0</v>
      </c>
      <c r="L13" s="132">
        <f>'Overview IB'!O28</f>
        <v>0</v>
      </c>
      <c r="M13" s="132">
        <f>'Overview IB'!P28</f>
        <v>0</v>
      </c>
      <c r="N13" s="132">
        <f>'Overview IB'!Q28</f>
        <v>0</v>
      </c>
      <c r="O13" s="132">
        <f>'Overview IB'!R28</f>
        <v>0</v>
      </c>
      <c r="P13" s="32"/>
      <c r="Q13" s="64">
        <f t="shared" si="0"/>
        <v>3</v>
      </c>
      <c r="R13" s="103">
        <v>1</v>
      </c>
      <c r="S13" s="157">
        <f t="shared" si="1"/>
        <v>1</v>
      </c>
      <c r="T13" s="168"/>
      <c r="U13" s="66">
        <v>1</v>
      </c>
      <c r="V13" s="66">
        <v>1</v>
      </c>
      <c r="W13" s="66">
        <v>1</v>
      </c>
      <c r="X13" s="66"/>
      <c r="Y13" s="66"/>
      <c r="Z13" s="66"/>
      <c r="AA13" s="66"/>
      <c r="AB13" s="66"/>
      <c r="AC13" s="66"/>
      <c r="AD13" s="66"/>
      <c r="AE13" s="31"/>
      <c r="AF13" s="45"/>
      <c r="AG13" s="45"/>
      <c r="AH13" s="45"/>
      <c r="AI13" s="45"/>
    </row>
    <row r="14" spans="1:35" s="88" customFormat="1" ht="45" x14ac:dyDescent="0.25">
      <c r="B14" s="89"/>
      <c r="C14" s="8" t="s">
        <v>73</v>
      </c>
      <c r="D14" s="152" t="s">
        <v>72</v>
      </c>
      <c r="E14" s="152" t="s">
        <v>125</v>
      </c>
      <c r="F14" s="86" t="s">
        <v>129</v>
      </c>
      <c r="G14" s="86" t="s">
        <v>130</v>
      </c>
      <c r="H14" s="86" t="s">
        <v>131</v>
      </c>
      <c r="I14" s="86" t="s">
        <v>132</v>
      </c>
      <c r="J14" s="86" t="s">
        <v>133</v>
      </c>
      <c r="K14" s="86" t="s">
        <v>134</v>
      </c>
      <c r="L14" s="86" t="s">
        <v>135</v>
      </c>
      <c r="M14" s="86" t="s">
        <v>136</v>
      </c>
      <c r="N14" s="86" t="s">
        <v>137</v>
      </c>
      <c r="O14" s="86" t="s">
        <v>138</v>
      </c>
      <c r="P14" s="32"/>
      <c r="Q14" s="85" t="s">
        <v>29</v>
      </c>
      <c r="R14" s="85" t="s">
        <v>124</v>
      </c>
      <c r="S14" s="76" t="s">
        <v>8</v>
      </c>
      <c r="T14" s="8" t="s">
        <v>61</v>
      </c>
      <c r="U14" s="86" t="s">
        <v>129</v>
      </c>
      <c r="V14" s="86" t="s">
        <v>130</v>
      </c>
      <c r="W14" s="86" t="s">
        <v>131</v>
      </c>
      <c r="X14" s="86" t="s">
        <v>132</v>
      </c>
      <c r="Y14" s="86" t="s">
        <v>133</v>
      </c>
      <c r="Z14" s="86" t="s">
        <v>134</v>
      </c>
      <c r="AA14" s="86" t="s">
        <v>135</v>
      </c>
      <c r="AB14" s="86" t="s">
        <v>136</v>
      </c>
      <c r="AC14" s="86" t="s">
        <v>137</v>
      </c>
      <c r="AD14" s="86" t="s">
        <v>138</v>
      </c>
      <c r="AE14" s="31"/>
      <c r="AF14" s="45"/>
      <c r="AG14" s="45"/>
      <c r="AH14" s="45"/>
      <c r="AI14" s="45"/>
    </row>
    <row r="15" spans="1:35" ht="18.75" customHeight="1" x14ac:dyDescent="0.25">
      <c r="B15" s="81"/>
      <c r="C15" s="50" t="s">
        <v>55</v>
      </c>
      <c r="D15" s="64">
        <f>'Overview IB'!D30</f>
        <v>0</v>
      </c>
      <c r="E15" s="64">
        <f>'Overview IB'!E30</f>
        <v>0</v>
      </c>
      <c r="F15" s="132">
        <f>'Overview IB'!I30</f>
        <v>0</v>
      </c>
      <c r="G15" s="132">
        <f>'Overview IB'!J30</f>
        <v>0</v>
      </c>
      <c r="H15" s="132">
        <f>'Overview IB'!K30</f>
        <v>0</v>
      </c>
      <c r="I15" s="132">
        <f>'Overview IB'!L30</f>
        <v>0</v>
      </c>
      <c r="J15" s="132">
        <f>'Overview IB'!M30</f>
        <v>0</v>
      </c>
      <c r="K15" s="132">
        <f>'Overview IB'!N30</f>
        <v>0</v>
      </c>
      <c r="L15" s="132">
        <f>'Overview IB'!O30</f>
        <v>0</v>
      </c>
      <c r="M15" s="132">
        <f>'Overview IB'!P30</f>
        <v>0</v>
      </c>
      <c r="N15" s="132">
        <f>'Overview IB'!Q30</f>
        <v>0</v>
      </c>
      <c r="O15" s="132">
        <f>'Overview IB'!R30</f>
        <v>0</v>
      </c>
      <c r="P15" s="32"/>
      <c r="Q15" s="64">
        <f t="shared" si="0"/>
        <v>0</v>
      </c>
      <c r="R15" s="103"/>
      <c r="S15" s="157">
        <f t="shared" si="1"/>
        <v>0</v>
      </c>
      <c r="T15" s="168"/>
      <c r="U15" s="66"/>
      <c r="V15" s="66"/>
      <c r="W15" s="66"/>
      <c r="X15" s="66"/>
      <c r="Y15" s="66"/>
      <c r="Z15" s="66"/>
      <c r="AA15" s="66"/>
      <c r="AB15" s="66"/>
      <c r="AC15" s="66"/>
      <c r="AD15" s="66"/>
      <c r="AE15" s="31"/>
    </row>
    <row r="16" spans="1:35" ht="18.75" customHeight="1" x14ac:dyDescent="0.25">
      <c r="B16" s="81"/>
      <c r="C16" s="51" t="s">
        <v>96</v>
      </c>
      <c r="D16" s="132">
        <f>'Overview IB'!D31</f>
        <v>0</v>
      </c>
      <c r="E16" s="132">
        <f>'Overview IB'!E31</f>
        <v>0</v>
      </c>
      <c r="F16" s="132">
        <f>'Overview IB'!I31</f>
        <v>0</v>
      </c>
      <c r="G16" s="132">
        <f>'Overview IB'!J31</f>
        <v>0</v>
      </c>
      <c r="H16" s="132">
        <f>'Overview IB'!K31</f>
        <v>0</v>
      </c>
      <c r="I16" s="132">
        <f>'Overview IB'!L31</f>
        <v>0</v>
      </c>
      <c r="J16" s="132">
        <f>'Overview IB'!M31</f>
        <v>0</v>
      </c>
      <c r="K16" s="132">
        <f>'Overview IB'!N31</f>
        <v>0</v>
      </c>
      <c r="L16" s="132">
        <f>'Overview IB'!O31</f>
        <v>0</v>
      </c>
      <c r="M16" s="132">
        <f>'Overview IB'!P31</f>
        <v>0</v>
      </c>
      <c r="N16" s="132">
        <f>'Overview IB'!Q31</f>
        <v>0</v>
      </c>
      <c r="O16" s="132">
        <f>'Overview IB'!R31</f>
        <v>0</v>
      </c>
      <c r="P16" s="156"/>
      <c r="Q16" s="132">
        <f t="shared" si="0"/>
        <v>0</v>
      </c>
      <c r="R16" s="103"/>
      <c r="S16" s="157">
        <f t="shared" si="1"/>
        <v>0</v>
      </c>
      <c r="T16" s="168"/>
      <c r="U16" s="133"/>
      <c r="V16" s="133"/>
      <c r="W16" s="133"/>
      <c r="X16" s="133"/>
      <c r="Y16" s="133"/>
      <c r="Z16" s="133"/>
      <c r="AA16" s="133"/>
      <c r="AB16" s="133"/>
      <c r="AC16" s="133"/>
      <c r="AD16" s="133"/>
      <c r="AE16" s="31"/>
    </row>
    <row r="17" spans="2:31" ht="18.75" customHeight="1" x14ac:dyDescent="0.25">
      <c r="B17" s="81"/>
      <c r="C17" s="50" t="s">
        <v>56</v>
      </c>
      <c r="D17" s="64">
        <f>'Overview IB'!D32</f>
        <v>0</v>
      </c>
      <c r="E17" s="64">
        <f>'Overview IB'!E32</f>
        <v>0</v>
      </c>
      <c r="F17" s="132">
        <f>'Overview IB'!I32</f>
        <v>0</v>
      </c>
      <c r="G17" s="132">
        <f>'Overview IB'!J32</f>
        <v>0</v>
      </c>
      <c r="H17" s="132">
        <f>'Overview IB'!K32</f>
        <v>0</v>
      </c>
      <c r="I17" s="132">
        <f>'Overview IB'!L32</f>
        <v>0</v>
      </c>
      <c r="J17" s="132">
        <f>'Overview IB'!M32</f>
        <v>0</v>
      </c>
      <c r="K17" s="132">
        <f>'Overview IB'!N32</f>
        <v>0</v>
      </c>
      <c r="L17" s="132">
        <f>'Overview IB'!O32</f>
        <v>0</v>
      </c>
      <c r="M17" s="132">
        <f>'Overview IB'!P32</f>
        <v>0</v>
      </c>
      <c r="N17" s="132">
        <f>'Overview IB'!Q32</f>
        <v>0</v>
      </c>
      <c r="O17" s="132">
        <f>'Overview IB'!R32</f>
        <v>0</v>
      </c>
      <c r="P17" s="32"/>
      <c r="Q17" s="64">
        <f t="shared" si="0"/>
        <v>0</v>
      </c>
      <c r="R17" s="103"/>
      <c r="S17" s="157">
        <f t="shared" si="1"/>
        <v>0</v>
      </c>
      <c r="T17" s="168"/>
      <c r="U17" s="66"/>
      <c r="V17" s="66"/>
      <c r="W17" s="66"/>
      <c r="X17" s="66"/>
      <c r="Y17" s="66"/>
      <c r="Z17" s="66"/>
      <c r="AA17" s="66"/>
      <c r="AB17" s="66"/>
      <c r="AC17" s="66"/>
      <c r="AD17" s="66"/>
      <c r="AE17" s="31"/>
    </row>
    <row r="18" spans="2:31" ht="18.75" customHeight="1" x14ac:dyDescent="0.25">
      <c r="B18" s="81"/>
      <c r="C18" s="52" t="s">
        <v>54</v>
      </c>
      <c r="D18" s="132">
        <f>'Overview IB'!D33</f>
        <v>0</v>
      </c>
      <c r="E18" s="132">
        <f>'Overview IB'!E33</f>
        <v>0</v>
      </c>
      <c r="F18" s="132">
        <f>'Overview IB'!I33</f>
        <v>0</v>
      </c>
      <c r="G18" s="132">
        <f>'Overview IB'!J33</f>
        <v>0</v>
      </c>
      <c r="H18" s="132">
        <f>'Overview IB'!K33</f>
        <v>0</v>
      </c>
      <c r="I18" s="132">
        <f>'Overview IB'!L33</f>
        <v>0</v>
      </c>
      <c r="J18" s="132">
        <f>'Overview IB'!M33</f>
        <v>0</v>
      </c>
      <c r="K18" s="132">
        <f>'Overview IB'!N33</f>
        <v>0</v>
      </c>
      <c r="L18" s="132">
        <f>'Overview IB'!O33</f>
        <v>0</v>
      </c>
      <c r="M18" s="132">
        <f>'Overview IB'!P33</f>
        <v>0</v>
      </c>
      <c r="N18" s="132">
        <f>'Overview IB'!Q33</f>
        <v>0</v>
      </c>
      <c r="O18" s="132">
        <f>'Overview IB'!R33</f>
        <v>0</v>
      </c>
      <c r="P18" s="156"/>
      <c r="Q18" s="132">
        <f t="shared" si="0"/>
        <v>0</v>
      </c>
      <c r="R18" s="103"/>
      <c r="S18" s="157">
        <f t="shared" si="1"/>
        <v>0</v>
      </c>
      <c r="T18" s="168"/>
      <c r="U18" s="133"/>
      <c r="V18" s="133"/>
      <c r="W18" s="133"/>
      <c r="X18" s="133"/>
      <c r="Y18" s="133"/>
      <c r="Z18" s="133"/>
      <c r="AA18" s="133"/>
      <c r="AB18" s="133"/>
      <c r="AC18" s="133"/>
      <c r="AD18" s="133"/>
      <c r="AE18" s="31"/>
    </row>
    <row r="19" spans="2:31" ht="18.75" customHeight="1" x14ac:dyDescent="0.25">
      <c r="B19" s="81"/>
      <c r="C19" s="52" t="s">
        <v>58</v>
      </c>
      <c r="D19" s="132">
        <f>'Overview IB'!D34</f>
        <v>0</v>
      </c>
      <c r="E19" s="132">
        <f>'Overview IB'!E34</f>
        <v>0</v>
      </c>
      <c r="F19" s="132">
        <f>'Overview IB'!I34</f>
        <v>0</v>
      </c>
      <c r="G19" s="132">
        <f>'Overview IB'!J34</f>
        <v>0</v>
      </c>
      <c r="H19" s="132">
        <f>'Overview IB'!K34</f>
        <v>0</v>
      </c>
      <c r="I19" s="132">
        <f>'Overview IB'!L34</f>
        <v>0</v>
      </c>
      <c r="J19" s="132">
        <f>'Overview IB'!M34</f>
        <v>0</v>
      </c>
      <c r="K19" s="132">
        <f>'Overview IB'!N34</f>
        <v>0</v>
      </c>
      <c r="L19" s="132">
        <f>'Overview IB'!O34</f>
        <v>0</v>
      </c>
      <c r="M19" s="132">
        <f>'Overview IB'!P34</f>
        <v>0</v>
      </c>
      <c r="N19" s="132">
        <f>'Overview IB'!Q34</f>
        <v>0</v>
      </c>
      <c r="O19" s="132">
        <f>'Overview IB'!R34</f>
        <v>0</v>
      </c>
      <c r="P19" s="156"/>
      <c r="Q19" s="132">
        <f t="shared" si="0"/>
        <v>0</v>
      </c>
      <c r="R19" s="103"/>
      <c r="S19" s="157">
        <f t="shared" si="1"/>
        <v>0</v>
      </c>
      <c r="T19" s="168"/>
      <c r="U19" s="133"/>
      <c r="V19" s="133"/>
      <c r="W19" s="133"/>
      <c r="X19" s="133"/>
      <c r="Y19" s="133"/>
      <c r="Z19" s="133"/>
      <c r="AA19" s="133"/>
      <c r="AB19" s="133"/>
      <c r="AC19" s="133"/>
      <c r="AD19" s="133"/>
      <c r="AE19" s="31"/>
    </row>
    <row r="20" spans="2:31" ht="45" x14ac:dyDescent="0.25">
      <c r="B20" s="81"/>
      <c r="C20" s="8" t="s">
        <v>45</v>
      </c>
      <c r="D20" s="152" t="s">
        <v>72</v>
      </c>
      <c r="E20" s="152" t="s">
        <v>125</v>
      </c>
      <c r="F20" s="86" t="s">
        <v>129</v>
      </c>
      <c r="G20" s="86" t="s">
        <v>130</v>
      </c>
      <c r="H20" s="86" t="s">
        <v>131</v>
      </c>
      <c r="I20" s="86" t="s">
        <v>132</v>
      </c>
      <c r="J20" s="86" t="s">
        <v>133</v>
      </c>
      <c r="K20" s="86" t="s">
        <v>134</v>
      </c>
      <c r="L20" s="86" t="s">
        <v>135</v>
      </c>
      <c r="M20" s="86" t="s">
        <v>136</v>
      </c>
      <c r="N20" s="86" t="s">
        <v>137</v>
      </c>
      <c r="O20" s="86" t="s">
        <v>138</v>
      </c>
      <c r="P20" s="32"/>
      <c r="Q20" s="85" t="s">
        <v>29</v>
      </c>
      <c r="R20" s="85" t="s">
        <v>124</v>
      </c>
      <c r="S20" s="76" t="s">
        <v>8</v>
      </c>
      <c r="T20" s="8" t="s">
        <v>61</v>
      </c>
      <c r="U20" s="86" t="s">
        <v>129</v>
      </c>
      <c r="V20" s="86" t="s">
        <v>130</v>
      </c>
      <c r="W20" s="86" t="s">
        <v>131</v>
      </c>
      <c r="X20" s="86" t="s">
        <v>132</v>
      </c>
      <c r="Y20" s="86" t="s">
        <v>133</v>
      </c>
      <c r="Z20" s="86" t="s">
        <v>134</v>
      </c>
      <c r="AA20" s="86" t="s">
        <v>135</v>
      </c>
      <c r="AB20" s="86" t="s">
        <v>136</v>
      </c>
      <c r="AC20" s="86" t="s">
        <v>137</v>
      </c>
      <c r="AD20" s="86" t="s">
        <v>138</v>
      </c>
      <c r="AE20" s="31"/>
    </row>
    <row r="21" spans="2:31" ht="18.75" customHeight="1" x14ac:dyDescent="0.25">
      <c r="B21" s="81"/>
      <c r="C21" s="50" t="s">
        <v>70</v>
      </c>
      <c r="D21" s="64">
        <f>'Overview IB'!D36</f>
        <v>0</v>
      </c>
      <c r="E21" s="64">
        <f>'Overview IB'!E36</f>
        <v>0</v>
      </c>
      <c r="F21" s="132">
        <f>'Overview IB'!I36</f>
        <v>0</v>
      </c>
      <c r="G21" s="132">
        <f>'Overview IB'!J36</f>
        <v>0</v>
      </c>
      <c r="H21" s="132">
        <f>'Overview IB'!K36</f>
        <v>0</v>
      </c>
      <c r="I21" s="132">
        <f>'Overview IB'!L36</f>
        <v>0</v>
      </c>
      <c r="J21" s="132">
        <f>'Overview IB'!M36</f>
        <v>0</v>
      </c>
      <c r="K21" s="132">
        <f>'Overview IB'!N36</f>
        <v>0</v>
      </c>
      <c r="L21" s="132">
        <f>'Overview IB'!O36</f>
        <v>0</v>
      </c>
      <c r="M21" s="132">
        <f>'Overview IB'!P36</f>
        <v>0</v>
      </c>
      <c r="N21" s="132">
        <f>'Overview IB'!Q36</f>
        <v>0</v>
      </c>
      <c r="O21" s="132">
        <f>'Overview IB'!R36</f>
        <v>0</v>
      </c>
      <c r="P21" s="32"/>
      <c r="Q21" s="64">
        <f t="shared" si="0"/>
        <v>0</v>
      </c>
      <c r="R21" s="103"/>
      <c r="S21" s="157">
        <f t="shared" si="1"/>
        <v>0</v>
      </c>
      <c r="T21" s="168"/>
      <c r="U21" s="66"/>
      <c r="V21" s="66"/>
      <c r="W21" s="66"/>
      <c r="X21" s="66"/>
      <c r="Y21" s="66"/>
      <c r="Z21" s="66"/>
      <c r="AA21" s="66"/>
      <c r="AB21" s="66"/>
      <c r="AC21" s="66"/>
      <c r="AD21" s="66"/>
      <c r="AE21" s="31"/>
    </row>
    <row r="22" spans="2:31" ht="33" customHeight="1" x14ac:dyDescent="0.25">
      <c r="B22" s="81"/>
      <c r="C22" s="51" t="s">
        <v>47</v>
      </c>
      <c r="D22" s="132">
        <f>'Overview IB'!D37</f>
        <v>144</v>
      </c>
      <c r="E22" s="132">
        <f>'Overview IB'!E37</f>
        <v>72</v>
      </c>
      <c r="F22" s="132">
        <f>'Overview IB'!I37</f>
        <v>72</v>
      </c>
      <c r="G22" s="132">
        <f>'Overview IB'!J37</f>
        <v>72</v>
      </c>
      <c r="H22" s="132">
        <f>'Overview IB'!K37</f>
        <v>0</v>
      </c>
      <c r="I22" s="132">
        <f>'Overview IB'!L37</f>
        <v>0</v>
      </c>
      <c r="J22" s="132">
        <f>'Overview IB'!M37</f>
        <v>0</v>
      </c>
      <c r="K22" s="132">
        <f>'Overview IB'!N37</f>
        <v>0</v>
      </c>
      <c r="L22" s="132">
        <f>'Overview IB'!O37</f>
        <v>0</v>
      </c>
      <c r="M22" s="132">
        <f>'Overview IB'!P37</f>
        <v>0</v>
      </c>
      <c r="N22" s="132">
        <f>'Overview IB'!Q37</f>
        <v>0</v>
      </c>
      <c r="O22" s="132">
        <f>'Overview IB'!R37</f>
        <v>0</v>
      </c>
      <c r="P22" s="156"/>
      <c r="Q22" s="132">
        <f t="shared" si="0"/>
        <v>110</v>
      </c>
      <c r="R22" s="103">
        <v>55</v>
      </c>
      <c r="S22" s="157">
        <f t="shared" si="1"/>
        <v>0.76388888888888884</v>
      </c>
      <c r="T22" s="168"/>
      <c r="U22" s="133">
        <v>55</v>
      </c>
      <c r="V22" s="133">
        <v>55</v>
      </c>
      <c r="W22" s="133"/>
      <c r="X22" s="133"/>
      <c r="Y22" s="133"/>
      <c r="Z22" s="133"/>
      <c r="AA22" s="133"/>
      <c r="AB22" s="133"/>
      <c r="AC22" s="133"/>
      <c r="AD22" s="133"/>
      <c r="AE22" s="31"/>
    </row>
    <row r="23" spans="2:31" ht="33" customHeight="1" x14ac:dyDescent="0.25">
      <c r="B23" s="81"/>
      <c r="C23" s="52" t="s">
        <v>59</v>
      </c>
      <c r="D23" s="132">
        <f>'Overview IB'!D38</f>
        <v>1170</v>
      </c>
      <c r="E23" s="132">
        <f>'Overview IB'!E38</f>
        <v>1170</v>
      </c>
      <c r="F23" s="132">
        <f>'Overview IB'!I38</f>
        <v>360</v>
      </c>
      <c r="G23" s="132">
        <f>'Overview IB'!J38</f>
        <v>810</v>
      </c>
      <c r="H23" s="132">
        <f>'Overview IB'!K38</f>
        <v>0</v>
      </c>
      <c r="I23" s="132">
        <f>'Overview IB'!L38</f>
        <v>0</v>
      </c>
      <c r="J23" s="132">
        <f>'Overview IB'!M38</f>
        <v>0</v>
      </c>
      <c r="K23" s="132">
        <f>'Overview IB'!N38</f>
        <v>0</v>
      </c>
      <c r="L23" s="132">
        <f>'Overview IB'!O38</f>
        <v>0</v>
      </c>
      <c r="M23" s="132">
        <f>'Overview IB'!P38</f>
        <v>0</v>
      </c>
      <c r="N23" s="132">
        <f>'Overview IB'!Q38</f>
        <v>0</v>
      </c>
      <c r="O23" s="132">
        <f>'Overview IB'!R38</f>
        <v>0</v>
      </c>
      <c r="P23" s="156"/>
      <c r="Q23" s="132">
        <f t="shared" si="0"/>
        <v>654</v>
      </c>
      <c r="R23" s="103">
        <v>654</v>
      </c>
      <c r="S23" s="157">
        <f t="shared" si="1"/>
        <v>0.55897435897435899</v>
      </c>
      <c r="T23" s="168"/>
      <c r="U23" s="133">
        <v>205.5</v>
      </c>
      <c r="V23" s="133">
        <v>448.5</v>
      </c>
      <c r="W23" s="133"/>
      <c r="X23" s="133"/>
      <c r="Y23" s="133"/>
      <c r="Z23" s="133"/>
      <c r="AA23" s="133"/>
      <c r="AB23" s="133"/>
      <c r="AC23" s="133"/>
      <c r="AD23" s="133"/>
      <c r="AE23" s="31"/>
    </row>
    <row r="24" spans="2:31" ht="33" customHeight="1" x14ac:dyDescent="0.25">
      <c r="B24" s="81"/>
      <c r="C24" s="50" t="s">
        <v>71</v>
      </c>
      <c r="D24" s="64">
        <f>'Overview IB'!D39</f>
        <v>0</v>
      </c>
      <c r="E24" s="64">
        <f>'Overview IB'!E39</f>
        <v>0</v>
      </c>
      <c r="F24" s="132">
        <f>'Overview IB'!I39</f>
        <v>0</v>
      </c>
      <c r="G24" s="132">
        <f>'Overview IB'!J39</f>
        <v>0</v>
      </c>
      <c r="H24" s="132">
        <f>'Overview IB'!K39</f>
        <v>0</v>
      </c>
      <c r="I24" s="132">
        <f>'Overview IB'!L39</f>
        <v>0</v>
      </c>
      <c r="J24" s="132">
        <f>'Overview IB'!M39</f>
        <v>0</v>
      </c>
      <c r="K24" s="132">
        <f>'Overview IB'!N39</f>
        <v>0</v>
      </c>
      <c r="L24" s="132">
        <f>'Overview IB'!O39</f>
        <v>0</v>
      </c>
      <c r="M24" s="132">
        <f>'Overview IB'!P39</f>
        <v>0</v>
      </c>
      <c r="N24" s="132">
        <f>'Overview IB'!Q39</f>
        <v>0</v>
      </c>
      <c r="O24" s="132">
        <f>'Overview IB'!R39</f>
        <v>0</v>
      </c>
      <c r="P24" s="32"/>
      <c r="Q24" s="64">
        <f t="shared" si="0"/>
        <v>0</v>
      </c>
      <c r="R24" s="103"/>
      <c r="S24" s="157">
        <f t="shared" si="1"/>
        <v>0</v>
      </c>
      <c r="T24" s="168"/>
      <c r="U24" s="66"/>
      <c r="V24" s="66"/>
      <c r="W24" s="66"/>
      <c r="X24" s="66"/>
      <c r="Y24" s="66"/>
      <c r="Z24" s="66"/>
      <c r="AA24" s="66"/>
      <c r="AB24" s="66"/>
      <c r="AC24" s="66"/>
      <c r="AD24" s="66"/>
      <c r="AE24" s="31"/>
    </row>
    <row r="25" spans="2:31" ht="33" customHeight="1" x14ac:dyDescent="0.25">
      <c r="B25" s="81"/>
      <c r="C25" s="52" t="s">
        <v>48</v>
      </c>
      <c r="D25" s="132">
        <f>'Overview IB'!D40</f>
        <v>50</v>
      </c>
      <c r="E25" s="132">
        <f>'Overview IB'!E40</f>
        <v>50</v>
      </c>
      <c r="F25" s="132">
        <f>'Overview IB'!I40</f>
        <v>0</v>
      </c>
      <c r="G25" s="132">
        <f>'Overview IB'!J40</f>
        <v>0</v>
      </c>
      <c r="H25" s="132">
        <f>'Overview IB'!K40</f>
        <v>50</v>
      </c>
      <c r="I25" s="132">
        <f>'Overview IB'!L40</f>
        <v>0</v>
      </c>
      <c r="J25" s="132">
        <f>'Overview IB'!M40</f>
        <v>0</v>
      </c>
      <c r="K25" s="132">
        <f>'Overview IB'!N40</f>
        <v>0</v>
      </c>
      <c r="L25" s="132">
        <f>'Overview IB'!O40</f>
        <v>0</v>
      </c>
      <c r="M25" s="132">
        <f>'Overview IB'!P40</f>
        <v>0</v>
      </c>
      <c r="N25" s="132">
        <f>'Overview IB'!Q40</f>
        <v>0</v>
      </c>
      <c r="O25" s="132">
        <f>'Overview IB'!R40</f>
        <v>0</v>
      </c>
      <c r="P25" s="156"/>
      <c r="Q25" s="132">
        <f t="shared" si="0"/>
        <v>39</v>
      </c>
      <c r="R25" s="103">
        <v>39</v>
      </c>
      <c r="S25" s="157">
        <f t="shared" si="1"/>
        <v>0.78</v>
      </c>
      <c r="T25" s="168"/>
      <c r="U25" s="133"/>
      <c r="V25" s="133"/>
      <c r="W25" s="133">
        <v>39</v>
      </c>
      <c r="X25" s="133"/>
      <c r="Y25" s="133"/>
      <c r="Z25" s="133"/>
      <c r="AA25" s="133"/>
      <c r="AB25" s="133"/>
      <c r="AC25" s="133"/>
      <c r="AD25" s="133"/>
      <c r="AE25" s="31"/>
    </row>
    <row r="26" spans="2:31" ht="18.75" customHeight="1" x14ac:dyDescent="0.25">
      <c r="B26" s="81"/>
      <c r="C26" s="52" t="s">
        <v>46</v>
      </c>
      <c r="D26" s="132">
        <f>'Overview IB'!D41</f>
        <v>540</v>
      </c>
      <c r="E26" s="132">
        <f>'Overview IB'!E41</f>
        <v>540</v>
      </c>
      <c r="F26" s="132">
        <f>'Overview IB'!I41</f>
        <v>0</v>
      </c>
      <c r="G26" s="132">
        <f>'Overview IB'!J41</f>
        <v>0</v>
      </c>
      <c r="H26" s="132">
        <f>'Overview IB'!K41</f>
        <v>540</v>
      </c>
      <c r="I26" s="132">
        <f>'Overview IB'!L41</f>
        <v>0</v>
      </c>
      <c r="J26" s="132">
        <f>'Overview IB'!M41</f>
        <v>0</v>
      </c>
      <c r="K26" s="132">
        <f>'Overview IB'!N41</f>
        <v>0</v>
      </c>
      <c r="L26" s="132">
        <f>'Overview IB'!O41</f>
        <v>0</v>
      </c>
      <c r="M26" s="132">
        <f>'Overview IB'!P41</f>
        <v>0</v>
      </c>
      <c r="N26" s="132">
        <f>'Overview IB'!Q41</f>
        <v>0</v>
      </c>
      <c r="O26" s="132">
        <f>'Overview IB'!R41</f>
        <v>0</v>
      </c>
      <c r="P26" s="156"/>
      <c r="Q26" s="132">
        <f t="shared" si="0"/>
        <v>298</v>
      </c>
      <c r="R26" s="103">
        <v>298</v>
      </c>
      <c r="S26" s="157">
        <f t="shared" si="1"/>
        <v>0.55185185185185182</v>
      </c>
      <c r="T26" s="168"/>
      <c r="U26" s="133"/>
      <c r="V26" s="133"/>
      <c r="W26" s="133">
        <v>298</v>
      </c>
      <c r="X26" s="133"/>
      <c r="Y26" s="133"/>
      <c r="Z26" s="133"/>
      <c r="AA26" s="133"/>
      <c r="AB26" s="133"/>
      <c r="AC26" s="133"/>
      <c r="AD26" s="133"/>
      <c r="AE26" s="31"/>
    </row>
    <row r="27" spans="2:31" ht="18.75" customHeight="1" x14ac:dyDescent="0.25">
      <c r="B27" s="81"/>
      <c r="C27" s="50" t="s">
        <v>49</v>
      </c>
      <c r="D27" s="64">
        <f>'Overview IB'!D42</f>
        <v>0</v>
      </c>
      <c r="E27" s="64">
        <f>'Overview IB'!E42</f>
        <v>0</v>
      </c>
      <c r="F27" s="132">
        <f>'Overview IB'!I42</f>
        <v>0</v>
      </c>
      <c r="G27" s="132">
        <f>'Overview IB'!J42</f>
        <v>0</v>
      </c>
      <c r="H27" s="132">
        <f>'Overview IB'!K42</f>
        <v>0</v>
      </c>
      <c r="I27" s="132">
        <f>'Overview IB'!L42</f>
        <v>0</v>
      </c>
      <c r="J27" s="132">
        <f>'Overview IB'!M42</f>
        <v>0</v>
      </c>
      <c r="K27" s="132">
        <f>'Overview IB'!N42</f>
        <v>0</v>
      </c>
      <c r="L27" s="132">
        <f>'Overview IB'!O42</f>
        <v>0</v>
      </c>
      <c r="M27" s="132">
        <f>'Overview IB'!P42</f>
        <v>0</v>
      </c>
      <c r="N27" s="132">
        <f>'Overview IB'!Q42</f>
        <v>0</v>
      </c>
      <c r="O27" s="132">
        <f>'Overview IB'!R42</f>
        <v>0</v>
      </c>
      <c r="P27" s="32"/>
      <c r="Q27" s="64">
        <f t="shared" si="0"/>
        <v>0</v>
      </c>
      <c r="R27" s="103"/>
      <c r="S27" s="157">
        <f t="shared" si="1"/>
        <v>0</v>
      </c>
      <c r="T27" s="168"/>
      <c r="U27" s="66"/>
      <c r="V27" s="66"/>
      <c r="W27" s="66"/>
      <c r="X27" s="66"/>
      <c r="Y27" s="66"/>
      <c r="Z27" s="66"/>
      <c r="AA27" s="66"/>
      <c r="AB27" s="66"/>
      <c r="AC27" s="66"/>
      <c r="AD27" s="66"/>
      <c r="AE27" s="31"/>
    </row>
    <row r="28" spans="2:31" ht="18.75" customHeight="1" x14ac:dyDescent="0.25">
      <c r="B28" s="81"/>
      <c r="C28" s="51" t="s">
        <v>51</v>
      </c>
      <c r="D28" s="132">
        <f>'Overview IB'!D43</f>
        <v>0</v>
      </c>
      <c r="E28" s="132">
        <f>'Overview IB'!E43</f>
        <v>0</v>
      </c>
      <c r="F28" s="132">
        <f>'Overview IB'!I43</f>
        <v>0</v>
      </c>
      <c r="G28" s="132">
        <f>'Overview IB'!J43</f>
        <v>0</v>
      </c>
      <c r="H28" s="132">
        <f>'Overview IB'!K43</f>
        <v>0</v>
      </c>
      <c r="I28" s="132">
        <f>'Overview IB'!L43</f>
        <v>0</v>
      </c>
      <c r="J28" s="132">
        <f>'Overview IB'!M43</f>
        <v>0</v>
      </c>
      <c r="K28" s="132">
        <f>'Overview IB'!N43</f>
        <v>0</v>
      </c>
      <c r="L28" s="132">
        <f>'Overview IB'!O43</f>
        <v>0</v>
      </c>
      <c r="M28" s="132">
        <f>'Overview IB'!P43</f>
        <v>0</v>
      </c>
      <c r="N28" s="132">
        <f>'Overview IB'!Q43</f>
        <v>0</v>
      </c>
      <c r="O28" s="132">
        <f>'Overview IB'!R43</f>
        <v>0</v>
      </c>
      <c r="P28" s="156"/>
      <c r="Q28" s="132">
        <f t="shared" si="0"/>
        <v>0</v>
      </c>
      <c r="R28" s="103"/>
      <c r="S28" s="157">
        <f t="shared" si="1"/>
        <v>0</v>
      </c>
      <c r="T28" s="168"/>
      <c r="U28" s="133"/>
      <c r="V28" s="133"/>
      <c r="W28" s="133"/>
      <c r="X28" s="133"/>
      <c r="Y28" s="133"/>
      <c r="Z28" s="133"/>
      <c r="AA28" s="133"/>
      <c r="AB28" s="133"/>
      <c r="AC28" s="133"/>
      <c r="AD28" s="133"/>
      <c r="AE28" s="31"/>
    </row>
    <row r="29" spans="2:31" ht="18.75" customHeight="1" x14ac:dyDescent="0.25">
      <c r="B29" s="81"/>
      <c r="C29" s="51" t="s">
        <v>50</v>
      </c>
      <c r="D29" s="132">
        <f>'Overview IB'!D44</f>
        <v>0</v>
      </c>
      <c r="E29" s="132">
        <f>'Overview IB'!E44</f>
        <v>0</v>
      </c>
      <c r="F29" s="132">
        <f>'Overview IB'!I44</f>
        <v>0</v>
      </c>
      <c r="G29" s="132">
        <f>'Overview IB'!J44</f>
        <v>0</v>
      </c>
      <c r="H29" s="132">
        <f>'Overview IB'!K44</f>
        <v>0</v>
      </c>
      <c r="I29" s="132">
        <f>'Overview IB'!L44</f>
        <v>0</v>
      </c>
      <c r="J29" s="132">
        <f>'Overview IB'!M44</f>
        <v>0</v>
      </c>
      <c r="K29" s="132">
        <f>'Overview IB'!N44</f>
        <v>0</v>
      </c>
      <c r="L29" s="132">
        <f>'Overview IB'!O44</f>
        <v>0</v>
      </c>
      <c r="M29" s="132">
        <f>'Overview IB'!P44</f>
        <v>0</v>
      </c>
      <c r="N29" s="132">
        <f>'Overview IB'!Q44</f>
        <v>0</v>
      </c>
      <c r="O29" s="132">
        <f>'Overview IB'!R44</f>
        <v>0</v>
      </c>
      <c r="P29" s="156"/>
      <c r="Q29" s="132">
        <f t="shared" si="0"/>
        <v>0</v>
      </c>
      <c r="R29" s="103"/>
      <c r="S29" s="157">
        <f t="shared" si="1"/>
        <v>0</v>
      </c>
      <c r="T29" s="168"/>
      <c r="U29" s="133"/>
      <c r="V29" s="133"/>
      <c r="W29" s="133"/>
      <c r="X29" s="133"/>
      <c r="Y29" s="133"/>
      <c r="Z29" s="133"/>
      <c r="AA29" s="133"/>
      <c r="AB29" s="133"/>
      <c r="AC29" s="133"/>
      <c r="AD29" s="133"/>
      <c r="AE29" s="31"/>
    </row>
    <row r="30" spans="2:31" ht="18.75" customHeight="1" x14ac:dyDescent="0.25">
      <c r="B30" s="81"/>
      <c r="C30" s="50" t="s">
        <v>11</v>
      </c>
      <c r="D30" s="64">
        <f>'Overview IB'!D45</f>
        <v>0</v>
      </c>
      <c r="E30" s="64">
        <f>'Overview IB'!E45</f>
        <v>0</v>
      </c>
      <c r="F30" s="132">
        <f>'Overview IB'!I45</f>
        <v>0</v>
      </c>
      <c r="G30" s="132">
        <f>'Overview IB'!J45</f>
        <v>0</v>
      </c>
      <c r="H30" s="132">
        <f>'Overview IB'!K45</f>
        <v>0</v>
      </c>
      <c r="I30" s="132">
        <f>'Overview IB'!L45</f>
        <v>0</v>
      </c>
      <c r="J30" s="132">
        <f>'Overview IB'!M45</f>
        <v>0</v>
      </c>
      <c r="K30" s="132">
        <f>'Overview IB'!N45</f>
        <v>0</v>
      </c>
      <c r="L30" s="132">
        <f>'Overview IB'!O45</f>
        <v>0</v>
      </c>
      <c r="M30" s="132">
        <f>'Overview IB'!P45</f>
        <v>0</v>
      </c>
      <c r="N30" s="132">
        <f>'Overview IB'!Q45</f>
        <v>0</v>
      </c>
      <c r="O30" s="132">
        <f>'Overview IB'!R45</f>
        <v>0</v>
      </c>
      <c r="P30" s="32"/>
      <c r="Q30" s="64">
        <f t="shared" si="0"/>
        <v>0</v>
      </c>
      <c r="R30" s="103"/>
      <c r="S30" s="157">
        <f t="shared" si="1"/>
        <v>0</v>
      </c>
      <c r="T30" s="168"/>
      <c r="U30" s="66"/>
      <c r="V30" s="66"/>
      <c r="W30" s="66"/>
      <c r="X30" s="66"/>
      <c r="Y30" s="66"/>
      <c r="Z30" s="66"/>
      <c r="AA30" s="66"/>
      <c r="AB30" s="66"/>
      <c r="AC30" s="66"/>
      <c r="AD30" s="66"/>
      <c r="AE30" s="31"/>
    </row>
    <row r="31" spans="2:31" ht="18.75" customHeight="1" x14ac:dyDescent="0.25">
      <c r="B31" s="81"/>
      <c r="C31" s="52" t="s">
        <v>62</v>
      </c>
      <c r="D31" s="132">
        <f>'Overview IB'!D46</f>
        <v>0</v>
      </c>
      <c r="E31" s="132">
        <f>'Overview IB'!E46</f>
        <v>0</v>
      </c>
      <c r="F31" s="132">
        <f>'Overview IB'!I46</f>
        <v>0</v>
      </c>
      <c r="G31" s="132">
        <f>'Overview IB'!J46</f>
        <v>0</v>
      </c>
      <c r="H31" s="132">
        <f>'Overview IB'!K46</f>
        <v>0</v>
      </c>
      <c r="I31" s="132">
        <f>'Overview IB'!L46</f>
        <v>0</v>
      </c>
      <c r="J31" s="132">
        <f>'Overview IB'!M46</f>
        <v>0</v>
      </c>
      <c r="K31" s="132">
        <f>'Overview IB'!N46</f>
        <v>0</v>
      </c>
      <c r="L31" s="132">
        <f>'Overview IB'!O46</f>
        <v>0</v>
      </c>
      <c r="M31" s="132">
        <f>'Overview IB'!P46</f>
        <v>0</v>
      </c>
      <c r="N31" s="132">
        <f>'Overview IB'!Q46</f>
        <v>0</v>
      </c>
      <c r="O31" s="132">
        <f>'Overview IB'!R46</f>
        <v>0</v>
      </c>
      <c r="P31" s="156"/>
      <c r="Q31" s="132">
        <f t="shared" si="0"/>
        <v>0</v>
      </c>
      <c r="R31" s="103"/>
      <c r="S31" s="157">
        <f t="shared" si="1"/>
        <v>0</v>
      </c>
      <c r="T31" s="168"/>
      <c r="U31" s="133"/>
      <c r="V31" s="133"/>
      <c r="W31" s="133"/>
      <c r="X31" s="133"/>
      <c r="Y31" s="133"/>
      <c r="Z31" s="133"/>
      <c r="AA31" s="133"/>
      <c r="AB31" s="133"/>
      <c r="AC31" s="133"/>
      <c r="AD31" s="133"/>
      <c r="AE31" s="31"/>
    </row>
    <row r="32" spans="2:31" ht="18.75" customHeight="1" x14ac:dyDescent="0.25">
      <c r="B32" s="81"/>
      <c r="C32" s="52" t="s">
        <v>63</v>
      </c>
      <c r="D32" s="132">
        <f>'Overview IB'!D47</f>
        <v>0</v>
      </c>
      <c r="E32" s="132">
        <f>'Overview IB'!E47</f>
        <v>0</v>
      </c>
      <c r="F32" s="132">
        <f>'Overview IB'!I47</f>
        <v>0</v>
      </c>
      <c r="G32" s="132">
        <f>'Overview IB'!J47</f>
        <v>0</v>
      </c>
      <c r="H32" s="132">
        <f>'Overview IB'!K47</f>
        <v>0</v>
      </c>
      <c r="I32" s="132">
        <f>'Overview IB'!L47</f>
        <v>0</v>
      </c>
      <c r="J32" s="132">
        <f>'Overview IB'!M47</f>
        <v>0</v>
      </c>
      <c r="K32" s="132">
        <f>'Overview IB'!N47</f>
        <v>0</v>
      </c>
      <c r="L32" s="132">
        <f>'Overview IB'!O47</f>
        <v>0</v>
      </c>
      <c r="M32" s="132">
        <f>'Overview IB'!P47</f>
        <v>0</v>
      </c>
      <c r="N32" s="132">
        <f>'Overview IB'!Q47</f>
        <v>0</v>
      </c>
      <c r="O32" s="132">
        <f>'Overview IB'!R47</f>
        <v>0</v>
      </c>
      <c r="P32" s="156"/>
      <c r="Q32" s="132">
        <f t="shared" si="0"/>
        <v>0</v>
      </c>
      <c r="R32" s="103"/>
      <c r="S32" s="157">
        <f t="shared" si="1"/>
        <v>0</v>
      </c>
      <c r="T32" s="168"/>
      <c r="U32" s="133"/>
      <c r="V32" s="133"/>
      <c r="W32" s="133"/>
      <c r="X32" s="133"/>
      <c r="Y32" s="133"/>
      <c r="Z32" s="133"/>
      <c r="AA32" s="133"/>
      <c r="AB32" s="133"/>
      <c r="AC32" s="133"/>
      <c r="AD32" s="133"/>
      <c r="AE32" s="31"/>
    </row>
    <row r="33" spans="2:31" ht="45" x14ac:dyDescent="0.25">
      <c r="B33" s="81"/>
      <c r="C33" s="8" t="s">
        <v>52</v>
      </c>
      <c r="D33" s="152" t="s">
        <v>72</v>
      </c>
      <c r="E33" s="152" t="s">
        <v>125</v>
      </c>
      <c r="F33" s="86" t="s">
        <v>129</v>
      </c>
      <c r="G33" s="86" t="s">
        <v>130</v>
      </c>
      <c r="H33" s="86" t="s">
        <v>131</v>
      </c>
      <c r="I33" s="86" t="s">
        <v>132</v>
      </c>
      <c r="J33" s="86" t="s">
        <v>133</v>
      </c>
      <c r="K33" s="86" t="s">
        <v>134</v>
      </c>
      <c r="L33" s="86" t="s">
        <v>135</v>
      </c>
      <c r="M33" s="86" t="s">
        <v>136</v>
      </c>
      <c r="N33" s="86" t="s">
        <v>137</v>
      </c>
      <c r="O33" s="86" t="s">
        <v>138</v>
      </c>
      <c r="P33" s="32"/>
      <c r="Q33" s="85" t="s">
        <v>29</v>
      </c>
      <c r="R33" s="85" t="s">
        <v>124</v>
      </c>
      <c r="S33" s="76" t="s">
        <v>8</v>
      </c>
      <c r="T33" s="8" t="s">
        <v>61</v>
      </c>
      <c r="U33" s="86" t="s">
        <v>129</v>
      </c>
      <c r="V33" s="86" t="s">
        <v>130</v>
      </c>
      <c r="W33" s="86" t="s">
        <v>131</v>
      </c>
      <c r="X33" s="86" t="s">
        <v>132</v>
      </c>
      <c r="Y33" s="86" t="s">
        <v>133</v>
      </c>
      <c r="Z33" s="86" t="s">
        <v>134</v>
      </c>
      <c r="AA33" s="86" t="s">
        <v>135</v>
      </c>
      <c r="AB33" s="86" t="s">
        <v>136</v>
      </c>
      <c r="AC33" s="86" t="s">
        <v>137</v>
      </c>
      <c r="AD33" s="86" t="s">
        <v>138</v>
      </c>
      <c r="AE33" s="31"/>
    </row>
    <row r="34" spans="2:31" ht="13.15" customHeight="1" x14ac:dyDescent="0.25">
      <c r="B34" s="81"/>
      <c r="C34" s="50" t="s">
        <v>66</v>
      </c>
      <c r="D34" s="64">
        <f>'Overview IB'!D49</f>
        <v>0</v>
      </c>
      <c r="E34" s="64">
        <f>'Overview IB'!E49</f>
        <v>0</v>
      </c>
      <c r="F34" s="132">
        <f>'Overview IB'!I49</f>
        <v>0</v>
      </c>
      <c r="G34" s="132">
        <f>'Overview IB'!J49</f>
        <v>0</v>
      </c>
      <c r="H34" s="132">
        <f>'Overview IB'!K49</f>
        <v>0</v>
      </c>
      <c r="I34" s="132">
        <f>'Overview IB'!L49</f>
        <v>0</v>
      </c>
      <c r="J34" s="132">
        <f>'Overview IB'!M49</f>
        <v>0</v>
      </c>
      <c r="K34" s="132">
        <f>'Overview IB'!N49</f>
        <v>0</v>
      </c>
      <c r="L34" s="132">
        <f>'Overview IB'!O49</f>
        <v>0</v>
      </c>
      <c r="M34" s="132">
        <f>'Overview IB'!P49</f>
        <v>0</v>
      </c>
      <c r="N34" s="132">
        <f>'Overview IB'!Q49</f>
        <v>0</v>
      </c>
      <c r="O34" s="132">
        <f>'Overview IB'!R49</f>
        <v>0</v>
      </c>
      <c r="P34" s="32"/>
      <c r="Q34" s="64">
        <f>SUM(Q35:Q39)</f>
        <v>0</v>
      </c>
      <c r="R34" s="64">
        <f>SUM(R35:R39)</f>
        <v>0</v>
      </c>
      <c r="S34" s="157">
        <f t="shared" si="1"/>
        <v>0</v>
      </c>
      <c r="T34" s="168"/>
      <c r="U34" s="64">
        <f>SUM(U35:U39)</f>
        <v>0</v>
      </c>
      <c r="V34" s="64">
        <f t="shared" ref="V34:AD34" si="2">SUM(V35:V39)</f>
        <v>0</v>
      </c>
      <c r="W34" s="64">
        <f t="shared" si="2"/>
        <v>0</v>
      </c>
      <c r="X34" s="64">
        <f t="shared" si="2"/>
        <v>0</v>
      </c>
      <c r="Y34" s="64">
        <f t="shared" si="2"/>
        <v>0</v>
      </c>
      <c r="Z34" s="64">
        <f t="shared" si="2"/>
        <v>0</v>
      </c>
      <c r="AA34" s="64">
        <f t="shared" si="2"/>
        <v>0</v>
      </c>
      <c r="AB34" s="64">
        <f t="shared" si="2"/>
        <v>0</v>
      </c>
      <c r="AC34" s="64">
        <f t="shared" si="2"/>
        <v>0</v>
      </c>
      <c r="AD34" s="64">
        <f t="shared" si="2"/>
        <v>0</v>
      </c>
      <c r="AE34" s="31"/>
    </row>
    <row r="35" spans="2:31" x14ac:dyDescent="0.25">
      <c r="B35" s="81"/>
      <c r="C35" s="52" t="s">
        <v>39</v>
      </c>
      <c r="D35" s="132">
        <f>'Overview IB'!D50</f>
        <v>0</v>
      </c>
      <c r="E35" s="132">
        <f>'Overview IB'!E50</f>
        <v>0</v>
      </c>
      <c r="F35" s="132">
        <f>'Overview IB'!I50</f>
        <v>0</v>
      </c>
      <c r="G35" s="132">
        <f>'Overview IB'!J50</f>
        <v>0</v>
      </c>
      <c r="H35" s="132">
        <f>'Overview IB'!K50</f>
        <v>0</v>
      </c>
      <c r="I35" s="132">
        <f>'Overview IB'!L50</f>
        <v>0</v>
      </c>
      <c r="J35" s="132">
        <f>'Overview IB'!M50</f>
        <v>0</v>
      </c>
      <c r="K35" s="132">
        <f>'Overview IB'!N50</f>
        <v>0</v>
      </c>
      <c r="L35" s="132">
        <f>'Overview IB'!O50</f>
        <v>0</v>
      </c>
      <c r="M35" s="132">
        <f>'Overview IB'!P50</f>
        <v>0</v>
      </c>
      <c r="N35" s="132">
        <f>'Overview IB'!Q50</f>
        <v>0</v>
      </c>
      <c r="O35" s="132">
        <f>'Overview IB'!R50</f>
        <v>0</v>
      </c>
      <c r="P35" s="156"/>
      <c r="Q35" s="132">
        <f t="shared" ref="Q35:Q60" si="3">SUM(U35:AD35)</f>
        <v>0</v>
      </c>
      <c r="R35" s="103"/>
      <c r="S35" s="157">
        <f t="shared" si="1"/>
        <v>0</v>
      </c>
      <c r="T35" s="168"/>
      <c r="U35" s="133"/>
      <c r="V35" s="133"/>
      <c r="W35" s="133"/>
      <c r="X35" s="133"/>
      <c r="Y35" s="133"/>
      <c r="Z35" s="133"/>
      <c r="AA35" s="133"/>
      <c r="AB35" s="133"/>
      <c r="AC35" s="133"/>
      <c r="AD35" s="133"/>
      <c r="AE35" s="31"/>
    </row>
    <row r="36" spans="2:31" x14ac:dyDescent="0.25">
      <c r="B36" s="81"/>
      <c r="C36" s="52" t="s">
        <v>40</v>
      </c>
      <c r="D36" s="132">
        <f>'Overview IB'!D51</f>
        <v>0</v>
      </c>
      <c r="E36" s="132">
        <f>'Overview IB'!E51</f>
        <v>0</v>
      </c>
      <c r="F36" s="132">
        <f>'Overview IB'!I51</f>
        <v>0</v>
      </c>
      <c r="G36" s="132">
        <f>'Overview IB'!J51</f>
        <v>0</v>
      </c>
      <c r="H36" s="132">
        <f>'Overview IB'!K51</f>
        <v>0</v>
      </c>
      <c r="I36" s="132">
        <f>'Overview IB'!L51</f>
        <v>0</v>
      </c>
      <c r="J36" s="132">
        <f>'Overview IB'!M51</f>
        <v>0</v>
      </c>
      <c r="K36" s="132">
        <f>'Overview IB'!N51</f>
        <v>0</v>
      </c>
      <c r="L36" s="132">
        <f>'Overview IB'!O51</f>
        <v>0</v>
      </c>
      <c r="M36" s="132">
        <f>'Overview IB'!P51</f>
        <v>0</v>
      </c>
      <c r="N36" s="132">
        <f>'Overview IB'!Q51</f>
        <v>0</v>
      </c>
      <c r="O36" s="132">
        <f>'Overview IB'!R51</f>
        <v>0</v>
      </c>
      <c r="P36" s="156"/>
      <c r="Q36" s="132">
        <f t="shared" si="3"/>
        <v>0</v>
      </c>
      <c r="R36" s="103"/>
      <c r="S36" s="157">
        <f t="shared" si="1"/>
        <v>0</v>
      </c>
      <c r="T36" s="168"/>
      <c r="U36" s="133"/>
      <c r="V36" s="133"/>
      <c r="W36" s="133"/>
      <c r="X36" s="133"/>
      <c r="Y36" s="133"/>
      <c r="Z36" s="133"/>
      <c r="AA36" s="133"/>
      <c r="AB36" s="133"/>
      <c r="AC36" s="133"/>
      <c r="AD36" s="133"/>
      <c r="AE36" s="31"/>
    </row>
    <row r="37" spans="2:31" x14ac:dyDescent="0.25">
      <c r="B37" s="81"/>
      <c r="C37" s="52" t="s">
        <v>41</v>
      </c>
      <c r="D37" s="132">
        <f>'Overview IB'!D52</f>
        <v>0</v>
      </c>
      <c r="E37" s="132">
        <f>'Overview IB'!E52</f>
        <v>0</v>
      </c>
      <c r="F37" s="132">
        <f>'Overview IB'!I52</f>
        <v>0</v>
      </c>
      <c r="G37" s="132">
        <f>'Overview IB'!J52</f>
        <v>0</v>
      </c>
      <c r="H37" s="132">
        <f>'Overview IB'!K52</f>
        <v>0</v>
      </c>
      <c r="I37" s="132">
        <f>'Overview IB'!L52</f>
        <v>0</v>
      </c>
      <c r="J37" s="132">
        <f>'Overview IB'!M52</f>
        <v>0</v>
      </c>
      <c r="K37" s="132">
        <f>'Overview IB'!N52</f>
        <v>0</v>
      </c>
      <c r="L37" s="132">
        <f>'Overview IB'!O52</f>
        <v>0</v>
      </c>
      <c r="M37" s="132">
        <f>'Overview IB'!P52</f>
        <v>0</v>
      </c>
      <c r="N37" s="132">
        <f>'Overview IB'!Q52</f>
        <v>0</v>
      </c>
      <c r="O37" s="132">
        <f>'Overview IB'!R52</f>
        <v>0</v>
      </c>
      <c r="P37" s="156"/>
      <c r="Q37" s="132">
        <f t="shared" si="3"/>
        <v>0</v>
      </c>
      <c r="R37" s="103"/>
      <c r="S37" s="157">
        <f t="shared" si="1"/>
        <v>0</v>
      </c>
      <c r="T37" s="168"/>
      <c r="U37" s="133"/>
      <c r="V37" s="133"/>
      <c r="W37" s="133"/>
      <c r="X37" s="133"/>
      <c r="Y37" s="133"/>
      <c r="Z37" s="133"/>
      <c r="AA37" s="133"/>
      <c r="AB37" s="133"/>
      <c r="AC37" s="133"/>
      <c r="AD37" s="133"/>
      <c r="AE37" s="31"/>
    </row>
    <row r="38" spans="2:31" x14ac:dyDescent="0.25">
      <c r="B38" s="81"/>
      <c r="C38" s="52" t="s">
        <v>42</v>
      </c>
      <c r="D38" s="132">
        <f>'Overview IB'!D53</f>
        <v>0</v>
      </c>
      <c r="E38" s="132">
        <f>'Overview IB'!E53</f>
        <v>0</v>
      </c>
      <c r="F38" s="132">
        <f>'Overview IB'!I53</f>
        <v>0</v>
      </c>
      <c r="G38" s="132">
        <f>'Overview IB'!J53</f>
        <v>0</v>
      </c>
      <c r="H38" s="132">
        <f>'Overview IB'!K53</f>
        <v>0</v>
      </c>
      <c r="I38" s="132">
        <f>'Overview IB'!L53</f>
        <v>0</v>
      </c>
      <c r="J38" s="132">
        <f>'Overview IB'!M53</f>
        <v>0</v>
      </c>
      <c r="K38" s="132">
        <f>'Overview IB'!N53</f>
        <v>0</v>
      </c>
      <c r="L38" s="132">
        <f>'Overview IB'!O53</f>
        <v>0</v>
      </c>
      <c r="M38" s="132">
        <f>'Overview IB'!P53</f>
        <v>0</v>
      </c>
      <c r="N38" s="132">
        <f>'Overview IB'!Q53</f>
        <v>0</v>
      </c>
      <c r="O38" s="132">
        <f>'Overview IB'!R53</f>
        <v>0</v>
      </c>
      <c r="P38" s="156"/>
      <c r="Q38" s="132">
        <f t="shared" si="3"/>
        <v>0</v>
      </c>
      <c r="R38" s="103"/>
      <c r="S38" s="157">
        <f t="shared" si="1"/>
        <v>0</v>
      </c>
      <c r="T38" s="168"/>
      <c r="U38" s="133"/>
      <c r="V38" s="133"/>
      <c r="W38" s="133"/>
      <c r="X38" s="133"/>
      <c r="Y38" s="133"/>
      <c r="Z38" s="133"/>
      <c r="AA38" s="133"/>
      <c r="AB38" s="133"/>
      <c r="AC38" s="133"/>
      <c r="AD38" s="133"/>
      <c r="AE38" s="31"/>
    </row>
    <row r="39" spans="2:31" x14ac:dyDescent="0.25">
      <c r="B39" s="81"/>
      <c r="C39" s="52" t="s">
        <v>43</v>
      </c>
      <c r="D39" s="132">
        <f>'Overview IB'!D54</f>
        <v>0</v>
      </c>
      <c r="E39" s="132">
        <f>'Overview IB'!E54</f>
        <v>0</v>
      </c>
      <c r="F39" s="132">
        <f>'Overview IB'!I54</f>
        <v>0</v>
      </c>
      <c r="G39" s="132">
        <f>'Overview IB'!J54</f>
        <v>0</v>
      </c>
      <c r="H39" s="132">
        <f>'Overview IB'!K54</f>
        <v>0</v>
      </c>
      <c r="I39" s="132">
        <f>'Overview IB'!L54</f>
        <v>0</v>
      </c>
      <c r="J39" s="132">
        <f>'Overview IB'!M54</f>
        <v>0</v>
      </c>
      <c r="K39" s="132">
        <f>'Overview IB'!N54</f>
        <v>0</v>
      </c>
      <c r="L39" s="132">
        <f>'Overview IB'!O54</f>
        <v>0</v>
      </c>
      <c r="M39" s="132">
        <f>'Overview IB'!P54</f>
        <v>0</v>
      </c>
      <c r="N39" s="132">
        <f>'Overview IB'!Q54</f>
        <v>0</v>
      </c>
      <c r="O39" s="132">
        <f>'Overview IB'!R54</f>
        <v>0</v>
      </c>
      <c r="P39" s="156"/>
      <c r="Q39" s="132">
        <f t="shared" si="3"/>
        <v>0</v>
      </c>
      <c r="R39" s="103"/>
      <c r="S39" s="157">
        <f t="shared" si="1"/>
        <v>0</v>
      </c>
      <c r="T39" s="168"/>
      <c r="U39" s="133"/>
      <c r="V39" s="133"/>
      <c r="W39" s="133"/>
      <c r="X39" s="133"/>
      <c r="Y39" s="133"/>
      <c r="Z39" s="133"/>
      <c r="AA39" s="133"/>
      <c r="AB39" s="133"/>
      <c r="AC39" s="133"/>
      <c r="AD39" s="133"/>
      <c r="AE39" s="31"/>
    </row>
    <row r="40" spans="2:31" x14ac:dyDescent="0.25">
      <c r="B40" s="81"/>
      <c r="C40" s="50" t="s">
        <v>67</v>
      </c>
      <c r="D40" s="64">
        <f>'Overview IB'!D55</f>
        <v>0</v>
      </c>
      <c r="E40" s="64">
        <f>'Overview IB'!E55</f>
        <v>0</v>
      </c>
      <c r="F40" s="132">
        <f>'Overview IB'!I55</f>
        <v>0</v>
      </c>
      <c r="G40" s="132">
        <f>'Overview IB'!J55</f>
        <v>0</v>
      </c>
      <c r="H40" s="132">
        <f>'Overview IB'!K55</f>
        <v>0</v>
      </c>
      <c r="I40" s="132">
        <f>'Overview IB'!L55</f>
        <v>0</v>
      </c>
      <c r="J40" s="132">
        <f>'Overview IB'!M55</f>
        <v>0</v>
      </c>
      <c r="K40" s="132">
        <f>'Overview IB'!N55</f>
        <v>0</v>
      </c>
      <c r="L40" s="132">
        <f>'Overview IB'!O55</f>
        <v>0</v>
      </c>
      <c r="M40" s="132">
        <f>'Overview IB'!P55</f>
        <v>0</v>
      </c>
      <c r="N40" s="132">
        <f>'Overview IB'!Q55</f>
        <v>0</v>
      </c>
      <c r="O40" s="132">
        <f>'Overview IB'!R55</f>
        <v>0</v>
      </c>
      <c r="P40" s="32"/>
      <c r="Q40" s="64">
        <f t="shared" si="3"/>
        <v>0</v>
      </c>
      <c r="R40" s="103"/>
      <c r="S40" s="157">
        <f t="shared" si="1"/>
        <v>0</v>
      </c>
      <c r="T40" s="168"/>
      <c r="U40" s="66"/>
      <c r="V40" s="66"/>
      <c r="W40" s="66"/>
      <c r="X40" s="66"/>
      <c r="Y40" s="66"/>
      <c r="Z40" s="66"/>
      <c r="AA40" s="66"/>
      <c r="AB40" s="66"/>
      <c r="AC40" s="66"/>
      <c r="AD40" s="66"/>
      <c r="AE40" s="31"/>
    </row>
    <row r="41" spans="2:31" x14ac:dyDescent="0.25">
      <c r="B41" s="81"/>
      <c r="C41" s="50" t="s">
        <v>68</v>
      </c>
      <c r="D41" s="64">
        <f>'Overview IB'!D56</f>
        <v>0</v>
      </c>
      <c r="E41" s="64">
        <f>'Overview IB'!E56</f>
        <v>0</v>
      </c>
      <c r="F41" s="132">
        <f>'Overview IB'!I56</f>
        <v>0</v>
      </c>
      <c r="G41" s="132">
        <f>'Overview IB'!J56</f>
        <v>0</v>
      </c>
      <c r="H41" s="132">
        <f>'Overview IB'!K56</f>
        <v>0</v>
      </c>
      <c r="I41" s="132">
        <f>'Overview IB'!L56</f>
        <v>0</v>
      </c>
      <c r="J41" s="132">
        <f>'Overview IB'!M56</f>
        <v>0</v>
      </c>
      <c r="K41" s="132">
        <f>'Overview IB'!N56</f>
        <v>0</v>
      </c>
      <c r="L41" s="132">
        <f>'Overview IB'!O56</f>
        <v>0</v>
      </c>
      <c r="M41" s="132">
        <f>'Overview IB'!P56</f>
        <v>0</v>
      </c>
      <c r="N41" s="132">
        <f>'Overview IB'!Q56</f>
        <v>0</v>
      </c>
      <c r="O41" s="132">
        <f>'Overview IB'!R56</f>
        <v>0</v>
      </c>
      <c r="P41" s="32"/>
      <c r="Q41" s="64">
        <f t="shared" si="3"/>
        <v>0</v>
      </c>
      <c r="R41" s="103"/>
      <c r="S41" s="157">
        <f t="shared" si="1"/>
        <v>0</v>
      </c>
      <c r="T41" s="168"/>
      <c r="U41" s="66"/>
      <c r="V41" s="66"/>
      <c r="W41" s="66"/>
      <c r="X41" s="66"/>
      <c r="Y41" s="66"/>
      <c r="Z41" s="66"/>
      <c r="AA41" s="66"/>
      <c r="AB41" s="66"/>
      <c r="AC41" s="66"/>
      <c r="AD41" s="66"/>
      <c r="AE41" s="31"/>
    </row>
    <row r="42" spans="2:31" x14ac:dyDescent="0.25">
      <c r="B42" s="81"/>
      <c r="C42" s="50" t="s">
        <v>25</v>
      </c>
      <c r="D42" s="64">
        <f>'Overview IB'!D57</f>
        <v>0</v>
      </c>
      <c r="E42" s="64">
        <f>'Overview IB'!E57</f>
        <v>0</v>
      </c>
      <c r="F42" s="132">
        <f>'Overview IB'!I57</f>
        <v>0</v>
      </c>
      <c r="G42" s="132">
        <f>'Overview IB'!J57</f>
        <v>0</v>
      </c>
      <c r="H42" s="132">
        <f>'Overview IB'!K57</f>
        <v>0</v>
      </c>
      <c r="I42" s="132">
        <f>'Overview IB'!L57</f>
        <v>0</v>
      </c>
      <c r="J42" s="132">
        <f>'Overview IB'!M57</f>
        <v>0</v>
      </c>
      <c r="K42" s="132">
        <f>'Overview IB'!N57</f>
        <v>0</v>
      </c>
      <c r="L42" s="132">
        <f>'Overview IB'!O57</f>
        <v>0</v>
      </c>
      <c r="M42" s="132">
        <f>'Overview IB'!P57</f>
        <v>0</v>
      </c>
      <c r="N42" s="132">
        <f>'Overview IB'!Q57</f>
        <v>0</v>
      </c>
      <c r="O42" s="132">
        <f>'Overview IB'!R57</f>
        <v>0</v>
      </c>
      <c r="P42" s="32"/>
      <c r="Q42" s="64">
        <f t="shared" si="3"/>
        <v>0</v>
      </c>
      <c r="R42" s="103"/>
      <c r="S42" s="157">
        <f t="shared" si="1"/>
        <v>0</v>
      </c>
      <c r="T42" s="168"/>
      <c r="U42" s="66"/>
      <c r="V42" s="66"/>
      <c r="W42" s="66"/>
      <c r="X42" s="66"/>
      <c r="Y42" s="66"/>
      <c r="Z42" s="66"/>
      <c r="AA42" s="66"/>
      <c r="AB42" s="66"/>
      <c r="AC42" s="66"/>
      <c r="AD42" s="66"/>
      <c r="AE42" s="31"/>
    </row>
    <row r="43" spans="2:31" ht="33" customHeight="1" x14ac:dyDescent="0.25">
      <c r="B43" s="81"/>
      <c r="C43" s="50" t="s">
        <v>117</v>
      </c>
      <c r="D43" s="64">
        <f>'Overview IB'!D58</f>
        <v>0</v>
      </c>
      <c r="E43" s="64">
        <f>'Overview IB'!E58</f>
        <v>0</v>
      </c>
      <c r="F43" s="132">
        <f>'Overview IB'!I58</f>
        <v>0</v>
      </c>
      <c r="G43" s="132">
        <f>'Overview IB'!J58</f>
        <v>0</v>
      </c>
      <c r="H43" s="132">
        <f>'Overview IB'!K58</f>
        <v>0</v>
      </c>
      <c r="I43" s="132">
        <f>'Overview IB'!L58</f>
        <v>0</v>
      </c>
      <c r="J43" s="132">
        <f>'Overview IB'!M58</f>
        <v>0</v>
      </c>
      <c r="K43" s="132">
        <f>'Overview IB'!N58</f>
        <v>0</v>
      </c>
      <c r="L43" s="132">
        <f>'Overview IB'!O58</f>
        <v>0</v>
      </c>
      <c r="M43" s="132">
        <f>'Overview IB'!P58</f>
        <v>0</v>
      </c>
      <c r="N43" s="132">
        <f>'Overview IB'!Q58</f>
        <v>0</v>
      </c>
      <c r="O43" s="132">
        <f>'Overview IB'!R58</f>
        <v>0</v>
      </c>
      <c r="P43" s="32"/>
      <c r="Q43" s="64">
        <f t="shared" si="3"/>
        <v>0</v>
      </c>
      <c r="R43" s="103"/>
      <c r="S43" s="157">
        <f t="shared" si="1"/>
        <v>0</v>
      </c>
      <c r="T43" s="168"/>
      <c r="U43" s="66"/>
      <c r="V43" s="66"/>
      <c r="W43" s="66"/>
      <c r="X43" s="66"/>
      <c r="Y43" s="66"/>
      <c r="Z43" s="66"/>
      <c r="AA43" s="66"/>
      <c r="AB43" s="66"/>
      <c r="AC43" s="66"/>
      <c r="AD43" s="66"/>
      <c r="AE43" s="31"/>
    </row>
    <row r="44" spans="2:31" ht="33" customHeight="1" x14ac:dyDescent="0.25">
      <c r="B44" s="81"/>
      <c r="C44" s="52" t="s">
        <v>118</v>
      </c>
      <c r="D44" s="132">
        <f>'Overview IB'!D59</f>
        <v>0</v>
      </c>
      <c r="E44" s="132">
        <f>'Overview IB'!E59</f>
        <v>0</v>
      </c>
      <c r="F44" s="132">
        <f>'Overview IB'!I59</f>
        <v>0</v>
      </c>
      <c r="G44" s="132">
        <f>'Overview IB'!J59</f>
        <v>0</v>
      </c>
      <c r="H44" s="132">
        <f>'Overview IB'!K59</f>
        <v>0</v>
      </c>
      <c r="I44" s="132">
        <f>'Overview IB'!L59</f>
        <v>0</v>
      </c>
      <c r="J44" s="132">
        <f>'Overview IB'!M59</f>
        <v>0</v>
      </c>
      <c r="K44" s="132">
        <f>'Overview IB'!N59</f>
        <v>0</v>
      </c>
      <c r="L44" s="132">
        <f>'Overview IB'!O59</f>
        <v>0</v>
      </c>
      <c r="M44" s="132">
        <f>'Overview IB'!P59</f>
        <v>0</v>
      </c>
      <c r="N44" s="132">
        <f>'Overview IB'!Q59</f>
        <v>0</v>
      </c>
      <c r="O44" s="132">
        <f>'Overview IB'!R59</f>
        <v>0</v>
      </c>
      <c r="P44" s="156"/>
      <c r="Q44" s="132">
        <f t="shared" si="3"/>
        <v>0</v>
      </c>
      <c r="R44" s="103"/>
      <c r="S44" s="157">
        <f t="shared" si="1"/>
        <v>0</v>
      </c>
      <c r="T44" s="168"/>
      <c r="U44" s="133"/>
      <c r="V44" s="133"/>
      <c r="W44" s="133"/>
      <c r="X44" s="133"/>
      <c r="Y44" s="133"/>
      <c r="Z44" s="133"/>
      <c r="AA44" s="133"/>
      <c r="AB44" s="133"/>
      <c r="AC44" s="133"/>
      <c r="AD44" s="133"/>
      <c r="AE44" s="31"/>
    </row>
    <row r="45" spans="2:31" x14ac:dyDescent="0.25">
      <c r="B45" s="81"/>
      <c r="C45" s="52" t="s">
        <v>57</v>
      </c>
      <c r="D45" s="132">
        <f>'Overview IB'!D60</f>
        <v>0</v>
      </c>
      <c r="E45" s="132">
        <f>'Overview IB'!E60</f>
        <v>0</v>
      </c>
      <c r="F45" s="132">
        <f>'Overview IB'!I60</f>
        <v>0</v>
      </c>
      <c r="G45" s="132">
        <f>'Overview IB'!J60</f>
        <v>0</v>
      </c>
      <c r="H45" s="132">
        <f>'Overview IB'!K60</f>
        <v>0</v>
      </c>
      <c r="I45" s="132">
        <f>'Overview IB'!L60</f>
        <v>0</v>
      </c>
      <c r="J45" s="132">
        <f>'Overview IB'!M60</f>
        <v>0</v>
      </c>
      <c r="K45" s="132">
        <f>'Overview IB'!N60</f>
        <v>0</v>
      </c>
      <c r="L45" s="132">
        <f>'Overview IB'!O60</f>
        <v>0</v>
      </c>
      <c r="M45" s="132">
        <f>'Overview IB'!P60</f>
        <v>0</v>
      </c>
      <c r="N45" s="132">
        <f>'Overview IB'!Q60</f>
        <v>0</v>
      </c>
      <c r="O45" s="132">
        <f>'Overview IB'!R60</f>
        <v>0</v>
      </c>
      <c r="P45" s="156"/>
      <c r="Q45" s="132">
        <f t="shared" si="3"/>
        <v>0</v>
      </c>
      <c r="R45" s="103"/>
      <c r="S45" s="157">
        <f t="shared" si="1"/>
        <v>0</v>
      </c>
      <c r="T45" s="168"/>
      <c r="U45" s="133"/>
      <c r="V45" s="133"/>
      <c r="W45" s="133"/>
      <c r="X45" s="133"/>
      <c r="Y45" s="133"/>
      <c r="Z45" s="133"/>
      <c r="AA45" s="133"/>
      <c r="AB45" s="133"/>
      <c r="AC45" s="133"/>
      <c r="AD45" s="133"/>
      <c r="AE45" s="31"/>
    </row>
    <row r="46" spans="2:31" x14ac:dyDescent="0.25">
      <c r="B46" s="81"/>
      <c r="C46" s="50" t="s">
        <v>44</v>
      </c>
      <c r="D46" s="64">
        <f>'Overview IB'!D61</f>
        <v>0</v>
      </c>
      <c r="E46" s="64">
        <f>'Overview IB'!E61</f>
        <v>0</v>
      </c>
      <c r="F46" s="132">
        <f>'Overview IB'!I61</f>
        <v>0</v>
      </c>
      <c r="G46" s="132">
        <f>'Overview IB'!J61</f>
        <v>0</v>
      </c>
      <c r="H46" s="132">
        <f>'Overview IB'!K61</f>
        <v>0</v>
      </c>
      <c r="I46" s="132">
        <f>'Overview IB'!L61</f>
        <v>0</v>
      </c>
      <c r="J46" s="132">
        <f>'Overview IB'!M61</f>
        <v>0</v>
      </c>
      <c r="K46" s="132">
        <f>'Overview IB'!N61</f>
        <v>0</v>
      </c>
      <c r="L46" s="132">
        <f>'Overview IB'!O61</f>
        <v>0</v>
      </c>
      <c r="M46" s="132">
        <f>'Overview IB'!P61</f>
        <v>0</v>
      </c>
      <c r="N46" s="132">
        <f>'Overview IB'!Q61</f>
        <v>0</v>
      </c>
      <c r="O46" s="132">
        <f>'Overview IB'!R61</f>
        <v>0</v>
      </c>
      <c r="P46" s="32"/>
      <c r="Q46" s="64">
        <f t="shared" si="3"/>
        <v>0</v>
      </c>
      <c r="R46" s="103"/>
      <c r="S46" s="157">
        <f t="shared" si="1"/>
        <v>0</v>
      </c>
      <c r="T46" s="168"/>
      <c r="U46" s="66"/>
      <c r="V46" s="66"/>
      <c r="W46" s="66"/>
      <c r="X46" s="66"/>
      <c r="Y46" s="66"/>
      <c r="Z46" s="66"/>
      <c r="AA46" s="66"/>
      <c r="AB46" s="66"/>
      <c r="AC46" s="66"/>
      <c r="AD46" s="66"/>
      <c r="AE46" s="31"/>
    </row>
    <row r="47" spans="2:31" ht="33" customHeight="1" x14ac:dyDescent="0.25">
      <c r="B47" s="81"/>
      <c r="C47" s="52" t="s">
        <v>81</v>
      </c>
      <c r="D47" s="132">
        <f>'Overview IB'!D62</f>
        <v>0</v>
      </c>
      <c r="E47" s="132">
        <f>'Overview IB'!E62</f>
        <v>0</v>
      </c>
      <c r="F47" s="132">
        <f>'Overview IB'!I62</f>
        <v>0</v>
      </c>
      <c r="G47" s="132">
        <f>'Overview IB'!J62</f>
        <v>0</v>
      </c>
      <c r="H47" s="132">
        <f>'Overview IB'!K62</f>
        <v>0</v>
      </c>
      <c r="I47" s="132">
        <f>'Overview IB'!L62</f>
        <v>0</v>
      </c>
      <c r="J47" s="132">
        <f>'Overview IB'!M62</f>
        <v>0</v>
      </c>
      <c r="K47" s="132">
        <f>'Overview IB'!N62</f>
        <v>0</v>
      </c>
      <c r="L47" s="132">
        <f>'Overview IB'!O62</f>
        <v>0</v>
      </c>
      <c r="M47" s="132">
        <f>'Overview IB'!P62</f>
        <v>0</v>
      </c>
      <c r="N47" s="132">
        <f>'Overview IB'!Q62</f>
        <v>0</v>
      </c>
      <c r="O47" s="132">
        <f>'Overview IB'!R62</f>
        <v>0</v>
      </c>
      <c r="P47" s="156"/>
      <c r="Q47" s="132">
        <f t="shared" si="3"/>
        <v>0</v>
      </c>
      <c r="R47" s="103"/>
      <c r="S47" s="157">
        <f t="shared" si="1"/>
        <v>0</v>
      </c>
      <c r="T47" s="168"/>
      <c r="U47" s="133"/>
      <c r="V47" s="133"/>
      <c r="W47" s="133"/>
      <c r="X47" s="133"/>
      <c r="Y47" s="133"/>
      <c r="Z47" s="133"/>
      <c r="AA47" s="133"/>
      <c r="AB47" s="133"/>
      <c r="AC47" s="133"/>
      <c r="AD47" s="133"/>
      <c r="AE47" s="31"/>
    </row>
    <row r="48" spans="2:31" ht="45" x14ac:dyDescent="0.25">
      <c r="B48" s="81"/>
      <c r="C48" s="8" t="s">
        <v>147</v>
      </c>
      <c r="D48" s="152" t="s">
        <v>72</v>
      </c>
      <c r="E48" s="152" t="s">
        <v>125</v>
      </c>
      <c r="F48" s="86" t="s">
        <v>129</v>
      </c>
      <c r="G48" s="86" t="s">
        <v>130</v>
      </c>
      <c r="H48" s="86" t="s">
        <v>131</v>
      </c>
      <c r="I48" s="86" t="s">
        <v>132</v>
      </c>
      <c r="J48" s="86" t="s">
        <v>133</v>
      </c>
      <c r="K48" s="86" t="s">
        <v>134</v>
      </c>
      <c r="L48" s="86" t="s">
        <v>135</v>
      </c>
      <c r="M48" s="86" t="s">
        <v>136</v>
      </c>
      <c r="N48" s="86" t="s">
        <v>137</v>
      </c>
      <c r="O48" s="86" t="s">
        <v>138</v>
      </c>
      <c r="P48" s="32"/>
      <c r="Q48" s="85" t="s">
        <v>29</v>
      </c>
      <c r="R48" s="85" t="s">
        <v>124</v>
      </c>
      <c r="S48" s="76" t="s">
        <v>8</v>
      </c>
      <c r="T48" s="8" t="s">
        <v>61</v>
      </c>
      <c r="U48" s="86" t="s">
        <v>129</v>
      </c>
      <c r="V48" s="86" t="s">
        <v>130</v>
      </c>
      <c r="W48" s="86" t="s">
        <v>131</v>
      </c>
      <c r="X48" s="86" t="s">
        <v>132</v>
      </c>
      <c r="Y48" s="86" t="s">
        <v>133</v>
      </c>
      <c r="Z48" s="86" t="s">
        <v>134</v>
      </c>
      <c r="AA48" s="86" t="s">
        <v>135</v>
      </c>
      <c r="AB48" s="86" t="s">
        <v>136</v>
      </c>
      <c r="AC48" s="86" t="s">
        <v>137</v>
      </c>
      <c r="AD48" s="86" t="s">
        <v>138</v>
      </c>
      <c r="AE48" s="31"/>
    </row>
    <row r="49" spans="2:31" ht="30" customHeight="1" x14ac:dyDescent="0.25">
      <c r="B49" s="81"/>
      <c r="C49" s="50" t="s">
        <v>109</v>
      </c>
      <c r="D49" s="64">
        <f>'Overview IB'!D64</f>
        <v>0</v>
      </c>
      <c r="E49" s="64">
        <f>'Overview IB'!E64</f>
        <v>0</v>
      </c>
      <c r="F49" s="132">
        <f>'Overview IB'!I64</f>
        <v>0</v>
      </c>
      <c r="G49" s="132">
        <f>'Overview IB'!J64</f>
        <v>0</v>
      </c>
      <c r="H49" s="132">
        <f>'Overview IB'!K64</f>
        <v>0</v>
      </c>
      <c r="I49" s="132">
        <f>'Overview IB'!L64</f>
        <v>0</v>
      </c>
      <c r="J49" s="132">
        <f>'Overview IB'!M64</f>
        <v>0</v>
      </c>
      <c r="K49" s="132">
        <f>'Overview IB'!N64</f>
        <v>0</v>
      </c>
      <c r="L49" s="132">
        <f>'Overview IB'!O64</f>
        <v>0</v>
      </c>
      <c r="M49" s="132">
        <f>'Overview IB'!P64</f>
        <v>0</v>
      </c>
      <c r="N49" s="132">
        <f>'Overview IB'!Q64</f>
        <v>0</v>
      </c>
      <c r="O49" s="132">
        <f>'Overview IB'!R64</f>
        <v>0</v>
      </c>
      <c r="P49" s="104"/>
      <c r="Q49" s="64">
        <f t="shared" si="3"/>
        <v>0</v>
      </c>
      <c r="R49" s="103"/>
      <c r="S49" s="157">
        <f t="shared" si="1"/>
        <v>0</v>
      </c>
      <c r="T49" s="168"/>
      <c r="U49" s="66"/>
      <c r="V49" s="66"/>
      <c r="W49" s="66"/>
      <c r="X49" s="66"/>
      <c r="Y49" s="66"/>
      <c r="Z49" s="66"/>
      <c r="AA49" s="66"/>
      <c r="AB49" s="66"/>
      <c r="AC49" s="66"/>
      <c r="AD49" s="66"/>
      <c r="AE49" s="31"/>
    </row>
    <row r="50" spans="2:31" x14ac:dyDescent="0.25">
      <c r="B50" s="81"/>
      <c r="C50" s="49" t="s">
        <v>69</v>
      </c>
      <c r="D50" s="64">
        <f>'Overview IB'!D65</f>
        <v>0</v>
      </c>
      <c r="E50" s="64">
        <f>'Overview IB'!E65</f>
        <v>0</v>
      </c>
      <c r="F50" s="132">
        <f>'Overview IB'!I65</f>
        <v>0</v>
      </c>
      <c r="G50" s="132">
        <f>'Overview IB'!J65</f>
        <v>0</v>
      </c>
      <c r="H50" s="132">
        <f>'Overview IB'!K65</f>
        <v>0</v>
      </c>
      <c r="I50" s="132">
        <f>'Overview IB'!L65</f>
        <v>0</v>
      </c>
      <c r="J50" s="132">
        <f>'Overview IB'!M65</f>
        <v>0</v>
      </c>
      <c r="K50" s="132">
        <f>'Overview IB'!N65</f>
        <v>0</v>
      </c>
      <c r="L50" s="132">
        <f>'Overview IB'!O65</f>
        <v>0</v>
      </c>
      <c r="M50" s="132">
        <f>'Overview IB'!P65</f>
        <v>0</v>
      </c>
      <c r="N50" s="132">
        <f>'Overview IB'!Q65</f>
        <v>0</v>
      </c>
      <c r="O50" s="132">
        <f>'Overview IB'!R65</f>
        <v>0</v>
      </c>
      <c r="P50" s="104"/>
      <c r="Q50" s="64">
        <f t="shared" si="3"/>
        <v>0</v>
      </c>
      <c r="R50" s="103"/>
      <c r="S50" s="157">
        <f t="shared" si="1"/>
        <v>0</v>
      </c>
      <c r="T50" s="168"/>
      <c r="U50" s="66"/>
      <c r="V50" s="66"/>
      <c r="W50" s="66"/>
      <c r="X50" s="66"/>
      <c r="Y50" s="66"/>
      <c r="Z50" s="66"/>
      <c r="AA50" s="66"/>
      <c r="AB50" s="66"/>
      <c r="AC50" s="66"/>
      <c r="AD50" s="66"/>
      <c r="AE50" s="31"/>
    </row>
    <row r="51" spans="2:31" ht="13.15" customHeight="1" x14ac:dyDescent="0.25">
      <c r="B51" s="81"/>
      <c r="C51" s="52" t="s">
        <v>64</v>
      </c>
      <c r="D51" s="132">
        <f>'Overview IB'!D66</f>
        <v>0</v>
      </c>
      <c r="E51" s="132">
        <f>'Overview IB'!E66</f>
        <v>0</v>
      </c>
      <c r="F51" s="132">
        <f>'Overview IB'!I66</f>
        <v>0</v>
      </c>
      <c r="G51" s="132">
        <f>'Overview IB'!J66</f>
        <v>0</v>
      </c>
      <c r="H51" s="132">
        <f>'Overview IB'!K66</f>
        <v>0</v>
      </c>
      <c r="I51" s="132">
        <f>'Overview IB'!L66</f>
        <v>0</v>
      </c>
      <c r="J51" s="132">
        <f>'Overview IB'!M66</f>
        <v>0</v>
      </c>
      <c r="K51" s="132">
        <f>'Overview IB'!N66</f>
        <v>0</v>
      </c>
      <c r="L51" s="132">
        <f>'Overview IB'!O66</f>
        <v>0</v>
      </c>
      <c r="M51" s="132">
        <f>'Overview IB'!P66</f>
        <v>0</v>
      </c>
      <c r="N51" s="132">
        <f>'Overview IB'!Q66</f>
        <v>0</v>
      </c>
      <c r="O51" s="132">
        <f>'Overview IB'!R66</f>
        <v>0</v>
      </c>
      <c r="P51" s="102"/>
      <c r="Q51" s="132">
        <f t="shared" si="3"/>
        <v>0</v>
      </c>
      <c r="R51" s="103"/>
      <c r="S51" s="157">
        <f t="shared" si="1"/>
        <v>0</v>
      </c>
      <c r="T51" s="168"/>
      <c r="U51" s="133"/>
      <c r="V51" s="133"/>
      <c r="W51" s="133"/>
      <c r="X51" s="133"/>
      <c r="Y51" s="133"/>
      <c r="Z51" s="133"/>
      <c r="AA51" s="133"/>
      <c r="AB51" s="133"/>
      <c r="AC51" s="133"/>
      <c r="AD51" s="133"/>
      <c r="AE51" s="31"/>
    </row>
    <row r="52" spans="2:31" ht="14.65" customHeight="1" x14ac:dyDescent="0.25">
      <c r="B52" s="81"/>
      <c r="C52" s="49" t="s">
        <v>110</v>
      </c>
      <c r="D52" s="64">
        <f>'Overview IB'!D67</f>
        <v>0</v>
      </c>
      <c r="E52" s="64">
        <f>'Overview IB'!E67</f>
        <v>0</v>
      </c>
      <c r="F52" s="132">
        <f>'Overview IB'!I67</f>
        <v>0</v>
      </c>
      <c r="G52" s="132">
        <f>'Overview IB'!J67</f>
        <v>0</v>
      </c>
      <c r="H52" s="132">
        <f>'Overview IB'!K67</f>
        <v>0</v>
      </c>
      <c r="I52" s="132">
        <f>'Overview IB'!L67</f>
        <v>0</v>
      </c>
      <c r="J52" s="132">
        <f>'Overview IB'!M67</f>
        <v>0</v>
      </c>
      <c r="K52" s="132">
        <f>'Overview IB'!N67</f>
        <v>0</v>
      </c>
      <c r="L52" s="132">
        <f>'Overview IB'!O67</f>
        <v>0</v>
      </c>
      <c r="M52" s="132">
        <f>'Overview IB'!P67</f>
        <v>0</v>
      </c>
      <c r="N52" s="132">
        <f>'Overview IB'!Q67</f>
        <v>0</v>
      </c>
      <c r="O52" s="132">
        <f>'Overview IB'!R67</f>
        <v>0</v>
      </c>
      <c r="P52" s="104"/>
      <c r="Q52" s="64">
        <f t="shared" si="3"/>
        <v>0</v>
      </c>
      <c r="R52" s="103"/>
      <c r="S52" s="157">
        <f t="shared" si="1"/>
        <v>0</v>
      </c>
      <c r="T52" s="168"/>
      <c r="U52" s="66"/>
      <c r="V52" s="66"/>
      <c r="W52" s="66"/>
      <c r="X52" s="66"/>
      <c r="Y52" s="66"/>
      <c r="Z52" s="66"/>
      <c r="AA52" s="66"/>
      <c r="AB52" s="66"/>
      <c r="AC52" s="66"/>
      <c r="AD52" s="66"/>
      <c r="AE52" s="31"/>
    </row>
    <row r="53" spans="2:31" ht="13.15" customHeight="1" x14ac:dyDescent="0.25">
      <c r="B53" s="81"/>
      <c r="C53" s="49" t="s">
        <v>53</v>
      </c>
      <c r="D53" s="64">
        <f>'Overview IB'!D68</f>
        <v>0</v>
      </c>
      <c r="E53" s="64">
        <f>'Overview IB'!E68</f>
        <v>0</v>
      </c>
      <c r="F53" s="132">
        <f>'Overview IB'!I68</f>
        <v>0</v>
      </c>
      <c r="G53" s="132">
        <f>'Overview IB'!J68</f>
        <v>0</v>
      </c>
      <c r="H53" s="132">
        <f>'Overview IB'!K68</f>
        <v>0</v>
      </c>
      <c r="I53" s="132">
        <f>'Overview IB'!L68</f>
        <v>0</v>
      </c>
      <c r="J53" s="132">
        <f>'Overview IB'!M68</f>
        <v>0</v>
      </c>
      <c r="K53" s="132">
        <f>'Overview IB'!N68</f>
        <v>0</v>
      </c>
      <c r="L53" s="132">
        <f>'Overview IB'!O68</f>
        <v>0</v>
      </c>
      <c r="M53" s="132">
        <f>'Overview IB'!P68</f>
        <v>0</v>
      </c>
      <c r="N53" s="132">
        <f>'Overview IB'!Q68</f>
        <v>0</v>
      </c>
      <c r="O53" s="132">
        <f>'Overview IB'!R68</f>
        <v>0</v>
      </c>
      <c r="P53" s="104"/>
      <c r="Q53" s="64">
        <f t="shared" si="3"/>
        <v>0</v>
      </c>
      <c r="R53" s="103"/>
      <c r="S53" s="157">
        <f t="shared" si="1"/>
        <v>0</v>
      </c>
      <c r="T53" s="168"/>
      <c r="U53" s="66"/>
      <c r="V53" s="66"/>
      <c r="W53" s="66"/>
      <c r="X53" s="66"/>
      <c r="Y53" s="66"/>
      <c r="Z53" s="66"/>
      <c r="AA53" s="66"/>
      <c r="AB53" s="66"/>
      <c r="AC53" s="66"/>
      <c r="AD53" s="66"/>
      <c r="AE53" s="31"/>
    </row>
    <row r="54" spans="2:31" ht="33" customHeight="1" x14ac:dyDescent="0.25">
      <c r="B54" s="81"/>
      <c r="C54" s="52" t="s">
        <v>97</v>
      </c>
      <c r="D54" s="132">
        <f>'Overview IB'!D69</f>
        <v>0</v>
      </c>
      <c r="E54" s="132">
        <f>'Overview IB'!E69</f>
        <v>0</v>
      </c>
      <c r="F54" s="132">
        <f>'Overview IB'!I69</f>
        <v>0</v>
      </c>
      <c r="G54" s="132">
        <f>'Overview IB'!J69</f>
        <v>0</v>
      </c>
      <c r="H54" s="132">
        <f>'Overview IB'!K69</f>
        <v>0</v>
      </c>
      <c r="I54" s="132">
        <f>'Overview IB'!L69</f>
        <v>0</v>
      </c>
      <c r="J54" s="132">
        <f>'Overview IB'!M69</f>
        <v>0</v>
      </c>
      <c r="K54" s="132">
        <f>'Overview IB'!N69</f>
        <v>0</v>
      </c>
      <c r="L54" s="132">
        <f>'Overview IB'!O69</f>
        <v>0</v>
      </c>
      <c r="M54" s="132">
        <f>'Overview IB'!P69</f>
        <v>0</v>
      </c>
      <c r="N54" s="132">
        <f>'Overview IB'!Q69</f>
        <v>0</v>
      </c>
      <c r="O54" s="132">
        <f>'Overview IB'!R69</f>
        <v>0</v>
      </c>
      <c r="P54" s="100"/>
      <c r="Q54" s="132">
        <f t="shared" si="3"/>
        <v>0</v>
      </c>
      <c r="R54" s="103"/>
      <c r="S54" s="157">
        <f t="shared" si="1"/>
        <v>0</v>
      </c>
      <c r="T54" s="168"/>
      <c r="U54" s="133"/>
      <c r="V54" s="133"/>
      <c r="W54" s="133"/>
      <c r="X54" s="133"/>
      <c r="Y54" s="133"/>
      <c r="Z54" s="133"/>
      <c r="AA54" s="133"/>
      <c r="AB54" s="133"/>
      <c r="AC54" s="133"/>
      <c r="AD54" s="133"/>
      <c r="AE54" s="31"/>
    </row>
    <row r="55" spans="2:31" ht="13.15" customHeight="1" x14ac:dyDescent="0.25">
      <c r="B55" s="81"/>
      <c r="C55" s="52" t="s">
        <v>65</v>
      </c>
      <c r="D55" s="132">
        <f>'Overview IB'!D70</f>
        <v>0</v>
      </c>
      <c r="E55" s="132">
        <f>'Overview IB'!E70</f>
        <v>0</v>
      </c>
      <c r="F55" s="132">
        <f>'Overview IB'!I70</f>
        <v>0</v>
      </c>
      <c r="G55" s="132">
        <f>'Overview IB'!J70</f>
        <v>0</v>
      </c>
      <c r="H55" s="132">
        <f>'Overview IB'!K70</f>
        <v>0</v>
      </c>
      <c r="I55" s="132">
        <f>'Overview IB'!L70</f>
        <v>0</v>
      </c>
      <c r="J55" s="132">
        <f>'Overview IB'!M70</f>
        <v>0</v>
      </c>
      <c r="K55" s="132">
        <f>'Overview IB'!N70</f>
        <v>0</v>
      </c>
      <c r="L55" s="132">
        <f>'Overview IB'!O70</f>
        <v>0</v>
      </c>
      <c r="M55" s="132">
        <f>'Overview IB'!P70</f>
        <v>0</v>
      </c>
      <c r="N55" s="132">
        <f>'Overview IB'!Q70</f>
        <v>0</v>
      </c>
      <c r="O55" s="132">
        <f>'Overview IB'!R70</f>
        <v>0</v>
      </c>
      <c r="P55" s="100"/>
      <c r="Q55" s="132">
        <f t="shared" si="3"/>
        <v>0</v>
      </c>
      <c r="R55" s="103"/>
      <c r="S55" s="157">
        <f t="shared" si="1"/>
        <v>0</v>
      </c>
      <c r="T55" s="168"/>
      <c r="U55" s="133"/>
      <c r="V55" s="133"/>
      <c r="W55" s="133"/>
      <c r="X55" s="133"/>
      <c r="Y55" s="133"/>
      <c r="Z55" s="133"/>
      <c r="AA55" s="133"/>
      <c r="AB55" s="133"/>
      <c r="AC55" s="133"/>
      <c r="AD55" s="133"/>
      <c r="AE55" s="31"/>
    </row>
    <row r="56" spans="2:31" x14ac:dyDescent="0.25">
      <c r="B56" s="81"/>
      <c r="C56" s="82" t="s">
        <v>74</v>
      </c>
      <c r="D56" s="64">
        <f>'Overview IB'!D71</f>
        <v>0</v>
      </c>
      <c r="E56" s="64">
        <f>'Overview IB'!E71</f>
        <v>0</v>
      </c>
      <c r="F56" s="132">
        <f>'Overview IB'!I71</f>
        <v>0</v>
      </c>
      <c r="G56" s="132">
        <f>'Overview IB'!J71</f>
        <v>0</v>
      </c>
      <c r="H56" s="132">
        <f>'Overview IB'!K71</f>
        <v>0</v>
      </c>
      <c r="I56" s="132">
        <f>'Overview IB'!L71</f>
        <v>0</v>
      </c>
      <c r="J56" s="132">
        <f>'Overview IB'!M71</f>
        <v>0</v>
      </c>
      <c r="K56" s="132">
        <f>'Overview IB'!N71</f>
        <v>0</v>
      </c>
      <c r="L56" s="132">
        <f>'Overview IB'!O71</f>
        <v>0</v>
      </c>
      <c r="M56" s="132">
        <f>'Overview IB'!P71</f>
        <v>0</v>
      </c>
      <c r="N56" s="132">
        <f>'Overview IB'!Q71</f>
        <v>0</v>
      </c>
      <c r="O56" s="132">
        <f>'Overview IB'!R71</f>
        <v>0</v>
      </c>
      <c r="P56" s="91"/>
      <c r="Q56" s="64">
        <f t="shared" si="3"/>
        <v>0</v>
      </c>
      <c r="R56" s="103"/>
      <c r="S56" s="157">
        <f t="shared" si="1"/>
        <v>0</v>
      </c>
      <c r="T56" s="168"/>
      <c r="U56" s="66"/>
      <c r="V56" s="66"/>
      <c r="W56" s="66"/>
      <c r="X56" s="66"/>
      <c r="Y56" s="66"/>
      <c r="Z56" s="66"/>
      <c r="AA56" s="66"/>
      <c r="AB56" s="66"/>
      <c r="AC56" s="66"/>
      <c r="AD56" s="66"/>
      <c r="AE56" s="31"/>
    </row>
    <row r="57" spans="2:31" x14ac:dyDescent="0.25">
      <c r="B57" s="81"/>
      <c r="C57" s="52" t="s">
        <v>75</v>
      </c>
      <c r="D57" s="132">
        <f>'Overview IB'!D72</f>
        <v>0</v>
      </c>
      <c r="E57" s="132">
        <f>'Overview IB'!E72</f>
        <v>0</v>
      </c>
      <c r="F57" s="132">
        <f>'Overview IB'!I72</f>
        <v>0</v>
      </c>
      <c r="G57" s="132">
        <f>'Overview IB'!J72</f>
        <v>0</v>
      </c>
      <c r="H57" s="132">
        <f>'Overview IB'!K72</f>
        <v>0</v>
      </c>
      <c r="I57" s="132">
        <f>'Overview IB'!L72</f>
        <v>0</v>
      </c>
      <c r="J57" s="132">
        <f>'Overview IB'!M72</f>
        <v>0</v>
      </c>
      <c r="K57" s="132">
        <f>'Overview IB'!N72</f>
        <v>0</v>
      </c>
      <c r="L57" s="132">
        <f>'Overview IB'!O72</f>
        <v>0</v>
      </c>
      <c r="M57" s="132">
        <f>'Overview IB'!P72</f>
        <v>0</v>
      </c>
      <c r="N57" s="132">
        <f>'Overview IB'!Q72</f>
        <v>0</v>
      </c>
      <c r="O57" s="132">
        <f>'Overview IB'!R72</f>
        <v>0</v>
      </c>
      <c r="P57" s="100"/>
      <c r="Q57" s="132">
        <f t="shared" si="3"/>
        <v>0</v>
      </c>
      <c r="R57" s="103"/>
      <c r="S57" s="157">
        <f t="shared" si="1"/>
        <v>0</v>
      </c>
      <c r="T57" s="168"/>
      <c r="U57" s="133"/>
      <c r="V57" s="133"/>
      <c r="W57" s="133"/>
      <c r="X57" s="133"/>
      <c r="Y57" s="133"/>
      <c r="Z57" s="133"/>
      <c r="AA57" s="133"/>
      <c r="AB57" s="133"/>
      <c r="AC57" s="133"/>
      <c r="AD57" s="133"/>
      <c r="AE57" s="31"/>
    </row>
    <row r="58" spans="2:31" x14ac:dyDescent="0.25">
      <c r="B58" s="81"/>
      <c r="C58" s="52" t="s">
        <v>76</v>
      </c>
      <c r="D58" s="132">
        <f>'Overview IB'!D73</f>
        <v>0</v>
      </c>
      <c r="E58" s="132">
        <f>'Overview IB'!E73</f>
        <v>0</v>
      </c>
      <c r="F58" s="132">
        <f>'Overview IB'!I73</f>
        <v>0</v>
      </c>
      <c r="G58" s="132">
        <f>'Overview IB'!J73</f>
        <v>0</v>
      </c>
      <c r="H58" s="132">
        <f>'Overview IB'!K73</f>
        <v>0</v>
      </c>
      <c r="I58" s="132">
        <f>'Overview IB'!L73</f>
        <v>0</v>
      </c>
      <c r="J58" s="132">
        <f>'Overview IB'!M73</f>
        <v>0</v>
      </c>
      <c r="K58" s="132">
        <f>'Overview IB'!N73</f>
        <v>0</v>
      </c>
      <c r="L58" s="132">
        <f>'Overview IB'!O73</f>
        <v>0</v>
      </c>
      <c r="M58" s="132">
        <f>'Overview IB'!P73</f>
        <v>0</v>
      </c>
      <c r="N58" s="132">
        <f>'Overview IB'!Q73</f>
        <v>0</v>
      </c>
      <c r="O58" s="132">
        <f>'Overview IB'!R73</f>
        <v>0</v>
      </c>
      <c r="P58" s="100"/>
      <c r="Q58" s="132">
        <f t="shared" si="3"/>
        <v>0</v>
      </c>
      <c r="R58" s="103"/>
      <c r="S58" s="157">
        <f t="shared" si="1"/>
        <v>0</v>
      </c>
      <c r="T58" s="168"/>
      <c r="U58" s="133"/>
      <c r="V58" s="133"/>
      <c r="W58" s="133"/>
      <c r="X58" s="133"/>
      <c r="Y58" s="133"/>
      <c r="Z58" s="133"/>
      <c r="AA58" s="133"/>
      <c r="AB58" s="133"/>
      <c r="AC58" s="133"/>
      <c r="AD58" s="133"/>
      <c r="AE58" s="31"/>
    </row>
    <row r="59" spans="2:31" x14ac:dyDescent="0.25">
      <c r="B59" s="81"/>
      <c r="C59" s="49" t="str">
        <f>'Overview IB'!C74</f>
        <v>Sonstiger Indikator - frei wählbar lt. Indikatorenblatt</v>
      </c>
      <c r="D59" s="64">
        <f>'Overview IB'!D74</f>
        <v>0</v>
      </c>
      <c r="E59" s="64">
        <f>'Overview IB'!E74</f>
        <v>0</v>
      </c>
      <c r="F59" s="132">
        <f>'Overview IB'!I74</f>
        <v>0</v>
      </c>
      <c r="G59" s="132">
        <f>'Overview IB'!J74</f>
        <v>0</v>
      </c>
      <c r="H59" s="132">
        <f>'Overview IB'!K74</f>
        <v>0</v>
      </c>
      <c r="I59" s="132">
        <f>'Overview IB'!L74</f>
        <v>0</v>
      </c>
      <c r="J59" s="132">
        <f>'Overview IB'!M74</f>
        <v>0</v>
      </c>
      <c r="K59" s="132">
        <f>'Overview IB'!N74</f>
        <v>0</v>
      </c>
      <c r="L59" s="132">
        <f>'Overview IB'!O74</f>
        <v>0</v>
      </c>
      <c r="M59" s="132">
        <f>'Overview IB'!P74</f>
        <v>0</v>
      </c>
      <c r="N59" s="132">
        <f>'Overview IB'!Q74</f>
        <v>0</v>
      </c>
      <c r="O59" s="132">
        <f>'Overview IB'!R74</f>
        <v>0</v>
      </c>
      <c r="P59" s="91"/>
      <c r="Q59" s="64">
        <f t="shared" si="3"/>
        <v>0</v>
      </c>
      <c r="R59" s="103"/>
      <c r="S59" s="157">
        <f t="shared" si="1"/>
        <v>0</v>
      </c>
      <c r="T59" s="168"/>
      <c r="U59" s="66"/>
      <c r="V59" s="66"/>
      <c r="W59" s="66"/>
      <c r="X59" s="66"/>
      <c r="Y59" s="66"/>
      <c r="Z59" s="66"/>
      <c r="AA59" s="66"/>
      <c r="AB59" s="66"/>
      <c r="AC59" s="66"/>
      <c r="AD59" s="66"/>
      <c r="AE59" s="31"/>
    </row>
    <row r="60" spans="2:31" x14ac:dyDescent="0.25">
      <c r="B60" s="81"/>
      <c r="C60" s="49" t="str">
        <f>'Overview IB'!C75</f>
        <v>Sonstiger Indikator - frei wählbar lt. Indikatorenblatt</v>
      </c>
      <c r="D60" s="64">
        <f>'Overview IB'!D75</f>
        <v>0</v>
      </c>
      <c r="E60" s="64">
        <f>'Overview IB'!E75</f>
        <v>0</v>
      </c>
      <c r="F60" s="132">
        <f>'Overview IB'!I75</f>
        <v>0</v>
      </c>
      <c r="G60" s="132">
        <f>'Overview IB'!J75</f>
        <v>0</v>
      </c>
      <c r="H60" s="132">
        <f>'Overview IB'!K75</f>
        <v>0</v>
      </c>
      <c r="I60" s="132">
        <f>'Overview IB'!L75</f>
        <v>0</v>
      </c>
      <c r="J60" s="132">
        <f>'Overview IB'!M75</f>
        <v>0</v>
      </c>
      <c r="K60" s="132">
        <f>'Overview IB'!N75</f>
        <v>0</v>
      </c>
      <c r="L60" s="132">
        <f>'Overview IB'!O75</f>
        <v>0</v>
      </c>
      <c r="M60" s="132">
        <f>'Overview IB'!P75</f>
        <v>0</v>
      </c>
      <c r="N60" s="132">
        <f>'Overview IB'!Q75</f>
        <v>0</v>
      </c>
      <c r="O60" s="132">
        <f>'Overview IB'!R75</f>
        <v>0</v>
      </c>
      <c r="P60" s="91"/>
      <c r="Q60" s="64">
        <f t="shared" si="3"/>
        <v>0</v>
      </c>
      <c r="R60" s="103"/>
      <c r="S60" s="157">
        <f t="shared" si="1"/>
        <v>0</v>
      </c>
      <c r="T60" s="168"/>
      <c r="U60" s="66"/>
      <c r="V60" s="66"/>
      <c r="W60" s="66"/>
      <c r="X60" s="66"/>
      <c r="Y60" s="66"/>
      <c r="Z60" s="66"/>
      <c r="AA60" s="66"/>
      <c r="AB60" s="66"/>
      <c r="AC60" s="66"/>
      <c r="AD60" s="66"/>
      <c r="AE60" s="31"/>
    </row>
    <row r="61" spans="2:31" ht="16.5" customHeight="1" x14ac:dyDescent="0.25">
      <c r="B61" s="253"/>
      <c r="C61" s="254"/>
      <c r="D61" s="105"/>
      <c r="E61" s="158"/>
      <c r="F61" s="106"/>
      <c r="G61" s="106"/>
      <c r="H61" s="106"/>
      <c r="I61" s="106"/>
      <c r="J61" s="106"/>
      <c r="K61" s="106"/>
      <c r="L61" s="106"/>
      <c r="M61" s="106"/>
      <c r="N61" s="106"/>
      <c r="O61" s="106"/>
      <c r="P61" s="91"/>
      <c r="Q61" s="107"/>
      <c r="R61" s="107"/>
      <c r="S61" s="108"/>
      <c r="T61" s="121"/>
      <c r="U61" s="106"/>
      <c r="V61" s="106"/>
      <c r="W61" s="106"/>
      <c r="X61" s="106"/>
      <c r="Y61" s="106"/>
      <c r="Z61" s="106"/>
      <c r="AA61" s="106"/>
      <c r="AB61" s="106"/>
      <c r="AC61" s="106"/>
      <c r="AD61" s="106"/>
      <c r="AE61" s="31"/>
    </row>
    <row r="62" spans="2:31" ht="45" x14ac:dyDescent="0.25">
      <c r="B62" s="81"/>
      <c r="C62" s="154" t="s">
        <v>30</v>
      </c>
      <c r="D62" s="152" t="s">
        <v>72</v>
      </c>
      <c r="E62" s="152" t="s">
        <v>125</v>
      </c>
      <c r="F62" s="86" t="s">
        <v>129</v>
      </c>
      <c r="G62" s="86" t="s">
        <v>130</v>
      </c>
      <c r="H62" s="86" t="s">
        <v>131</v>
      </c>
      <c r="I62" s="86" t="s">
        <v>132</v>
      </c>
      <c r="J62" s="86" t="s">
        <v>133</v>
      </c>
      <c r="K62" s="86" t="s">
        <v>134</v>
      </c>
      <c r="L62" s="86" t="s">
        <v>135</v>
      </c>
      <c r="M62" s="86" t="s">
        <v>136</v>
      </c>
      <c r="N62" s="86" t="s">
        <v>137</v>
      </c>
      <c r="O62" s="86" t="s">
        <v>138</v>
      </c>
      <c r="P62" s="32"/>
      <c r="Q62" s="85" t="s">
        <v>29</v>
      </c>
      <c r="R62" s="85" t="s">
        <v>124</v>
      </c>
      <c r="S62" s="76" t="s">
        <v>8</v>
      </c>
      <c r="T62" s="8" t="s">
        <v>61</v>
      </c>
      <c r="U62" s="86" t="s">
        <v>129</v>
      </c>
      <c r="V62" s="86" t="s">
        <v>130</v>
      </c>
      <c r="W62" s="86" t="s">
        <v>131</v>
      </c>
      <c r="X62" s="86" t="s">
        <v>132</v>
      </c>
      <c r="Y62" s="86" t="s">
        <v>133</v>
      </c>
      <c r="Z62" s="86" t="s">
        <v>134</v>
      </c>
      <c r="AA62" s="86" t="s">
        <v>135</v>
      </c>
      <c r="AB62" s="86" t="s">
        <v>136</v>
      </c>
      <c r="AC62" s="86" t="s">
        <v>137</v>
      </c>
      <c r="AD62" s="86" t="s">
        <v>138</v>
      </c>
      <c r="AE62" s="31"/>
    </row>
    <row r="63" spans="2:31" ht="15.75" customHeight="1" x14ac:dyDescent="0.25">
      <c r="B63" s="81"/>
      <c r="C63" s="82" t="s">
        <v>99</v>
      </c>
      <c r="D63" s="138"/>
      <c r="E63" s="136"/>
      <c r="F63" s="205"/>
      <c r="G63" s="178"/>
      <c r="H63" s="178"/>
      <c r="I63" s="178"/>
      <c r="J63" s="178"/>
      <c r="K63" s="178"/>
      <c r="L63" s="178"/>
      <c r="M63" s="178"/>
      <c r="N63" s="178"/>
      <c r="O63" s="179"/>
      <c r="P63" s="32"/>
      <c r="Q63" s="255"/>
      <c r="R63" s="255"/>
      <c r="S63" s="255"/>
      <c r="T63" s="255"/>
      <c r="U63" s="255"/>
      <c r="V63" s="255"/>
      <c r="W63" s="255"/>
      <c r="X63" s="255"/>
      <c r="Y63" s="255"/>
      <c r="Z63" s="255"/>
      <c r="AA63" s="255"/>
      <c r="AB63" s="255"/>
      <c r="AC63" s="255"/>
      <c r="AD63" s="255"/>
      <c r="AE63" s="31"/>
    </row>
    <row r="64" spans="2:31" ht="15.75" customHeight="1" x14ac:dyDescent="0.25">
      <c r="B64" s="81"/>
      <c r="C64" s="75" t="s">
        <v>36</v>
      </c>
      <c r="D64" s="259"/>
      <c r="E64" s="256"/>
      <c r="F64" s="200"/>
      <c r="G64" s="201"/>
      <c r="H64" s="201"/>
      <c r="I64" s="201"/>
      <c r="J64" s="201"/>
      <c r="K64" s="201"/>
      <c r="L64" s="201"/>
      <c r="M64" s="201"/>
      <c r="N64" s="201"/>
      <c r="O64" s="202"/>
      <c r="P64" s="156"/>
      <c r="Q64" s="259"/>
      <c r="R64" s="103">
        <v>12</v>
      </c>
      <c r="S64" s="259"/>
      <c r="T64" s="168"/>
      <c r="U64" s="263" t="s">
        <v>151</v>
      </c>
      <c r="V64" s="264"/>
      <c r="W64" s="264"/>
      <c r="X64" s="264"/>
      <c r="Y64" s="264"/>
      <c r="Z64" s="264"/>
      <c r="AA64" s="264"/>
      <c r="AB64" s="264"/>
      <c r="AC64" s="264"/>
      <c r="AD64" s="265"/>
      <c r="AE64" s="31"/>
    </row>
    <row r="65" spans="2:31" ht="15.75" customHeight="1" x14ac:dyDescent="0.25">
      <c r="B65" s="81"/>
      <c r="C65" s="75" t="s">
        <v>35</v>
      </c>
      <c r="D65" s="260"/>
      <c r="E65" s="257"/>
      <c r="F65" s="200"/>
      <c r="G65" s="201"/>
      <c r="H65" s="201"/>
      <c r="I65" s="201"/>
      <c r="J65" s="201"/>
      <c r="K65" s="201"/>
      <c r="L65" s="201"/>
      <c r="M65" s="201"/>
      <c r="N65" s="201"/>
      <c r="O65" s="202"/>
      <c r="P65" s="156"/>
      <c r="Q65" s="260"/>
      <c r="R65" s="103">
        <v>34</v>
      </c>
      <c r="S65" s="260"/>
      <c r="T65" s="168"/>
      <c r="U65" s="266"/>
      <c r="V65" s="267"/>
      <c r="W65" s="267"/>
      <c r="X65" s="267"/>
      <c r="Y65" s="267"/>
      <c r="Z65" s="267"/>
      <c r="AA65" s="267"/>
      <c r="AB65" s="267"/>
      <c r="AC65" s="267"/>
      <c r="AD65" s="268"/>
      <c r="AE65" s="31"/>
    </row>
    <row r="66" spans="2:31" ht="15.75" customHeight="1" x14ac:dyDescent="0.25">
      <c r="B66" s="81"/>
      <c r="C66" s="75" t="s">
        <v>102</v>
      </c>
      <c r="D66" s="260"/>
      <c r="E66" s="257"/>
      <c r="F66" s="200"/>
      <c r="G66" s="201"/>
      <c r="H66" s="201"/>
      <c r="I66" s="201"/>
      <c r="J66" s="201"/>
      <c r="K66" s="201"/>
      <c r="L66" s="201"/>
      <c r="M66" s="201"/>
      <c r="N66" s="201"/>
      <c r="O66" s="202"/>
      <c r="P66" s="156"/>
      <c r="Q66" s="260"/>
      <c r="R66" s="103">
        <v>3</v>
      </c>
      <c r="S66" s="260"/>
      <c r="T66" s="168"/>
      <c r="U66" s="266"/>
      <c r="V66" s="267"/>
      <c r="W66" s="267"/>
      <c r="X66" s="267"/>
      <c r="Y66" s="267"/>
      <c r="Z66" s="267"/>
      <c r="AA66" s="267"/>
      <c r="AB66" s="267"/>
      <c r="AC66" s="267"/>
      <c r="AD66" s="268"/>
      <c r="AE66" s="31"/>
    </row>
    <row r="67" spans="2:31" ht="15.75" customHeight="1" x14ac:dyDescent="0.25">
      <c r="B67" s="81"/>
      <c r="C67" s="75" t="s">
        <v>88</v>
      </c>
      <c r="D67" s="260"/>
      <c r="E67" s="257"/>
      <c r="F67" s="200"/>
      <c r="G67" s="201"/>
      <c r="H67" s="201"/>
      <c r="I67" s="201"/>
      <c r="J67" s="201"/>
      <c r="K67" s="201"/>
      <c r="L67" s="201"/>
      <c r="M67" s="201"/>
      <c r="N67" s="201"/>
      <c r="O67" s="202"/>
      <c r="P67" s="156"/>
      <c r="Q67" s="260"/>
      <c r="R67" s="103">
        <v>3</v>
      </c>
      <c r="S67" s="260"/>
      <c r="T67" s="168"/>
      <c r="U67" s="266"/>
      <c r="V67" s="267"/>
      <c r="W67" s="267"/>
      <c r="X67" s="267"/>
      <c r="Y67" s="267"/>
      <c r="Z67" s="267"/>
      <c r="AA67" s="267"/>
      <c r="AB67" s="267"/>
      <c r="AC67" s="267"/>
      <c r="AD67" s="268"/>
      <c r="AE67" s="31"/>
    </row>
    <row r="68" spans="2:31" ht="15.75" customHeight="1" x14ac:dyDescent="0.25">
      <c r="B68" s="81"/>
      <c r="C68" s="75" t="s">
        <v>87</v>
      </c>
      <c r="D68" s="260"/>
      <c r="E68" s="257"/>
      <c r="F68" s="200"/>
      <c r="G68" s="201"/>
      <c r="H68" s="201"/>
      <c r="I68" s="201"/>
      <c r="J68" s="201"/>
      <c r="K68" s="201"/>
      <c r="L68" s="201"/>
      <c r="M68" s="201"/>
      <c r="N68" s="201"/>
      <c r="O68" s="202"/>
      <c r="P68" s="156"/>
      <c r="Q68" s="260"/>
      <c r="R68" s="103">
        <v>3</v>
      </c>
      <c r="S68" s="260"/>
      <c r="T68" s="168"/>
      <c r="U68" s="266"/>
      <c r="V68" s="267"/>
      <c r="W68" s="267"/>
      <c r="X68" s="267"/>
      <c r="Y68" s="267"/>
      <c r="Z68" s="267"/>
      <c r="AA68" s="267"/>
      <c r="AB68" s="267"/>
      <c r="AC68" s="267"/>
      <c r="AD68" s="268"/>
      <c r="AE68" s="31"/>
    </row>
    <row r="69" spans="2:31" ht="15.75" customHeight="1" x14ac:dyDescent="0.25">
      <c r="B69" s="81"/>
      <c r="C69" s="75" t="s">
        <v>37</v>
      </c>
      <c r="D69" s="260"/>
      <c r="E69" s="257"/>
      <c r="F69" s="200"/>
      <c r="G69" s="201"/>
      <c r="H69" s="201"/>
      <c r="I69" s="201"/>
      <c r="J69" s="201"/>
      <c r="K69" s="201"/>
      <c r="L69" s="201"/>
      <c r="M69" s="201"/>
      <c r="N69" s="201"/>
      <c r="O69" s="202"/>
      <c r="P69" s="156"/>
      <c r="Q69" s="260"/>
      <c r="R69" s="103">
        <v>0</v>
      </c>
      <c r="S69" s="260"/>
      <c r="T69" s="168"/>
      <c r="U69" s="266"/>
      <c r="V69" s="267"/>
      <c r="W69" s="267"/>
      <c r="X69" s="267"/>
      <c r="Y69" s="267"/>
      <c r="Z69" s="267"/>
      <c r="AA69" s="267"/>
      <c r="AB69" s="267"/>
      <c r="AC69" s="267"/>
      <c r="AD69" s="268"/>
      <c r="AE69" s="31"/>
    </row>
    <row r="70" spans="2:31" ht="15.75" customHeight="1" x14ac:dyDescent="0.25">
      <c r="B70" s="81"/>
      <c r="C70" s="75" t="s">
        <v>103</v>
      </c>
      <c r="D70" s="261"/>
      <c r="E70" s="258"/>
      <c r="F70" s="200"/>
      <c r="G70" s="201"/>
      <c r="H70" s="201"/>
      <c r="I70" s="201"/>
      <c r="J70" s="201"/>
      <c r="K70" s="201"/>
      <c r="L70" s="201"/>
      <c r="M70" s="201"/>
      <c r="N70" s="201"/>
      <c r="O70" s="202"/>
      <c r="P70" s="156"/>
      <c r="Q70" s="261"/>
      <c r="R70" s="132">
        <f>SUM(R64:R69)</f>
        <v>55</v>
      </c>
      <c r="S70" s="261"/>
      <c r="T70" s="168"/>
      <c r="U70" s="269"/>
      <c r="V70" s="270"/>
      <c r="W70" s="270"/>
      <c r="X70" s="270"/>
      <c r="Y70" s="270"/>
      <c r="Z70" s="270"/>
      <c r="AA70" s="270"/>
      <c r="AB70" s="270"/>
      <c r="AC70" s="270"/>
      <c r="AD70" s="271"/>
      <c r="AE70" s="31"/>
    </row>
    <row r="71" spans="2:31" ht="15.75" customHeight="1" x14ac:dyDescent="0.25">
      <c r="B71" s="81"/>
      <c r="C71" s="53" t="s">
        <v>92</v>
      </c>
      <c r="D71" s="82"/>
      <c r="E71" s="53"/>
      <c r="F71" s="205"/>
      <c r="G71" s="178"/>
      <c r="H71" s="178"/>
      <c r="I71" s="178"/>
      <c r="J71" s="178"/>
      <c r="K71" s="178"/>
      <c r="L71" s="178"/>
      <c r="M71" s="178"/>
      <c r="N71" s="178"/>
      <c r="O71" s="179"/>
      <c r="P71" s="32"/>
      <c r="Q71" s="255"/>
      <c r="R71" s="255"/>
      <c r="S71" s="255"/>
      <c r="T71" s="255"/>
      <c r="U71" s="255"/>
      <c r="V71" s="255"/>
      <c r="W71" s="255"/>
      <c r="X71" s="255"/>
      <c r="Y71" s="255"/>
      <c r="Z71" s="255"/>
      <c r="AA71" s="255"/>
      <c r="AB71" s="255"/>
      <c r="AC71" s="255"/>
      <c r="AD71" s="255"/>
      <c r="AE71" s="31"/>
    </row>
    <row r="72" spans="2:31" ht="15.75" customHeight="1" x14ac:dyDescent="0.25">
      <c r="B72" s="81"/>
      <c r="C72" s="75" t="s">
        <v>111</v>
      </c>
      <c r="D72" s="132">
        <f>'Overview IB'!D87</f>
        <v>0</v>
      </c>
      <c r="E72" s="132">
        <f>'Overview IB'!E87</f>
        <v>0</v>
      </c>
      <c r="F72" s="205"/>
      <c r="G72" s="178"/>
      <c r="H72" s="178"/>
      <c r="I72" s="178"/>
      <c r="J72" s="178"/>
      <c r="K72" s="178"/>
      <c r="L72" s="178"/>
      <c r="M72" s="178"/>
      <c r="N72" s="178"/>
      <c r="O72" s="179"/>
      <c r="P72" s="156"/>
      <c r="Q72" s="259"/>
      <c r="R72" s="103">
        <v>0</v>
      </c>
      <c r="S72" s="157">
        <f>IF(R72="",0,IF(D72=0,0,IF(E72=0,IF(R72=0,Q72/D72,R72/D72),IF(R72=0,Q72/E72,R72/E72))))</f>
        <v>0</v>
      </c>
      <c r="T72" s="168"/>
      <c r="U72" s="263" t="s">
        <v>151</v>
      </c>
      <c r="V72" s="264"/>
      <c r="W72" s="264"/>
      <c r="X72" s="264"/>
      <c r="Y72" s="264"/>
      <c r="Z72" s="264"/>
      <c r="AA72" s="264"/>
      <c r="AB72" s="264"/>
      <c r="AC72" s="264"/>
      <c r="AD72" s="265"/>
      <c r="AE72" s="31"/>
    </row>
    <row r="73" spans="2:31" ht="15.75" customHeight="1" x14ac:dyDescent="0.25">
      <c r="B73" s="81"/>
      <c r="C73" s="75" t="s">
        <v>112</v>
      </c>
      <c r="D73" s="132">
        <f>'Overview IB'!D88</f>
        <v>0</v>
      </c>
      <c r="E73" s="132">
        <f>'Overview IB'!E88</f>
        <v>0</v>
      </c>
      <c r="F73" s="205"/>
      <c r="G73" s="178"/>
      <c r="H73" s="178"/>
      <c r="I73" s="178"/>
      <c r="J73" s="178"/>
      <c r="K73" s="178"/>
      <c r="L73" s="178"/>
      <c r="M73" s="178"/>
      <c r="N73" s="178"/>
      <c r="O73" s="179"/>
      <c r="P73" s="156"/>
      <c r="Q73" s="260"/>
      <c r="R73" s="103">
        <v>0</v>
      </c>
      <c r="S73" s="157">
        <f t="shared" ref="S73:S78" si="4">IF(R73="",0,IF(D73=0,0,IF(E73=0,IF(R73=0,Q73/D73,R73/D73),IF(R73=0,Q73/E73,R73/E73))))</f>
        <v>0</v>
      </c>
      <c r="T73" s="168"/>
      <c r="U73" s="266"/>
      <c r="V73" s="267"/>
      <c r="W73" s="267"/>
      <c r="X73" s="267"/>
      <c r="Y73" s="267"/>
      <c r="Z73" s="267"/>
      <c r="AA73" s="267"/>
      <c r="AB73" s="267"/>
      <c r="AC73" s="267"/>
      <c r="AD73" s="268"/>
      <c r="AE73" s="31"/>
    </row>
    <row r="74" spans="2:31" ht="15.75" customHeight="1" x14ac:dyDescent="0.25">
      <c r="B74" s="81"/>
      <c r="C74" s="75" t="s">
        <v>113</v>
      </c>
      <c r="D74" s="132">
        <f>'Overview IB'!D89</f>
        <v>0</v>
      </c>
      <c r="E74" s="132">
        <f>'Overview IB'!E89</f>
        <v>0</v>
      </c>
      <c r="F74" s="205"/>
      <c r="G74" s="178"/>
      <c r="H74" s="178"/>
      <c r="I74" s="178"/>
      <c r="J74" s="178"/>
      <c r="K74" s="178"/>
      <c r="L74" s="178"/>
      <c r="M74" s="178"/>
      <c r="N74" s="178"/>
      <c r="O74" s="179"/>
      <c r="P74" s="156"/>
      <c r="Q74" s="260"/>
      <c r="R74" s="103">
        <v>0</v>
      </c>
      <c r="S74" s="157">
        <f t="shared" si="4"/>
        <v>0</v>
      </c>
      <c r="T74" s="168"/>
      <c r="U74" s="266"/>
      <c r="V74" s="267"/>
      <c r="W74" s="267"/>
      <c r="X74" s="267"/>
      <c r="Y74" s="267"/>
      <c r="Z74" s="267"/>
      <c r="AA74" s="267"/>
      <c r="AB74" s="267"/>
      <c r="AC74" s="267"/>
      <c r="AD74" s="268"/>
      <c r="AE74" s="31"/>
    </row>
    <row r="75" spans="2:31" ht="15.75" customHeight="1" x14ac:dyDescent="0.25">
      <c r="B75" s="81"/>
      <c r="C75" s="75" t="s">
        <v>114</v>
      </c>
      <c r="D75" s="132">
        <f>'Overview IB'!D90</f>
        <v>0</v>
      </c>
      <c r="E75" s="132">
        <f>'Overview IB'!E90</f>
        <v>0</v>
      </c>
      <c r="F75" s="205"/>
      <c r="G75" s="178"/>
      <c r="H75" s="178"/>
      <c r="I75" s="178"/>
      <c r="J75" s="178"/>
      <c r="K75" s="178"/>
      <c r="L75" s="178"/>
      <c r="M75" s="178"/>
      <c r="N75" s="178"/>
      <c r="O75" s="179"/>
      <c r="P75" s="156"/>
      <c r="Q75" s="260"/>
      <c r="R75" s="103">
        <v>6</v>
      </c>
      <c r="S75" s="157">
        <f t="shared" si="4"/>
        <v>0</v>
      </c>
      <c r="T75" s="168"/>
      <c r="U75" s="266"/>
      <c r="V75" s="267"/>
      <c r="W75" s="267"/>
      <c r="X75" s="267"/>
      <c r="Y75" s="267"/>
      <c r="Z75" s="267"/>
      <c r="AA75" s="267"/>
      <c r="AB75" s="267"/>
      <c r="AC75" s="267"/>
      <c r="AD75" s="268"/>
      <c r="AE75" s="31"/>
    </row>
    <row r="76" spans="2:31" ht="15.75" customHeight="1" x14ac:dyDescent="0.25">
      <c r="B76" s="81"/>
      <c r="C76" s="75" t="s">
        <v>115</v>
      </c>
      <c r="D76" s="132">
        <f>'Overview IB'!D91</f>
        <v>0</v>
      </c>
      <c r="E76" s="132">
        <f>'Overview IB'!E91</f>
        <v>0</v>
      </c>
      <c r="F76" s="205"/>
      <c r="G76" s="178"/>
      <c r="H76" s="178"/>
      <c r="I76" s="178"/>
      <c r="J76" s="178"/>
      <c r="K76" s="178"/>
      <c r="L76" s="178"/>
      <c r="M76" s="178"/>
      <c r="N76" s="178"/>
      <c r="O76" s="179"/>
      <c r="P76" s="156"/>
      <c r="Q76" s="260"/>
      <c r="R76" s="103">
        <v>29</v>
      </c>
      <c r="S76" s="157">
        <f t="shared" si="4"/>
        <v>0</v>
      </c>
      <c r="T76" s="168"/>
      <c r="U76" s="266"/>
      <c r="V76" s="267"/>
      <c r="W76" s="267"/>
      <c r="X76" s="267"/>
      <c r="Y76" s="267"/>
      <c r="Z76" s="267"/>
      <c r="AA76" s="267"/>
      <c r="AB76" s="267"/>
      <c r="AC76" s="267"/>
      <c r="AD76" s="268"/>
      <c r="AE76" s="31"/>
    </row>
    <row r="77" spans="2:31" ht="15.75" customHeight="1" x14ac:dyDescent="0.25">
      <c r="B77" s="81"/>
      <c r="C77" s="75" t="s">
        <v>82</v>
      </c>
      <c r="D77" s="132">
        <f>'Overview IB'!D92</f>
        <v>0</v>
      </c>
      <c r="E77" s="132">
        <f>'Overview IB'!E92</f>
        <v>0</v>
      </c>
      <c r="F77" s="205"/>
      <c r="G77" s="178"/>
      <c r="H77" s="178"/>
      <c r="I77" s="178"/>
      <c r="J77" s="178"/>
      <c r="K77" s="178"/>
      <c r="L77" s="178"/>
      <c r="M77" s="178"/>
      <c r="N77" s="178"/>
      <c r="O77" s="179"/>
      <c r="P77" s="156"/>
      <c r="Q77" s="260"/>
      <c r="R77" s="103">
        <v>20</v>
      </c>
      <c r="S77" s="157">
        <f t="shared" si="4"/>
        <v>0</v>
      </c>
      <c r="T77" s="168"/>
      <c r="U77" s="266"/>
      <c r="V77" s="267"/>
      <c r="W77" s="267"/>
      <c r="X77" s="267"/>
      <c r="Y77" s="267"/>
      <c r="Z77" s="267"/>
      <c r="AA77" s="267"/>
      <c r="AB77" s="267"/>
      <c r="AC77" s="267"/>
      <c r="AD77" s="268"/>
      <c r="AE77" s="31"/>
    </row>
    <row r="78" spans="2:31" ht="15.75" customHeight="1" x14ac:dyDescent="0.25">
      <c r="B78" s="81"/>
      <c r="C78" s="75" t="s">
        <v>103</v>
      </c>
      <c r="D78" s="132">
        <f>'Overview IB'!D93</f>
        <v>0</v>
      </c>
      <c r="E78" s="132">
        <f>'Overview IB'!E93</f>
        <v>0</v>
      </c>
      <c r="F78" s="205"/>
      <c r="G78" s="178"/>
      <c r="H78" s="178"/>
      <c r="I78" s="178"/>
      <c r="J78" s="178"/>
      <c r="K78" s="178"/>
      <c r="L78" s="178"/>
      <c r="M78" s="178"/>
      <c r="N78" s="178"/>
      <c r="O78" s="179"/>
      <c r="P78" s="156"/>
      <c r="Q78" s="261"/>
      <c r="R78" s="132">
        <f>SUM(R72:R77)</f>
        <v>55</v>
      </c>
      <c r="S78" s="157">
        <f t="shared" si="4"/>
        <v>0</v>
      </c>
      <c r="T78" s="168"/>
      <c r="U78" s="269"/>
      <c r="V78" s="270"/>
      <c r="W78" s="270"/>
      <c r="X78" s="270"/>
      <c r="Y78" s="270"/>
      <c r="Z78" s="270"/>
      <c r="AA78" s="270"/>
      <c r="AB78" s="270"/>
      <c r="AC78" s="270"/>
      <c r="AD78" s="271"/>
      <c r="AE78" s="31"/>
    </row>
    <row r="79" spans="2:31" ht="15.75" customHeight="1" x14ac:dyDescent="0.25">
      <c r="B79" s="81"/>
      <c r="C79" s="53" t="s">
        <v>93</v>
      </c>
      <c r="D79" s="82"/>
      <c r="E79" s="53"/>
      <c r="F79" s="205"/>
      <c r="G79" s="178"/>
      <c r="H79" s="178"/>
      <c r="I79" s="178"/>
      <c r="J79" s="178"/>
      <c r="K79" s="178"/>
      <c r="L79" s="178"/>
      <c r="M79" s="178"/>
      <c r="N79" s="178"/>
      <c r="O79" s="179"/>
      <c r="P79" s="32"/>
      <c r="Q79" s="255"/>
      <c r="R79" s="255"/>
      <c r="S79" s="255"/>
      <c r="T79" s="255"/>
      <c r="U79" s="255"/>
      <c r="V79" s="255"/>
      <c r="W79" s="255"/>
      <c r="X79" s="255"/>
      <c r="Y79" s="255"/>
      <c r="Z79" s="255"/>
      <c r="AA79" s="255"/>
      <c r="AB79" s="255"/>
      <c r="AC79" s="255"/>
      <c r="AD79" s="255"/>
      <c r="AE79" s="31"/>
    </row>
    <row r="80" spans="2:31" ht="15.75" customHeight="1" x14ac:dyDescent="0.25">
      <c r="B80" s="81"/>
      <c r="C80" s="75" t="s">
        <v>32</v>
      </c>
      <c r="D80" s="132">
        <f>'Overview IB'!D95</f>
        <v>0</v>
      </c>
      <c r="E80" s="132">
        <f>'Overview IB'!E95</f>
        <v>0</v>
      </c>
      <c r="F80" s="205"/>
      <c r="G80" s="178"/>
      <c r="H80" s="178"/>
      <c r="I80" s="178"/>
      <c r="J80" s="178"/>
      <c r="K80" s="178"/>
      <c r="L80" s="178"/>
      <c r="M80" s="178"/>
      <c r="N80" s="178"/>
      <c r="O80" s="179"/>
      <c r="P80" s="156"/>
      <c r="Q80" s="259"/>
      <c r="R80" s="103">
        <v>32</v>
      </c>
      <c r="S80" s="157">
        <f t="shared" ref="S80:S88" si="5">IF(R80="",0,IF(D80=0,0,IF(E80=0,IF(R80=0,Q80/D80,R80/D80),IF(R80=0,Q80/E80,R80/E80))))</f>
        <v>0</v>
      </c>
      <c r="T80" s="168"/>
      <c r="U80" s="263" t="s">
        <v>151</v>
      </c>
      <c r="V80" s="264"/>
      <c r="W80" s="264"/>
      <c r="X80" s="264"/>
      <c r="Y80" s="264"/>
      <c r="Z80" s="264"/>
      <c r="AA80" s="264"/>
      <c r="AB80" s="264"/>
      <c r="AC80" s="264"/>
      <c r="AD80" s="265"/>
      <c r="AE80" s="31"/>
    </row>
    <row r="81" spans="2:35" ht="15.75" customHeight="1" x14ac:dyDescent="0.25">
      <c r="B81" s="81"/>
      <c r="C81" s="75" t="s">
        <v>33</v>
      </c>
      <c r="D81" s="132">
        <f>'Overview IB'!D96</f>
        <v>0</v>
      </c>
      <c r="E81" s="132">
        <f>'Overview IB'!E96</f>
        <v>0</v>
      </c>
      <c r="F81" s="205"/>
      <c r="G81" s="178"/>
      <c r="H81" s="178"/>
      <c r="I81" s="178"/>
      <c r="J81" s="178"/>
      <c r="K81" s="178"/>
      <c r="L81" s="178"/>
      <c r="M81" s="178"/>
      <c r="N81" s="178"/>
      <c r="O81" s="179"/>
      <c r="P81" s="156"/>
      <c r="Q81" s="260"/>
      <c r="R81" s="103">
        <v>23</v>
      </c>
      <c r="S81" s="157">
        <f t="shared" si="5"/>
        <v>0</v>
      </c>
      <c r="T81" s="168"/>
      <c r="U81" s="266"/>
      <c r="V81" s="267"/>
      <c r="W81" s="267"/>
      <c r="X81" s="267"/>
      <c r="Y81" s="267"/>
      <c r="Z81" s="267"/>
      <c r="AA81" s="267"/>
      <c r="AB81" s="267"/>
      <c r="AC81" s="267"/>
      <c r="AD81" s="268"/>
      <c r="AE81" s="31"/>
    </row>
    <row r="82" spans="2:35" ht="15.75" customHeight="1" x14ac:dyDescent="0.25">
      <c r="B82" s="81"/>
      <c r="C82" s="75" t="s">
        <v>83</v>
      </c>
      <c r="D82" s="132">
        <f>'Overview IB'!D97</f>
        <v>0</v>
      </c>
      <c r="E82" s="132">
        <f>'Overview IB'!E97</f>
        <v>0</v>
      </c>
      <c r="F82" s="205"/>
      <c r="G82" s="178"/>
      <c r="H82" s="178"/>
      <c r="I82" s="178"/>
      <c r="J82" s="178"/>
      <c r="K82" s="178"/>
      <c r="L82" s="178"/>
      <c r="M82" s="178"/>
      <c r="N82" s="178"/>
      <c r="O82" s="179"/>
      <c r="P82" s="156"/>
      <c r="Q82" s="260"/>
      <c r="R82" s="103">
        <v>0</v>
      </c>
      <c r="S82" s="157">
        <f t="shared" si="5"/>
        <v>0</v>
      </c>
      <c r="T82" s="168"/>
      <c r="U82" s="266"/>
      <c r="V82" s="267"/>
      <c r="W82" s="267"/>
      <c r="X82" s="267"/>
      <c r="Y82" s="267"/>
      <c r="Z82" s="267"/>
      <c r="AA82" s="267"/>
      <c r="AB82" s="267"/>
      <c r="AC82" s="267"/>
      <c r="AD82" s="268"/>
      <c r="AE82" s="31"/>
    </row>
    <row r="83" spans="2:35" ht="15.75" customHeight="1" x14ac:dyDescent="0.25">
      <c r="B83" s="81"/>
      <c r="C83" s="75" t="s">
        <v>116</v>
      </c>
      <c r="D83" s="132">
        <f>'Overview IB'!D98</f>
        <v>0</v>
      </c>
      <c r="E83" s="132">
        <f>'Overview IB'!E98</f>
        <v>0</v>
      </c>
      <c r="F83" s="205"/>
      <c r="G83" s="178"/>
      <c r="H83" s="178"/>
      <c r="I83" s="178"/>
      <c r="J83" s="178"/>
      <c r="K83" s="178"/>
      <c r="L83" s="178"/>
      <c r="M83" s="178"/>
      <c r="N83" s="178"/>
      <c r="O83" s="179"/>
      <c r="P83" s="156"/>
      <c r="Q83" s="260"/>
      <c r="R83" s="103">
        <v>0</v>
      </c>
      <c r="S83" s="157">
        <f t="shared" si="5"/>
        <v>0</v>
      </c>
      <c r="T83" s="168"/>
      <c r="U83" s="266"/>
      <c r="V83" s="267"/>
      <c r="W83" s="267"/>
      <c r="X83" s="267"/>
      <c r="Y83" s="267"/>
      <c r="Z83" s="267"/>
      <c r="AA83" s="267"/>
      <c r="AB83" s="267"/>
      <c r="AC83" s="267"/>
      <c r="AD83" s="268"/>
      <c r="AE83" s="31"/>
    </row>
    <row r="84" spans="2:35" ht="15.75" customHeight="1" x14ac:dyDescent="0.25">
      <c r="B84" s="81"/>
      <c r="C84" s="75" t="s">
        <v>84</v>
      </c>
      <c r="D84" s="132">
        <f>'Overview IB'!D99</f>
        <v>0</v>
      </c>
      <c r="E84" s="132">
        <f>'Overview IB'!E99</f>
        <v>0</v>
      </c>
      <c r="F84" s="205"/>
      <c r="G84" s="178"/>
      <c r="H84" s="178"/>
      <c r="I84" s="178"/>
      <c r="J84" s="178"/>
      <c r="K84" s="178"/>
      <c r="L84" s="178"/>
      <c r="M84" s="178"/>
      <c r="N84" s="178"/>
      <c r="O84" s="179"/>
      <c r="P84" s="156"/>
      <c r="Q84" s="260"/>
      <c r="R84" s="103">
        <v>0</v>
      </c>
      <c r="S84" s="157">
        <f t="shared" si="5"/>
        <v>0</v>
      </c>
      <c r="T84" s="168"/>
      <c r="U84" s="266"/>
      <c r="V84" s="267"/>
      <c r="W84" s="267"/>
      <c r="X84" s="267"/>
      <c r="Y84" s="267"/>
      <c r="Z84" s="267"/>
      <c r="AA84" s="267"/>
      <c r="AB84" s="267"/>
      <c r="AC84" s="267"/>
      <c r="AD84" s="268"/>
      <c r="AE84" s="31"/>
    </row>
    <row r="85" spans="2:35" ht="15.75" customHeight="1" x14ac:dyDescent="0.25">
      <c r="B85" s="81"/>
      <c r="C85" s="75" t="s">
        <v>85</v>
      </c>
      <c r="D85" s="132">
        <f>'Overview IB'!D100</f>
        <v>0</v>
      </c>
      <c r="E85" s="132">
        <f>'Overview IB'!E100</f>
        <v>0</v>
      </c>
      <c r="F85" s="205"/>
      <c r="G85" s="178"/>
      <c r="H85" s="178"/>
      <c r="I85" s="178"/>
      <c r="J85" s="178"/>
      <c r="K85" s="178"/>
      <c r="L85" s="178"/>
      <c r="M85" s="178"/>
      <c r="N85" s="178"/>
      <c r="O85" s="179"/>
      <c r="P85" s="156"/>
      <c r="Q85" s="260"/>
      <c r="R85" s="103">
        <v>0</v>
      </c>
      <c r="S85" s="157">
        <f t="shared" si="5"/>
        <v>0</v>
      </c>
      <c r="T85" s="168"/>
      <c r="U85" s="266"/>
      <c r="V85" s="267"/>
      <c r="W85" s="267"/>
      <c r="X85" s="267"/>
      <c r="Y85" s="267"/>
      <c r="Z85" s="267"/>
      <c r="AA85" s="267"/>
      <c r="AB85" s="267"/>
      <c r="AC85" s="267"/>
      <c r="AD85" s="268"/>
      <c r="AE85" s="31"/>
    </row>
    <row r="86" spans="2:35" ht="18.75" customHeight="1" x14ac:dyDescent="0.25">
      <c r="B86" s="81"/>
      <c r="C86" s="75" t="s">
        <v>86</v>
      </c>
      <c r="D86" s="132">
        <f>'Overview IB'!D101</f>
        <v>0</v>
      </c>
      <c r="E86" s="132">
        <f>'Overview IB'!E101</f>
        <v>0</v>
      </c>
      <c r="F86" s="205"/>
      <c r="G86" s="178"/>
      <c r="H86" s="178"/>
      <c r="I86" s="178"/>
      <c r="J86" s="178"/>
      <c r="K86" s="178"/>
      <c r="L86" s="178"/>
      <c r="M86" s="178"/>
      <c r="N86" s="178"/>
      <c r="O86" s="179"/>
      <c r="P86" s="156"/>
      <c r="Q86" s="260"/>
      <c r="R86" s="103">
        <v>0</v>
      </c>
      <c r="S86" s="157">
        <f t="shared" si="5"/>
        <v>0</v>
      </c>
      <c r="T86" s="168"/>
      <c r="U86" s="266"/>
      <c r="V86" s="267"/>
      <c r="W86" s="267"/>
      <c r="X86" s="267"/>
      <c r="Y86" s="267"/>
      <c r="Z86" s="267"/>
      <c r="AA86" s="267"/>
      <c r="AB86" s="267"/>
      <c r="AC86" s="267"/>
      <c r="AD86" s="268"/>
      <c r="AE86" s="31"/>
    </row>
    <row r="87" spans="2:35" ht="18.75" customHeight="1" x14ac:dyDescent="0.25">
      <c r="B87" s="81"/>
      <c r="C87" s="75" t="s">
        <v>103</v>
      </c>
      <c r="D87" s="132">
        <f>'Overview IB'!D102</f>
        <v>0</v>
      </c>
      <c r="E87" s="132">
        <f>'Overview IB'!E102</f>
        <v>0</v>
      </c>
      <c r="F87" s="205"/>
      <c r="G87" s="178"/>
      <c r="H87" s="178"/>
      <c r="I87" s="178"/>
      <c r="J87" s="178"/>
      <c r="K87" s="178"/>
      <c r="L87" s="178"/>
      <c r="M87" s="178"/>
      <c r="N87" s="178"/>
      <c r="O87" s="179"/>
      <c r="P87" s="156"/>
      <c r="Q87" s="261"/>
      <c r="R87" s="132">
        <f>SUM(R80:R86)</f>
        <v>55</v>
      </c>
      <c r="S87" s="157">
        <f t="shared" si="5"/>
        <v>0</v>
      </c>
      <c r="T87" s="168"/>
      <c r="U87" s="269"/>
      <c r="V87" s="270"/>
      <c r="W87" s="270"/>
      <c r="X87" s="270"/>
      <c r="Y87" s="270"/>
      <c r="Z87" s="270"/>
      <c r="AA87" s="270"/>
      <c r="AB87" s="270"/>
      <c r="AC87" s="270"/>
      <c r="AD87" s="271"/>
      <c r="AE87" s="31"/>
    </row>
    <row r="88" spans="2:35" ht="15.75" customHeight="1" x14ac:dyDescent="0.25">
      <c r="B88" s="81"/>
      <c r="C88" s="53" t="s">
        <v>31</v>
      </c>
      <c r="D88" s="64">
        <f>'Overview IB'!D103</f>
        <v>0</v>
      </c>
      <c r="E88" s="64">
        <f>'Overview IB'!E103</f>
        <v>0</v>
      </c>
      <c r="F88" s="132">
        <f>'Overview IB'!I103</f>
        <v>0</v>
      </c>
      <c r="G88" s="132">
        <f>'Overview IB'!J103</f>
        <v>0</v>
      </c>
      <c r="H88" s="132">
        <f>'Overview IB'!K103</f>
        <v>0</v>
      </c>
      <c r="I88" s="132">
        <f>'Overview IB'!L103</f>
        <v>0</v>
      </c>
      <c r="J88" s="132">
        <f>'Overview IB'!M103</f>
        <v>0</v>
      </c>
      <c r="K88" s="132">
        <f>'Overview IB'!N103</f>
        <v>0</v>
      </c>
      <c r="L88" s="132">
        <f>'Overview IB'!O103</f>
        <v>0</v>
      </c>
      <c r="M88" s="132">
        <f>'Overview IB'!P103</f>
        <v>0</v>
      </c>
      <c r="N88" s="132">
        <f>'Overview IB'!Q103</f>
        <v>0</v>
      </c>
      <c r="O88" s="132">
        <f>'Overview IB'!R103</f>
        <v>0</v>
      </c>
      <c r="P88" s="32"/>
      <c r="Q88" s="64">
        <f t="shared" ref="Q88:Q98" si="6">SUM(U88:AD88)</f>
        <v>0</v>
      </c>
      <c r="R88" s="103">
        <v>43</v>
      </c>
      <c r="S88" s="157">
        <f t="shared" si="5"/>
        <v>0</v>
      </c>
      <c r="T88" s="168"/>
      <c r="U88" s="134"/>
      <c r="V88" s="134"/>
      <c r="W88" s="134"/>
      <c r="X88" s="134"/>
      <c r="Y88" s="134"/>
      <c r="Z88" s="134"/>
      <c r="AA88" s="134"/>
      <c r="AB88" s="134"/>
      <c r="AC88" s="134"/>
      <c r="AD88" s="134"/>
      <c r="AE88" s="31"/>
    </row>
    <row r="89" spans="2:35" ht="15.75" customHeight="1" x14ac:dyDescent="0.25">
      <c r="B89" s="253"/>
      <c r="C89" s="254"/>
      <c r="D89" s="105"/>
      <c r="E89" s="158"/>
      <c r="F89" s="106"/>
      <c r="G89" s="106"/>
      <c r="H89" s="106"/>
      <c r="I89" s="106"/>
      <c r="J89" s="106"/>
      <c r="K89" s="106"/>
      <c r="L89" s="106"/>
      <c r="M89" s="106"/>
      <c r="N89" s="106"/>
      <c r="O89" s="106"/>
      <c r="P89" s="91"/>
      <c r="Q89" s="107"/>
      <c r="R89" s="107"/>
      <c r="S89" s="108"/>
      <c r="T89" s="121"/>
      <c r="U89" s="106"/>
      <c r="V89" s="106"/>
      <c r="W89" s="106"/>
      <c r="X89" s="106"/>
      <c r="Y89" s="106"/>
      <c r="Z89" s="106"/>
      <c r="AA89" s="106"/>
      <c r="AB89" s="106"/>
      <c r="AC89" s="106"/>
      <c r="AD89" s="106"/>
      <c r="AE89" s="31"/>
    </row>
    <row r="90" spans="2:35" ht="45" x14ac:dyDescent="0.25">
      <c r="B90" s="81"/>
      <c r="C90" s="154" t="s">
        <v>38</v>
      </c>
      <c r="D90" s="152" t="s">
        <v>72</v>
      </c>
      <c r="E90" s="152" t="s">
        <v>125</v>
      </c>
      <c r="F90" s="86" t="s">
        <v>129</v>
      </c>
      <c r="G90" s="86" t="s">
        <v>130</v>
      </c>
      <c r="H90" s="86" t="s">
        <v>131</v>
      </c>
      <c r="I90" s="86" t="s">
        <v>132</v>
      </c>
      <c r="J90" s="86" t="s">
        <v>133</v>
      </c>
      <c r="K90" s="86" t="s">
        <v>134</v>
      </c>
      <c r="L90" s="86" t="s">
        <v>135</v>
      </c>
      <c r="M90" s="86" t="s">
        <v>136</v>
      </c>
      <c r="N90" s="86" t="s">
        <v>137</v>
      </c>
      <c r="O90" s="86" t="s">
        <v>138</v>
      </c>
      <c r="P90" s="32"/>
      <c r="Q90" s="85" t="s">
        <v>29</v>
      </c>
      <c r="R90" s="85" t="s">
        <v>124</v>
      </c>
      <c r="S90" s="76" t="s">
        <v>8</v>
      </c>
      <c r="T90" s="8" t="s">
        <v>61</v>
      </c>
      <c r="U90" s="86" t="s">
        <v>129</v>
      </c>
      <c r="V90" s="86" t="s">
        <v>130</v>
      </c>
      <c r="W90" s="86" t="s">
        <v>131</v>
      </c>
      <c r="X90" s="86" t="s">
        <v>132</v>
      </c>
      <c r="Y90" s="86" t="s">
        <v>133</v>
      </c>
      <c r="Z90" s="86" t="s">
        <v>134</v>
      </c>
      <c r="AA90" s="86" t="s">
        <v>135</v>
      </c>
      <c r="AB90" s="86" t="s">
        <v>136</v>
      </c>
      <c r="AC90" s="86" t="s">
        <v>137</v>
      </c>
      <c r="AD90" s="86" t="s">
        <v>138</v>
      </c>
      <c r="AE90" s="31"/>
    </row>
    <row r="91" spans="2:35" ht="36.75" customHeight="1" x14ac:dyDescent="0.25">
      <c r="B91" s="81"/>
      <c r="C91" s="53" t="s">
        <v>148</v>
      </c>
      <c r="D91" s="64">
        <f>'Overview IB'!D106</f>
        <v>0</v>
      </c>
      <c r="E91" s="64">
        <f>'Overview IB'!E106</f>
        <v>0</v>
      </c>
      <c r="F91" s="132">
        <f>'Overview IB'!I106</f>
        <v>0</v>
      </c>
      <c r="G91" s="132">
        <f>'Overview IB'!J106</f>
        <v>0</v>
      </c>
      <c r="H91" s="132">
        <f>'Overview IB'!K106</f>
        <v>0</v>
      </c>
      <c r="I91" s="132">
        <f>'Overview IB'!L106</f>
        <v>0</v>
      </c>
      <c r="J91" s="132">
        <f>'Overview IB'!M106</f>
        <v>0</v>
      </c>
      <c r="K91" s="132">
        <f>'Overview IB'!N106</f>
        <v>0</v>
      </c>
      <c r="L91" s="132">
        <f>'Overview IB'!O106</f>
        <v>0</v>
      </c>
      <c r="M91" s="132">
        <f>'Overview IB'!P106</f>
        <v>0</v>
      </c>
      <c r="N91" s="132">
        <f>'Overview IB'!Q106</f>
        <v>0</v>
      </c>
      <c r="O91" s="132">
        <f>'Overview IB'!R106</f>
        <v>0</v>
      </c>
      <c r="P91" s="32"/>
      <c r="Q91" s="64">
        <f t="shared" si="6"/>
        <v>0</v>
      </c>
      <c r="R91" s="103">
        <v>0</v>
      </c>
      <c r="S91" s="157">
        <f t="shared" ref="S91:S98" si="7">IF(D91=0,0,IF(E91=0,IF(R91=0,Q91/D91,R91/D91),IF(R91=0,Q91/E91,R91/E91)))</f>
        <v>0</v>
      </c>
      <c r="T91" s="175" t="s">
        <v>159</v>
      </c>
      <c r="U91" s="134"/>
      <c r="V91" s="134"/>
      <c r="W91" s="134"/>
      <c r="X91" s="134"/>
      <c r="Y91" s="134"/>
      <c r="Z91" s="134"/>
      <c r="AA91" s="134"/>
      <c r="AB91" s="134"/>
      <c r="AC91" s="134"/>
      <c r="AD91" s="134"/>
      <c r="AE91" s="31"/>
    </row>
    <row r="92" spans="2:35" ht="36.75" customHeight="1" x14ac:dyDescent="0.25">
      <c r="B92" s="81"/>
      <c r="C92" s="53" t="s">
        <v>80</v>
      </c>
      <c r="D92" s="64">
        <f>'Overview IB'!D107</f>
        <v>0</v>
      </c>
      <c r="E92" s="64">
        <f>'Overview IB'!E107</f>
        <v>0</v>
      </c>
      <c r="F92" s="132">
        <f>'Overview IB'!I107</f>
        <v>0</v>
      </c>
      <c r="G92" s="132">
        <f>'Overview IB'!J107</f>
        <v>0</v>
      </c>
      <c r="H92" s="132">
        <f>'Overview IB'!K107</f>
        <v>0</v>
      </c>
      <c r="I92" s="132">
        <f>'Overview IB'!L107</f>
        <v>0</v>
      </c>
      <c r="J92" s="132">
        <f>'Overview IB'!M107</f>
        <v>0</v>
      </c>
      <c r="K92" s="132">
        <f>'Overview IB'!N107</f>
        <v>0</v>
      </c>
      <c r="L92" s="132">
        <f>'Overview IB'!O107</f>
        <v>0</v>
      </c>
      <c r="M92" s="132">
        <f>'Overview IB'!P107</f>
        <v>0</v>
      </c>
      <c r="N92" s="132">
        <f>'Overview IB'!Q107</f>
        <v>0</v>
      </c>
      <c r="O92" s="132">
        <f>'Overview IB'!R107</f>
        <v>0</v>
      </c>
      <c r="P92" s="32"/>
      <c r="Q92" s="64">
        <f t="shared" si="6"/>
        <v>0</v>
      </c>
      <c r="R92" s="103">
        <v>9</v>
      </c>
      <c r="S92" s="157">
        <f t="shared" si="7"/>
        <v>0</v>
      </c>
      <c r="T92" s="175" t="s">
        <v>164</v>
      </c>
      <c r="U92" s="134"/>
      <c r="V92" s="134"/>
      <c r="W92" s="134"/>
      <c r="X92" s="134"/>
      <c r="Y92" s="134"/>
      <c r="Z92" s="134"/>
      <c r="AA92" s="134"/>
      <c r="AB92" s="134"/>
      <c r="AC92" s="134"/>
      <c r="AD92" s="134"/>
      <c r="AE92" s="31"/>
    </row>
    <row r="93" spans="2:35" ht="47.25" customHeight="1" x14ac:dyDescent="0.25">
      <c r="B93" s="81"/>
      <c r="C93" s="53" t="s">
        <v>77</v>
      </c>
      <c r="D93" s="64">
        <f>'Overview IB'!D108</f>
        <v>0</v>
      </c>
      <c r="E93" s="64">
        <f>'Overview IB'!E108</f>
        <v>0</v>
      </c>
      <c r="F93" s="132">
        <f>'Overview IB'!I108</f>
        <v>0</v>
      </c>
      <c r="G93" s="132">
        <f>'Overview IB'!J108</f>
        <v>0</v>
      </c>
      <c r="H93" s="132">
        <f>'Overview IB'!K108</f>
        <v>0</v>
      </c>
      <c r="I93" s="132">
        <f>'Overview IB'!L108</f>
        <v>0</v>
      </c>
      <c r="J93" s="132">
        <f>'Overview IB'!M108</f>
        <v>0</v>
      </c>
      <c r="K93" s="132">
        <f>'Overview IB'!N108</f>
        <v>0</v>
      </c>
      <c r="L93" s="132">
        <f>'Overview IB'!O108</f>
        <v>0</v>
      </c>
      <c r="M93" s="132">
        <f>'Overview IB'!P108</f>
        <v>0</v>
      </c>
      <c r="N93" s="132">
        <f>'Overview IB'!Q108</f>
        <v>0</v>
      </c>
      <c r="O93" s="132">
        <f>'Overview IB'!R108</f>
        <v>0</v>
      </c>
      <c r="P93" s="32"/>
      <c r="Q93" s="64">
        <f t="shared" si="6"/>
        <v>0</v>
      </c>
      <c r="R93" s="103">
        <v>1</v>
      </c>
      <c r="S93" s="157">
        <f t="shared" si="7"/>
        <v>0</v>
      </c>
      <c r="T93" s="175" t="s">
        <v>165</v>
      </c>
      <c r="U93" s="134"/>
      <c r="V93" s="134"/>
      <c r="W93" s="134"/>
      <c r="X93" s="134"/>
      <c r="Y93" s="134"/>
      <c r="Z93" s="134"/>
      <c r="AA93" s="134"/>
      <c r="AB93" s="134"/>
      <c r="AC93" s="134"/>
      <c r="AD93" s="134"/>
      <c r="AE93" s="31"/>
    </row>
    <row r="94" spans="2:35" ht="36.75" customHeight="1" x14ac:dyDescent="0.25">
      <c r="B94" s="81"/>
      <c r="C94" s="53" t="s">
        <v>153</v>
      </c>
      <c r="D94" s="64">
        <f>'Overview IB'!D109</f>
        <v>0</v>
      </c>
      <c r="E94" s="64">
        <f>'Overview IB'!E109</f>
        <v>0</v>
      </c>
      <c r="F94" s="132">
        <f>'Overview IB'!I109</f>
        <v>0</v>
      </c>
      <c r="G94" s="132">
        <f>'Overview IB'!J109</f>
        <v>0</v>
      </c>
      <c r="H94" s="132">
        <f>'Overview IB'!K109</f>
        <v>0</v>
      </c>
      <c r="I94" s="132">
        <f>'Overview IB'!L109</f>
        <v>0</v>
      </c>
      <c r="J94" s="132">
        <f>'Overview IB'!M109</f>
        <v>0</v>
      </c>
      <c r="K94" s="132">
        <f>'Overview IB'!N109</f>
        <v>0</v>
      </c>
      <c r="L94" s="132">
        <f>'Overview IB'!O109</f>
        <v>0</v>
      </c>
      <c r="M94" s="132">
        <f>'Overview IB'!P109</f>
        <v>0</v>
      </c>
      <c r="N94" s="132">
        <f>'Overview IB'!Q109</f>
        <v>0</v>
      </c>
      <c r="O94" s="132">
        <f>'Overview IB'!R109</f>
        <v>0</v>
      </c>
      <c r="P94" s="32"/>
      <c r="Q94" s="64">
        <f t="shared" si="6"/>
        <v>0</v>
      </c>
      <c r="R94" s="103">
        <v>0</v>
      </c>
      <c r="S94" s="157">
        <f t="shared" si="7"/>
        <v>0</v>
      </c>
      <c r="T94" s="175" t="s">
        <v>160</v>
      </c>
      <c r="U94" s="134"/>
      <c r="V94" s="134"/>
      <c r="W94" s="134"/>
      <c r="X94" s="134"/>
      <c r="Y94" s="134"/>
      <c r="Z94" s="134"/>
      <c r="AA94" s="134"/>
      <c r="AB94" s="134"/>
      <c r="AC94" s="134"/>
      <c r="AD94" s="134"/>
      <c r="AE94" s="31"/>
    </row>
    <row r="95" spans="2:35" s="109" customFormat="1" ht="36.75" customHeight="1" x14ac:dyDescent="0.25">
      <c r="B95" s="81"/>
      <c r="C95" s="53" t="s">
        <v>101</v>
      </c>
      <c r="D95" s="64">
        <f>'Overview IB'!D110</f>
        <v>0</v>
      </c>
      <c r="E95" s="64">
        <f>'Overview IB'!E110</f>
        <v>0</v>
      </c>
      <c r="F95" s="132">
        <f>'Overview IB'!I110</f>
        <v>0</v>
      </c>
      <c r="G95" s="132">
        <f>'Overview IB'!J110</f>
        <v>0</v>
      </c>
      <c r="H95" s="132">
        <f>'Overview IB'!K110</f>
        <v>0</v>
      </c>
      <c r="I95" s="132">
        <f>'Overview IB'!L110</f>
        <v>0</v>
      </c>
      <c r="J95" s="132">
        <f>'Overview IB'!M110</f>
        <v>0</v>
      </c>
      <c r="K95" s="132">
        <f>'Overview IB'!N110</f>
        <v>0</v>
      </c>
      <c r="L95" s="132">
        <f>'Overview IB'!O110</f>
        <v>0</v>
      </c>
      <c r="M95" s="132">
        <f>'Overview IB'!P110</f>
        <v>0</v>
      </c>
      <c r="N95" s="132">
        <f>'Overview IB'!Q110</f>
        <v>0</v>
      </c>
      <c r="O95" s="132">
        <f>'Overview IB'!R110</f>
        <v>0</v>
      </c>
      <c r="P95" s="32"/>
      <c r="Q95" s="64">
        <f t="shared" si="6"/>
        <v>0</v>
      </c>
      <c r="R95" s="103">
        <v>1</v>
      </c>
      <c r="S95" s="157">
        <f t="shared" si="7"/>
        <v>0</v>
      </c>
      <c r="T95" s="175" t="s">
        <v>166</v>
      </c>
      <c r="U95" s="134"/>
      <c r="V95" s="134"/>
      <c r="W95" s="134"/>
      <c r="X95" s="134"/>
      <c r="Y95" s="134"/>
      <c r="Z95" s="134"/>
      <c r="AA95" s="134"/>
      <c r="AB95" s="134"/>
      <c r="AC95" s="134"/>
      <c r="AD95" s="134"/>
      <c r="AE95" s="31"/>
      <c r="AF95" s="45"/>
      <c r="AG95" s="45"/>
      <c r="AH95" s="45"/>
      <c r="AI95" s="45"/>
    </row>
    <row r="96" spans="2:35" s="109" customFormat="1" ht="36.75" customHeight="1" x14ac:dyDescent="0.25">
      <c r="B96" s="81"/>
      <c r="C96" s="53" t="s">
        <v>79</v>
      </c>
      <c r="D96" s="64">
        <f>'Overview IB'!D111</f>
        <v>0</v>
      </c>
      <c r="E96" s="64">
        <f>'Overview IB'!E111</f>
        <v>0</v>
      </c>
      <c r="F96" s="132">
        <f>'Overview IB'!I111</f>
        <v>0</v>
      </c>
      <c r="G96" s="132">
        <f>'Overview IB'!J111</f>
        <v>0</v>
      </c>
      <c r="H96" s="132">
        <f>'Overview IB'!K111</f>
        <v>0</v>
      </c>
      <c r="I96" s="132">
        <f>'Overview IB'!L111</f>
        <v>0</v>
      </c>
      <c r="J96" s="132">
        <f>'Overview IB'!M111</f>
        <v>0</v>
      </c>
      <c r="K96" s="132">
        <f>'Overview IB'!N111</f>
        <v>0</v>
      </c>
      <c r="L96" s="132">
        <f>'Overview IB'!O111</f>
        <v>0</v>
      </c>
      <c r="M96" s="132">
        <f>'Overview IB'!P111</f>
        <v>0</v>
      </c>
      <c r="N96" s="132">
        <f>'Overview IB'!Q111</f>
        <v>0</v>
      </c>
      <c r="O96" s="132">
        <f>'Overview IB'!R111</f>
        <v>0</v>
      </c>
      <c r="P96" s="32"/>
      <c r="Q96" s="64">
        <f t="shared" si="6"/>
        <v>0</v>
      </c>
      <c r="R96" s="103">
        <v>4</v>
      </c>
      <c r="S96" s="157">
        <f t="shared" si="7"/>
        <v>0</v>
      </c>
      <c r="T96" s="175" t="s">
        <v>161</v>
      </c>
      <c r="U96" s="134"/>
      <c r="V96" s="134"/>
      <c r="W96" s="134"/>
      <c r="X96" s="134"/>
      <c r="Y96" s="134"/>
      <c r="Z96" s="134"/>
      <c r="AA96" s="134"/>
      <c r="AB96" s="134"/>
      <c r="AC96" s="134"/>
      <c r="AD96" s="134"/>
      <c r="AE96" s="31"/>
      <c r="AF96" s="45"/>
      <c r="AG96" s="45"/>
      <c r="AH96" s="45"/>
      <c r="AI96" s="45"/>
    </row>
    <row r="97" spans="2:35" s="109" customFormat="1" ht="36.75" customHeight="1" x14ac:dyDescent="0.25">
      <c r="B97" s="81"/>
      <c r="C97" s="53" t="s">
        <v>78</v>
      </c>
      <c r="D97" s="64">
        <f>'Overview IB'!D112</f>
        <v>0</v>
      </c>
      <c r="E97" s="64">
        <f>'Overview IB'!E112</f>
        <v>0</v>
      </c>
      <c r="F97" s="132">
        <f>'Overview IB'!I112</f>
        <v>0</v>
      </c>
      <c r="G97" s="132">
        <f>'Overview IB'!J112</f>
        <v>0</v>
      </c>
      <c r="H97" s="132">
        <f>'Overview IB'!K112</f>
        <v>0</v>
      </c>
      <c r="I97" s="132">
        <f>'Overview IB'!L112</f>
        <v>0</v>
      </c>
      <c r="J97" s="132">
        <f>'Overview IB'!M112</f>
        <v>0</v>
      </c>
      <c r="K97" s="132">
        <f>'Overview IB'!N112</f>
        <v>0</v>
      </c>
      <c r="L97" s="132">
        <f>'Overview IB'!O112</f>
        <v>0</v>
      </c>
      <c r="M97" s="132">
        <f>'Overview IB'!P112</f>
        <v>0</v>
      </c>
      <c r="N97" s="132">
        <f>'Overview IB'!Q112</f>
        <v>0</v>
      </c>
      <c r="O97" s="132">
        <f>'Overview IB'!R112</f>
        <v>0</v>
      </c>
      <c r="P97" s="32"/>
      <c r="Q97" s="64">
        <f t="shared" si="6"/>
        <v>0</v>
      </c>
      <c r="R97" s="103">
        <v>5</v>
      </c>
      <c r="S97" s="157">
        <f t="shared" si="7"/>
        <v>0</v>
      </c>
      <c r="T97" s="176" t="s">
        <v>162</v>
      </c>
      <c r="U97" s="134"/>
      <c r="V97" s="134"/>
      <c r="W97" s="134"/>
      <c r="X97" s="134"/>
      <c r="Y97" s="134"/>
      <c r="Z97" s="134"/>
      <c r="AA97" s="134"/>
      <c r="AB97" s="134"/>
      <c r="AC97" s="134"/>
      <c r="AD97" s="134"/>
      <c r="AE97" s="31"/>
      <c r="AF97" s="45"/>
      <c r="AG97" s="45"/>
      <c r="AH97" s="45"/>
      <c r="AI97" s="45"/>
    </row>
    <row r="98" spans="2:35" s="109" customFormat="1" ht="36.75" customHeight="1" x14ac:dyDescent="0.25">
      <c r="B98" s="81"/>
      <c r="C98" s="87" t="str">
        <f>'Overview IB'!C113</f>
        <v xml:space="preserve">Anzahl der Teilnehmenden, die Teilziele auf ihrem Weg zur LAP (gemäß individuellem Bildungsplan) erreicht haben. </v>
      </c>
      <c r="D98" s="64">
        <f>'Overview IB'!D113</f>
        <v>0</v>
      </c>
      <c r="E98" s="64">
        <f>'Overview IB'!E113</f>
        <v>0</v>
      </c>
      <c r="F98" s="132">
        <f>'Overview IB'!I113</f>
        <v>0</v>
      </c>
      <c r="G98" s="132">
        <f>'Overview IB'!J113</f>
        <v>0</v>
      </c>
      <c r="H98" s="132">
        <f>'Overview IB'!K113</f>
        <v>0</v>
      </c>
      <c r="I98" s="132">
        <f>'Overview IB'!L113</f>
        <v>0</v>
      </c>
      <c r="J98" s="132">
        <f>'Overview IB'!M113</f>
        <v>0</v>
      </c>
      <c r="K98" s="132">
        <f>'Overview IB'!N113</f>
        <v>0</v>
      </c>
      <c r="L98" s="132">
        <f>'Overview IB'!O113</f>
        <v>0</v>
      </c>
      <c r="M98" s="132">
        <f>'Overview IB'!P113</f>
        <v>0</v>
      </c>
      <c r="N98" s="132">
        <f>'Overview IB'!Q113</f>
        <v>0</v>
      </c>
      <c r="O98" s="132">
        <f>'Overview IB'!R113</f>
        <v>0</v>
      </c>
      <c r="P98" s="32"/>
      <c r="Q98" s="64">
        <f t="shared" si="6"/>
        <v>0</v>
      </c>
      <c r="R98" s="103">
        <v>26</v>
      </c>
      <c r="S98" s="157">
        <f t="shared" si="7"/>
        <v>0</v>
      </c>
      <c r="T98" s="175" t="s">
        <v>163</v>
      </c>
      <c r="U98" s="134"/>
      <c r="V98" s="134"/>
      <c r="W98" s="134"/>
      <c r="X98" s="134"/>
      <c r="Y98" s="134"/>
      <c r="Z98" s="134"/>
      <c r="AA98" s="134"/>
      <c r="AB98" s="134"/>
      <c r="AC98" s="134"/>
      <c r="AD98" s="134"/>
      <c r="AE98" s="31"/>
      <c r="AF98" s="45"/>
      <c r="AG98" s="45"/>
      <c r="AH98" s="45"/>
      <c r="AI98" s="45"/>
    </row>
    <row r="99" spans="2:35" s="109" customFormat="1" x14ac:dyDescent="0.25">
      <c r="B99" s="110"/>
      <c r="C99" s="34"/>
      <c r="D99" s="11"/>
      <c r="E99" s="11"/>
      <c r="F99" s="34"/>
      <c r="G99" s="34"/>
      <c r="H99" s="34"/>
      <c r="I99" s="34"/>
      <c r="J99" s="34"/>
      <c r="K99" s="34"/>
      <c r="L99" s="34"/>
      <c r="M99" s="34"/>
      <c r="N99" s="34"/>
      <c r="O99" s="34"/>
      <c r="P99" s="34"/>
      <c r="Q99" s="34"/>
      <c r="R99" s="34"/>
      <c r="S99" s="34"/>
      <c r="T99" s="122"/>
      <c r="U99" s="34"/>
      <c r="V99" s="34"/>
      <c r="W99" s="34"/>
      <c r="X99" s="34"/>
      <c r="Y99" s="34"/>
      <c r="Z99" s="34"/>
      <c r="AA99" s="34"/>
      <c r="AB99" s="34"/>
      <c r="AC99" s="34"/>
      <c r="AD99" s="34"/>
      <c r="AE99" s="111"/>
      <c r="AF99" s="45"/>
      <c r="AG99" s="45"/>
      <c r="AH99" s="45"/>
      <c r="AI99" s="45"/>
    </row>
    <row r="100" spans="2:35" s="109" customFormat="1" x14ac:dyDescent="0.25">
      <c r="D100" s="112"/>
      <c r="E100" s="112"/>
      <c r="F100" s="113"/>
      <c r="G100" s="113"/>
      <c r="H100" s="113"/>
      <c r="I100" s="113"/>
      <c r="J100" s="113"/>
      <c r="K100" s="113"/>
      <c r="L100" s="113"/>
      <c r="M100" s="113"/>
      <c r="N100" s="113"/>
      <c r="O100" s="113"/>
      <c r="P100" s="94"/>
      <c r="Q100" s="113"/>
      <c r="R100" s="113"/>
      <c r="S100" s="113"/>
      <c r="T100" s="123"/>
      <c r="U100" s="112"/>
      <c r="V100" s="112"/>
      <c r="W100" s="112"/>
      <c r="X100" s="112"/>
      <c r="Y100" s="112"/>
      <c r="Z100" s="112"/>
      <c r="AA100" s="112"/>
      <c r="AB100" s="112"/>
      <c r="AC100" s="112"/>
      <c r="AD100" s="112"/>
      <c r="AE100" s="45"/>
      <c r="AF100" s="45"/>
      <c r="AG100" s="45"/>
      <c r="AH100" s="45"/>
      <c r="AI100" s="45"/>
    </row>
    <row r="101" spans="2:35" s="109" customFormat="1" x14ac:dyDescent="0.25">
      <c r="D101" s="112"/>
      <c r="E101" s="112"/>
      <c r="F101" s="113"/>
      <c r="G101" s="113"/>
      <c r="H101" s="113"/>
      <c r="I101" s="113"/>
      <c r="J101" s="113"/>
      <c r="K101" s="113"/>
      <c r="L101" s="113"/>
      <c r="M101" s="113"/>
      <c r="N101" s="113"/>
      <c r="O101" s="113"/>
      <c r="P101" s="94"/>
      <c r="Q101" s="113"/>
      <c r="R101" s="113"/>
      <c r="S101" s="113"/>
      <c r="T101" s="123"/>
      <c r="U101" s="112"/>
      <c r="V101" s="112"/>
      <c r="W101" s="112"/>
      <c r="X101" s="112"/>
      <c r="Y101" s="112"/>
      <c r="Z101" s="112"/>
      <c r="AA101" s="112"/>
      <c r="AB101" s="112"/>
      <c r="AC101" s="112"/>
      <c r="AD101" s="112"/>
      <c r="AE101" s="45"/>
      <c r="AF101" s="45"/>
      <c r="AG101" s="45"/>
      <c r="AH101" s="45"/>
      <c r="AI101" s="45"/>
    </row>
    <row r="102" spans="2:35" s="109" customFormat="1" x14ac:dyDescent="0.25">
      <c r="D102" s="112"/>
      <c r="E102" s="112"/>
      <c r="F102" s="114"/>
      <c r="G102" s="114"/>
      <c r="H102" s="114"/>
      <c r="I102" s="114"/>
      <c r="J102" s="114"/>
      <c r="K102" s="114"/>
      <c r="L102" s="114"/>
      <c r="M102" s="114"/>
      <c r="N102" s="114"/>
      <c r="O102" s="114"/>
      <c r="P102" s="94"/>
      <c r="Q102" s="114"/>
      <c r="R102" s="114"/>
      <c r="S102" s="112"/>
      <c r="T102" s="112"/>
      <c r="U102" s="112"/>
      <c r="V102" s="112"/>
      <c r="W102" s="112"/>
      <c r="X102" s="112"/>
      <c r="Y102" s="112"/>
      <c r="Z102" s="112"/>
      <c r="AA102" s="112"/>
      <c r="AB102" s="112"/>
      <c r="AC102" s="112"/>
      <c r="AD102" s="112"/>
      <c r="AE102" s="45"/>
      <c r="AF102" s="45"/>
      <c r="AG102" s="45"/>
      <c r="AH102" s="45"/>
      <c r="AI102" s="45"/>
    </row>
    <row r="103" spans="2:35" s="109" customFormat="1" x14ac:dyDescent="0.25">
      <c r="D103" s="112"/>
      <c r="E103" s="112"/>
      <c r="F103" s="115"/>
      <c r="G103" s="115"/>
      <c r="H103" s="115"/>
      <c r="I103" s="115"/>
      <c r="J103" s="115"/>
      <c r="K103" s="115"/>
      <c r="L103" s="115"/>
      <c r="M103" s="115"/>
      <c r="N103" s="115"/>
      <c r="O103" s="115"/>
      <c r="P103" s="94"/>
      <c r="Q103" s="115"/>
      <c r="R103" s="115"/>
      <c r="S103" s="112"/>
      <c r="T103" s="112"/>
      <c r="U103" s="112"/>
      <c r="V103" s="112"/>
      <c r="W103" s="112"/>
      <c r="X103" s="112"/>
      <c r="Y103" s="112"/>
      <c r="Z103" s="112"/>
      <c r="AB103" s="112"/>
      <c r="AC103" s="112"/>
      <c r="AD103" s="112"/>
      <c r="AE103" s="45"/>
      <c r="AF103" s="45"/>
      <c r="AG103" s="45"/>
      <c r="AH103" s="45"/>
      <c r="AI103" s="45"/>
    </row>
    <row r="104" spans="2:35" s="109" customFormat="1" x14ac:dyDescent="0.25">
      <c r="D104" s="112"/>
      <c r="E104" s="112"/>
      <c r="F104" s="115"/>
      <c r="G104" s="115"/>
      <c r="H104" s="115"/>
      <c r="I104" s="115"/>
      <c r="J104" s="115"/>
      <c r="K104" s="115"/>
      <c r="L104" s="115"/>
      <c r="M104" s="115"/>
      <c r="N104" s="115"/>
      <c r="O104" s="115"/>
      <c r="P104" s="94"/>
      <c r="Q104" s="115"/>
      <c r="R104" s="115"/>
      <c r="S104" s="112"/>
      <c r="T104" s="112"/>
      <c r="U104" s="112"/>
      <c r="V104" s="112"/>
      <c r="W104" s="112"/>
      <c r="X104" s="112"/>
      <c r="Y104" s="112"/>
      <c r="Z104" s="112"/>
      <c r="AA104" s="112"/>
      <c r="AB104" s="112"/>
      <c r="AC104" s="112"/>
      <c r="AD104" s="112"/>
      <c r="AE104" s="45"/>
      <c r="AF104" s="45"/>
      <c r="AG104" s="45"/>
      <c r="AH104" s="45"/>
      <c r="AI104" s="45"/>
    </row>
    <row r="105" spans="2:35" s="109" customFormat="1" x14ac:dyDescent="0.25">
      <c r="D105" s="112"/>
      <c r="E105" s="112"/>
      <c r="F105" s="115"/>
      <c r="G105" s="115"/>
      <c r="H105" s="115"/>
      <c r="I105" s="115"/>
      <c r="J105" s="115"/>
      <c r="K105" s="115"/>
      <c r="L105" s="115"/>
      <c r="M105" s="115"/>
      <c r="N105" s="115"/>
      <c r="O105" s="115"/>
      <c r="P105" s="94"/>
      <c r="Q105" s="115"/>
      <c r="R105" s="115"/>
      <c r="S105" s="112"/>
      <c r="T105" s="112"/>
      <c r="U105" s="112"/>
      <c r="V105" s="112"/>
      <c r="W105" s="112"/>
      <c r="X105" s="112"/>
      <c r="Y105" s="112"/>
      <c r="Z105" s="112"/>
      <c r="AA105" s="112"/>
      <c r="AB105" s="112"/>
      <c r="AC105" s="112"/>
      <c r="AD105" s="112"/>
      <c r="AE105" s="45"/>
      <c r="AF105" s="45"/>
      <c r="AG105" s="45"/>
      <c r="AH105" s="45"/>
      <c r="AI105" s="45"/>
    </row>
    <row r="106" spans="2:35" x14ac:dyDescent="0.25">
      <c r="C106" s="109"/>
      <c r="D106" s="112"/>
      <c r="E106" s="112"/>
      <c r="F106" s="113"/>
      <c r="G106" s="113"/>
      <c r="H106" s="113"/>
      <c r="I106" s="113"/>
      <c r="J106" s="113"/>
      <c r="K106" s="113"/>
      <c r="L106" s="113"/>
      <c r="M106" s="113"/>
      <c r="N106" s="113"/>
      <c r="O106" s="113"/>
      <c r="Q106" s="113"/>
      <c r="R106" s="113"/>
      <c r="S106" s="112"/>
      <c r="T106" s="112"/>
      <c r="U106" s="112"/>
      <c r="V106" s="112"/>
      <c r="W106" s="112"/>
      <c r="X106" s="112"/>
      <c r="Y106" s="112"/>
      <c r="Z106" s="112"/>
      <c r="AA106" s="112"/>
      <c r="AB106" s="112"/>
      <c r="AC106" s="112"/>
      <c r="AD106" s="112"/>
    </row>
    <row r="107" spans="2:35" x14ac:dyDescent="0.25">
      <c r="S107" s="112"/>
      <c r="T107" s="112"/>
      <c r="U107" s="112"/>
      <c r="V107" s="112"/>
      <c r="W107" s="112"/>
      <c r="X107" s="112"/>
      <c r="Y107" s="112"/>
      <c r="Z107" s="112"/>
      <c r="AA107" s="112"/>
      <c r="AB107" s="112"/>
      <c r="AC107" s="112"/>
      <c r="AD107" s="112"/>
    </row>
    <row r="108" spans="2:35" x14ac:dyDescent="0.25">
      <c r="S108" s="112"/>
      <c r="T108" s="112"/>
      <c r="U108" s="112"/>
      <c r="V108" s="112"/>
      <c r="W108" s="112"/>
      <c r="X108" s="112"/>
      <c r="Y108" s="112"/>
      <c r="Z108" s="112"/>
      <c r="AA108" s="112"/>
      <c r="AB108" s="112"/>
      <c r="AC108" s="112"/>
      <c r="AD108" s="112"/>
    </row>
    <row r="109" spans="2:35" x14ac:dyDescent="0.25">
      <c r="S109" s="112"/>
      <c r="T109" s="112"/>
      <c r="U109" s="112"/>
      <c r="V109" s="112"/>
      <c r="W109" s="112"/>
      <c r="X109" s="112"/>
      <c r="Y109" s="112"/>
      <c r="Z109" s="112"/>
      <c r="AA109" s="112"/>
      <c r="AB109" s="112"/>
      <c r="AC109" s="112"/>
      <c r="AD109" s="112"/>
    </row>
    <row r="110" spans="2:35" x14ac:dyDescent="0.25">
      <c r="S110" s="112"/>
      <c r="T110" s="112"/>
      <c r="U110" s="112"/>
      <c r="V110" s="112"/>
      <c r="W110" s="112"/>
      <c r="X110" s="112"/>
      <c r="Y110" s="112"/>
      <c r="Z110" s="112"/>
      <c r="AA110" s="112"/>
      <c r="AB110" s="112"/>
      <c r="AC110" s="112"/>
      <c r="AD110" s="112"/>
    </row>
    <row r="111" spans="2:35" x14ac:dyDescent="0.25">
      <c r="S111" s="112"/>
      <c r="T111" s="112"/>
      <c r="U111" s="112"/>
      <c r="V111" s="112"/>
      <c r="W111" s="112"/>
      <c r="X111" s="112"/>
      <c r="Y111" s="112"/>
      <c r="Z111" s="112"/>
      <c r="AA111" s="112"/>
      <c r="AB111" s="112"/>
      <c r="AC111" s="112"/>
      <c r="AD111" s="112"/>
    </row>
    <row r="112" spans="2:35" x14ac:dyDescent="0.25">
      <c r="S112" s="112"/>
      <c r="T112" s="112"/>
      <c r="U112" s="112"/>
      <c r="V112" s="112"/>
      <c r="W112" s="112"/>
      <c r="X112" s="112"/>
      <c r="Y112" s="112"/>
      <c r="Z112" s="112"/>
      <c r="AA112" s="112"/>
      <c r="AB112" s="112"/>
      <c r="AC112" s="112"/>
      <c r="AD112" s="112"/>
    </row>
    <row r="113" spans="19:30" x14ac:dyDescent="0.25">
      <c r="S113" s="112"/>
      <c r="T113" s="112"/>
      <c r="U113" s="112"/>
      <c r="V113" s="112"/>
      <c r="W113" s="112"/>
      <c r="X113" s="112"/>
      <c r="Y113" s="112"/>
      <c r="Z113" s="112"/>
      <c r="AA113" s="112"/>
      <c r="AB113" s="112"/>
      <c r="AC113" s="112"/>
      <c r="AD113" s="112"/>
    </row>
    <row r="114" spans="19:30" x14ac:dyDescent="0.25">
      <c r="S114" s="112"/>
      <c r="T114" s="112"/>
      <c r="U114" s="112"/>
      <c r="V114" s="112"/>
      <c r="W114" s="112"/>
      <c r="X114" s="112"/>
      <c r="Y114" s="112"/>
      <c r="Z114" s="112"/>
      <c r="AA114" s="112"/>
      <c r="AB114" s="112"/>
      <c r="AC114" s="112"/>
      <c r="AD114" s="112"/>
    </row>
    <row r="115" spans="19:30" x14ac:dyDescent="0.25">
      <c r="S115" s="112"/>
      <c r="T115" s="112"/>
      <c r="U115" s="112"/>
      <c r="V115" s="112"/>
      <c r="W115" s="112"/>
      <c r="X115" s="112"/>
      <c r="Y115" s="112"/>
      <c r="Z115" s="112"/>
      <c r="AA115" s="112"/>
      <c r="AB115" s="112"/>
      <c r="AC115" s="112"/>
      <c r="AD115" s="112"/>
    </row>
    <row r="116" spans="19:30" x14ac:dyDescent="0.25">
      <c r="S116" s="112"/>
      <c r="T116" s="112"/>
      <c r="U116" s="112"/>
      <c r="V116" s="112"/>
      <c r="W116" s="112"/>
      <c r="X116" s="112"/>
      <c r="Y116" s="112"/>
      <c r="Z116" s="112"/>
      <c r="AA116" s="112"/>
      <c r="AB116" s="112"/>
      <c r="AC116" s="112"/>
      <c r="AD116" s="112"/>
    </row>
    <row r="117" spans="19:30" x14ac:dyDescent="0.25">
      <c r="S117" s="112"/>
      <c r="T117" s="112"/>
      <c r="U117" s="112"/>
      <c r="V117" s="112"/>
      <c r="W117" s="112"/>
      <c r="X117" s="112"/>
      <c r="Y117" s="112"/>
      <c r="Z117" s="112"/>
      <c r="AA117" s="112"/>
      <c r="AB117" s="112"/>
      <c r="AC117" s="112"/>
      <c r="AD117" s="112"/>
    </row>
    <row r="118" spans="19:30" x14ac:dyDescent="0.25">
      <c r="T118" s="118"/>
      <c r="V118" s="93"/>
      <c r="Y118" s="93"/>
    </row>
    <row r="119" spans="19:30" x14ac:dyDescent="0.25">
      <c r="T119" s="118"/>
      <c r="V119" s="93"/>
      <c r="Y119" s="93"/>
    </row>
    <row r="120" spans="19:30" x14ac:dyDescent="0.25">
      <c r="T120" s="118"/>
      <c r="V120" s="93"/>
      <c r="Y120" s="93"/>
    </row>
    <row r="121" spans="19:30" x14ac:dyDescent="0.25">
      <c r="T121" s="118"/>
      <c r="V121" s="93"/>
      <c r="Y121" s="93"/>
    </row>
    <row r="122" spans="19:30" x14ac:dyDescent="0.25">
      <c r="T122" s="118"/>
      <c r="V122" s="93"/>
      <c r="Y122" s="93"/>
    </row>
    <row r="123" spans="19:30" x14ac:dyDescent="0.25">
      <c r="T123" s="118"/>
      <c r="V123" s="93"/>
      <c r="Y123" s="93"/>
    </row>
    <row r="124" spans="19:30" x14ac:dyDescent="0.25">
      <c r="T124" s="118"/>
      <c r="V124" s="93"/>
      <c r="Y124" s="93"/>
    </row>
    <row r="125" spans="19:30" x14ac:dyDescent="0.25">
      <c r="T125" s="118"/>
      <c r="V125" s="93"/>
      <c r="Y125" s="93"/>
    </row>
    <row r="126" spans="19:30" x14ac:dyDescent="0.25">
      <c r="T126" s="118"/>
      <c r="V126" s="93"/>
      <c r="Y126" s="93"/>
    </row>
    <row r="127" spans="19:30" x14ac:dyDescent="0.25">
      <c r="T127" s="118"/>
      <c r="V127" s="93"/>
      <c r="Y127" s="93"/>
    </row>
    <row r="128" spans="19:30" x14ac:dyDescent="0.25">
      <c r="T128" s="118"/>
      <c r="V128" s="93"/>
      <c r="Y128" s="93"/>
    </row>
    <row r="129" spans="20:25" x14ac:dyDescent="0.25">
      <c r="T129" s="118"/>
      <c r="V129" s="93"/>
      <c r="Y129" s="93"/>
    </row>
    <row r="130" spans="20:25" x14ac:dyDescent="0.25">
      <c r="T130" s="118"/>
      <c r="V130" s="93"/>
      <c r="Y130" s="93"/>
    </row>
    <row r="131" spans="20:25" x14ac:dyDescent="0.25">
      <c r="T131" s="118"/>
      <c r="V131" s="93"/>
      <c r="Y131" s="93"/>
    </row>
    <row r="132" spans="20:25" x14ac:dyDescent="0.25">
      <c r="T132" s="118"/>
      <c r="V132" s="93"/>
      <c r="Y132" s="93"/>
    </row>
    <row r="133" spans="20:25" x14ac:dyDescent="0.25">
      <c r="T133" s="118"/>
      <c r="V133" s="93"/>
      <c r="Y133" s="93"/>
    </row>
    <row r="134" spans="20:25" x14ac:dyDescent="0.25">
      <c r="T134" s="118"/>
      <c r="V134" s="93"/>
      <c r="Y134" s="93"/>
    </row>
    <row r="135" spans="20:25" x14ac:dyDescent="0.25">
      <c r="T135" s="118"/>
      <c r="V135" s="93"/>
      <c r="Y135" s="93"/>
    </row>
    <row r="136" spans="20:25" x14ac:dyDescent="0.25">
      <c r="T136" s="118"/>
      <c r="V136" s="93"/>
      <c r="Y136" s="93"/>
    </row>
    <row r="137" spans="20:25" x14ac:dyDescent="0.25">
      <c r="T137" s="118"/>
      <c r="V137" s="93"/>
      <c r="Y137" s="93"/>
    </row>
    <row r="138" spans="20:25" x14ac:dyDescent="0.25">
      <c r="T138" s="118"/>
      <c r="V138" s="93"/>
      <c r="Y138" s="93"/>
    </row>
    <row r="139" spans="20:25" x14ac:dyDescent="0.25">
      <c r="T139" s="118"/>
      <c r="V139" s="93"/>
      <c r="Y139" s="93"/>
    </row>
    <row r="140" spans="20:25" x14ac:dyDescent="0.25">
      <c r="T140" s="118"/>
      <c r="V140" s="93"/>
      <c r="Y140" s="93"/>
    </row>
    <row r="141" spans="20:25" x14ac:dyDescent="0.25">
      <c r="T141" s="118"/>
      <c r="V141" s="93"/>
      <c r="Y141" s="93"/>
    </row>
    <row r="142" spans="20:25" x14ac:dyDescent="0.25">
      <c r="T142" s="118"/>
      <c r="V142" s="93"/>
      <c r="Y142" s="93"/>
    </row>
    <row r="143" spans="20:25" x14ac:dyDescent="0.25">
      <c r="T143" s="118"/>
      <c r="V143" s="93"/>
      <c r="Y143" s="93"/>
    </row>
    <row r="144" spans="20:25" x14ac:dyDescent="0.25">
      <c r="T144" s="118"/>
      <c r="V144" s="93"/>
      <c r="Y144" s="93"/>
    </row>
    <row r="145" spans="20:25" x14ac:dyDescent="0.25">
      <c r="T145" s="118"/>
      <c r="V145" s="93"/>
      <c r="Y145" s="93"/>
    </row>
    <row r="146" spans="20:25" x14ac:dyDescent="0.25">
      <c r="T146" s="118"/>
      <c r="V146" s="93"/>
      <c r="Y146" s="93"/>
    </row>
    <row r="147" spans="20:25" x14ac:dyDescent="0.25">
      <c r="T147" s="118"/>
      <c r="V147" s="93"/>
      <c r="Y147" s="93"/>
    </row>
    <row r="148" spans="20:25" x14ac:dyDescent="0.25">
      <c r="T148" s="118"/>
      <c r="V148" s="93"/>
      <c r="Y148" s="93"/>
    </row>
    <row r="149" spans="20:25" x14ac:dyDescent="0.25">
      <c r="T149" s="118"/>
      <c r="V149" s="93"/>
      <c r="Y149" s="93"/>
    </row>
    <row r="150" spans="20:25" x14ac:dyDescent="0.25">
      <c r="T150" s="118"/>
      <c r="V150" s="93"/>
      <c r="Y150" s="93"/>
    </row>
    <row r="151" spans="20:25" x14ac:dyDescent="0.25">
      <c r="T151" s="118"/>
      <c r="V151" s="93"/>
      <c r="Y151" s="93"/>
    </row>
    <row r="152" spans="20:25" x14ac:dyDescent="0.25">
      <c r="T152" s="118"/>
      <c r="V152" s="93"/>
      <c r="Y152" s="93"/>
    </row>
    <row r="153" spans="20:25" x14ac:dyDescent="0.25">
      <c r="T153" s="118"/>
      <c r="V153" s="93"/>
      <c r="Y153" s="93"/>
    </row>
    <row r="154" spans="20:25" x14ac:dyDescent="0.25">
      <c r="T154" s="118"/>
      <c r="V154" s="93"/>
      <c r="Y154" s="93"/>
    </row>
    <row r="155" spans="20:25" x14ac:dyDescent="0.25">
      <c r="T155" s="118"/>
      <c r="V155" s="93"/>
      <c r="Y155" s="93"/>
    </row>
    <row r="156" spans="20:25" x14ac:dyDescent="0.25">
      <c r="T156" s="118"/>
      <c r="V156" s="93"/>
      <c r="Y156" s="93"/>
    </row>
    <row r="157" spans="20:25" x14ac:dyDescent="0.25">
      <c r="T157" s="118"/>
      <c r="V157" s="93"/>
      <c r="Y157" s="93"/>
    </row>
    <row r="158" spans="20:25" x14ac:dyDescent="0.25">
      <c r="T158" s="118"/>
      <c r="V158" s="93"/>
      <c r="Y158" s="93"/>
    </row>
    <row r="159" spans="20:25" x14ac:dyDescent="0.25">
      <c r="T159" s="118"/>
      <c r="V159" s="93"/>
      <c r="Y159" s="93"/>
    </row>
    <row r="160" spans="20:25" x14ac:dyDescent="0.25">
      <c r="T160" s="118"/>
      <c r="V160" s="93"/>
      <c r="Y160" s="93"/>
    </row>
    <row r="161" spans="20:25" x14ac:dyDescent="0.25">
      <c r="T161" s="118"/>
      <c r="V161" s="93"/>
      <c r="Y161" s="93"/>
    </row>
    <row r="162" spans="20:25" x14ac:dyDescent="0.25">
      <c r="T162" s="118"/>
      <c r="V162" s="93"/>
      <c r="Y162" s="93"/>
    </row>
    <row r="163" spans="20:25" x14ac:dyDescent="0.25">
      <c r="T163" s="118"/>
      <c r="V163" s="93"/>
      <c r="Y163" s="93"/>
    </row>
    <row r="164" spans="20:25" x14ac:dyDescent="0.25">
      <c r="T164" s="118"/>
      <c r="V164" s="93"/>
      <c r="Y164" s="93"/>
    </row>
    <row r="165" spans="20:25" x14ac:dyDescent="0.25">
      <c r="T165" s="118"/>
      <c r="V165" s="93"/>
      <c r="Y165" s="93"/>
    </row>
    <row r="166" spans="20:25" x14ac:dyDescent="0.25">
      <c r="T166" s="118"/>
      <c r="V166" s="93"/>
      <c r="Y166" s="93"/>
    </row>
    <row r="167" spans="20:25" x14ac:dyDescent="0.25">
      <c r="T167" s="118"/>
      <c r="V167" s="93"/>
      <c r="Y167" s="93"/>
    </row>
    <row r="168" spans="20:25" x14ac:dyDescent="0.25">
      <c r="T168" s="118"/>
      <c r="V168" s="93"/>
      <c r="Y168" s="93"/>
    </row>
    <row r="169" spans="20:25" x14ac:dyDescent="0.25">
      <c r="T169" s="118"/>
      <c r="V169" s="93"/>
      <c r="Y169" s="93"/>
    </row>
    <row r="170" spans="20:25" x14ac:dyDescent="0.25">
      <c r="T170" s="118"/>
      <c r="V170" s="93"/>
      <c r="Y170" s="93"/>
    </row>
    <row r="171" spans="20:25" x14ac:dyDescent="0.25">
      <c r="T171" s="118"/>
      <c r="V171" s="93"/>
      <c r="Y171" s="93"/>
    </row>
    <row r="172" spans="20:25" x14ac:dyDescent="0.25">
      <c r="T172" s="118"/>
      <c r="V172" s="93"/>
      <c r="Y172" s="93"/>
    </row>
    <row r="173" spans="20:25" x14ac:dyDescent="0.25">
      <c r="T173" s="118"/>
      <c r="V173" s="93"/>
      <c r="Y173" s="93"/>
    </row>
    <row r="174" spans="20:25" x14ac:dyDescent="0.25">
      <c r="T174" s="118"/>
      <c r="V174" s="93"/>
      <c r="Y174" s="93"/>
    </row>
    <row r="175" spans="20:25" x14ac:dyDescent="0.25">
      <c r="T175" s="118"/>
      <c r="V175" s="93"/>
      <c r="Y175" s="93"/>
    </row>
    <row r="176" spans="20:25" x14ac:dyDescent="0.25">
      <c r="T176" s="118"/>
      <c r="V176" s="93"/>
      <c r="Y176" s="93"/>
    </row>
    <row r="177" spans="20:25" x14ac:dyDescent="0.25">
      <c r="T177" s="118"/>
      <c r="V177" s="93"/>
      <c r="Y177" s="93"/>
    </row>
    <row r="178" spans="20:25" x14ac:dyDescent="0.25">
      <c r="T178" s="118"/>
      <c r="V178" s="93"/>
      <c r="Y178" s="93"/>
    </row>
    <row r="179" spans="20:25" x14ac:dyDescent="0.25">
      <c r="T179" s="118"/>
      <c r="V179" s="93"/>
      <c r="Y179" s="93"/>
    </row>
    <row r="180" spans="20:25" x14ac:dyDescent="0.25">
      <c r="T180" s="118"/>
      <c r="V180" s="93"/>
      <c r="Y180" s="93"/>
    </row>
    <row r="181" spans="20:25" x14ac:dyDescent="0.25">
      <c r="T181" s="118"/>
      <c r="V181" s="93"/>
      <c r="Y181" s="93"/>
    </row>
    <row r="182" spans="20:25" x14ac:dyDescent="0.25">
      <c r="T182" s="118"/>
      <c r="V182" s="93"/>
      <c r="Y182" s="93"/>
    </row>
    <row r="183" spans="20:25" x14ac:dyDescent="0.25">
      <c r="T183" s="118"/>
      <c r="V183" s="93"/>
      <c r="Y183" s="93"/>
    </row>
    <row r="184" spans="20:25" x14ac:dyDescent="0.25">
      <c r="T184" s="118"/>
      <c r="V184" s="93"/>
      <c r="Y184" s="93"/>
    </row>
    <row r="185" spans="20:25" x14ac:dyDescent="0.25">
      <c r="T185" s="118"/>
      <c r="V185" s="93"/>
      <c r="Y185" s="93"/>
    </row>
    <row r="186" spans="20:25" x14ac:dyDescent="0.25">
      <c r="T186" s="118"/>
      <c r="V186" s="93"/>
      <c r="Y186" s="93"/>
    </row>
    <row r="187" spans="20:25" x14ac:dyDescent="0.25">
      <c r="T187" s="118"/>
      <c r="V187" s="93"/>
      <c r="Y187" s="93"/>
    </row>
    <row r="188" spans="20:25" x14ac:dyDescent="0.25">
      <c r="T188" s="118"/>
      <c r="V188" s="93"/>
      <c r="Y188" s="93"/>
    </row>
    <row r="189" spans="20:25" x14ac:dyDescent="0.25">
      <c r="T189" s="118"/>
      <c r="V189" s="93"/>
      <c r="Y189" s="93"/>
    </row>
    <row r="190" spans="20:25" x14ac:dyDescent="0.25">
      <c r="T190" s="118"/>
      <c r="V190" s="93"/>
      <c r="Y190" s="93"/>
    </row>
    <row r="191" spans="20:25" x14ac:dyDescent="0.25">
      <c r="T191" s="118"/>
      <c r="V191" s="93"/>
      <c r="Y191" s="93"/>
    </row>
    <row r="192" spans="20:25" x14ac:dyDescent="0.25">
      <c r="T192" s="118"/>
      <c r="V192" s="93"/>
      <c r="Y192" s="93"/>
    </row>
    <row r="193" spans="20:25" x14ac:dyDescent="0.25">
      <c r="T193" s="118"/>
      <c r="V193" s="93"/>
      <c r="Y193" s="93"/>
    </row>
    <row r="194" spans="20:25" x14ac:dyDescent="0.25">
      <c r="T194" s="118"/>
      <c r="V194" s="93"/>
      <c r="Y194" s="93"/>
    </row>
    <row r="195" spans="20:25" x14ac:dyDescent="0.25">
      <c r="T195" s="118"/>
      <c r="V195" s="93"/>
      <c r="Y195" s="93"/>
    </row>
    <row r="196" spans="20:25" x14ac:dyDescent="0.25">
      <c r="T196" s="118"/>
      <c r="V196" s="93"/>
      <c r="Y196" s="93"/>
    </row>
    <row r="197" spans="20:25" x14ac:dyDescent="0.25">
      <c r="T197" s="118"/>
      <c r="V197" s="93"/>
      <c r="Y197" s="93"/>
    </row>
    <row r="198" spans="20:25" x14ac:dyDescent="0.25">
      <c r="T198" s="118"/>
      <c r="V198" s="93"/>
      <c r="Y198" s="93"/>
    </row>
    <row r="199" spans="20:25" x14ac:dyDescent="0.25">
      <c r="T199" s="118"/>
      <c r="V199" s="93"/>
      <c r="Y199" s="93"/>
    </row>
    <row r="200" spans="20:25" x14ac:dyDescent="0.25">
      <c r="T200" s="118"/>
      <c r="V200" s="93"/>
      <c r="Y200" s="93"/>
    </row>
    <row r="201" spans="20:25" x14ac:dyDescent="0.25">
      <c r="T201" s="118"/>
      <c r="V201" s="93"/>
      <c r="Y201" s="93"/>
    </row>
    <row r="202" spans="20:25" x14ac:dyDescent="0.25">
      <c r="T202" s="118"/>
      <c r="V202" s="93"/>
      <c r="Y202" s="93"/>
    </row>
    <row r="203" spans="20:25" x14ac:dyDescent="0.25">
      <c r="T203" s="118"/>
      <c r="V203" s="93"/>
      <c r="Y203" s="93"/>
    </row>
    <row r="204" spans="20:25" x14ac:dyDescent="0.25">
      <c r="T204" s="118"/>
      <c r="V204" s="93"/>
      <c r="Y204" s="93"/>
    </row>
    <row r="205" spans="20:25" x14ac:dyDescent="0.25">
      <c r="T205" s="118"/>
      <c r="V205" s="93"/>
      <c r="Y205" s="93"/>
    </row>
    <row r="206" spans="20:25" x14ac:dyDescent="0.25">
      <c r="T206" s="118"/>
      <c r="V206" s="93"/>
      <c r="Y206" s="93"/>
    </row>
    <row r="207" spans="20:25" x14ac:dyDescent="0.25">
      <c r="T207" s="118"/>
      <c r="V207" s="93"/>
      <c r="Y207" s="93"/>
    </row>
    <row r="208" spans="20:25" x14ac:dyDescent="0.25">
      <c r="T208" s="118"/>
      <c r="V208" s="93"/>
      <c r="Y208" s="93"/>
    </row>
    <row r="209" spans="20:25" x14ac:dyDescent="0.25">
      <c r="T209" s="118"/>
      <c r="V209" s="93"/>
      <c r="Y209" s="93"/>
    </row>
    <row r="210" spans="20:25" x14ac:dyDescent="0.25">
      <c r="T210" s="118"/>
      <c r="V210" s="93"/>
      <c r="Y210" s="93"/>
    </row>
    <row r="211" spans="20:25" x14ac:dyDescent="0.25">
      <c r="T211" s="118"/>
      <c r="V211" s="93"/>
      <c r="Y211" s="93"/>
    </row>
    <row r="212" spans="20:25" x14ac:dyDescent="0.25">
      <c r="T212" s="118"/>
      <c r="V212" s="93"/>
      <c r="Y212" s="93"/>
    </row>
    <row r="213" spans="20:25" x14ac:dyDescent="0.25">
      <c r="T213" s="118"/>
      <c r="V213" s="93"/>
      <c r="Y213" s="93"/>
    </row>
    <row r="214" spans="20:25" x14ac:dyDescent="0.25">
      <c r="T214" s="118"/>
      <c r="V214" s="93"/>
      <c r="Y214" s="93"/>
    </row>
    <row r="215" spans="20:25" x14ac:dyDescent="0.25">
      <c r="T215" s="118"/>
      <c r="V215" s="93"/>
      <c r="Y215" s="93"/>
    </row>
    <row r="216" spans="20:25" x14ac:dyDescent="0.25">
      <c r="T216" s="118"/>
      <c r="V216" s="93"/>
      <c r="Y216" s="93"/>
    </row>
    <row r="217" spans="20:25" x14ac:dyDescent="0.25">
      <c r="T217" s="118"/>
      <c r="V217" s="93"/>
      <c r="Y217" s="93"/>
    </row>
    <row r="218" spans="20:25" x14ac:dyDescent="0.25">
      <c r="T218" s="118"/>
      <c r="V218" s="93"/>
      <c r="Y218" s="93"/>
    </row>
    <row r="219" spans="20:25" x14ac:dyDescent="0.25">
      <c r="T219" s="118"/>
      <c r="V219" s="93"/>
      <c r="Y219" s="93"/>
    </row>
    <row r="220" spans="20:25" x14ac:dyDescent="0.25">
      <c r="T220" s="118"/>
      <c r="V220" s="93"/>
      <c r="Y220" s="93"/>
    </row>
    <row r="221" spans="20:25" x14ac:dyDescent="0.25">
      <c r="T221" s="118"/>
      <c r="V221" s="93"/>
      <c r="Y221" s="93"/>
    </row>
    <row r="222" spans="20:25" x14ac:dyDescent="0.25">
      <c r="T222" s="118"/>
      <c r="V222" s="93"/>
      <c r="Y222" s="93"/>
    </row>
    <row r="223" spans="20:25" x14ac:dyDescent="0.25">
      <c r="T223" s="118"/>
      <c r="V223" s="93"/>
      <c r="Y223" s="93"/>
    </row>
    <row r="224" spans="20:25" x14ac:dyDescent="0.25">
      <c r="T224" s="118"/>
      <c r="V224" s="93"/>
      <c r="Y224" s="93"/>
    </row>
    <row r="225" spans="20:25" x14ac:dyDescent="0.25">
      <c r="T225" s="118"/>
      <c r="V225" s="93"/>
      <c r="Y225" s="93"/>
    </row>
    <row r="226" spans="20:25" x14ac:dyDescent="0.25">
      <c r="T226" s="118"/>
      <c r="V226" s="93"/>
      <c r="Y226" s="93"/>
    </row>
    <row r="227" spans="20:25" x14ac:dyDescent="0.25">
      <c r="T227" s="118"/>
      <c r="V227" s="93"/>
      <c r="Y227" s="93"/>
    </row>
    <row r="228" spans="20:25" x14ac:dyDescent="0.25">
      <c r="T228" s="118"/>
      <c r="V228" s="93"/>
      <c r="Y228" s="93"/>
    </row>
    <row r="229" spans="20:25" x14ac:dyDescent="0.25">
      <c r="T229" s="118"/>
      <c r="V229" s="93"/>
      <c r="Y229" s="93"/>
    </row>
    <row r="230" spans="20:25" x14ac:dyDescent="0.25">
      <c r="T230" s="118"/>
      <c r="V230" s="93"/>
      <c r="Y230" s="93"/>
    </row>
    <row r="231" spans="20:25" x14ac:dyDescent="0.25">
      <c r="T231" s="118"/>
      <c r="V231" s="93"/>
      <c r="Y231" s="93"/>
    </row>
    <row r="232" spans="20:25" x14ac:dyDescent="0.25">
      <c r="T232" s="118"/>
      <c r="V232" s="93"/>
      <c r="Y232" s="93"/>
    </row>
    <row r="233" spans="20:25" x14ac:dyDescent="0.25">
      <c r="T233" s="118"/>
      <c r="V233" s="93"/>
      <c r="Y233" s="93"/>
    </row>
    <row r="234" spans="20:25" x14ac:dyDescent="0.25">
      <c r="T234" s="118"/>
      <c r="V234" s="93"/>
      <c r="Y234" s="93"/>
    </row>
    <row r="235" spans="20:25" x14ac:dyDescent="0.25">
      <c r="T235" s="118"/>
      <c r="V235" s="93"/>
      <c r="Y235" s="93"/>
    </row>
    <row r="236" spans="20:25" x14ac:dyDescent="0.25">
      <c r="T236" s="118"/>
      <c r="V236" s="93"/>
      <c r="Y236" s="93"/>
    </row>
    <row r="237" spans="20:25" x14ac:dyDescent="0.25">
      <c r="T237" s="118"/>
      <c r="V237" s="93"/>
      <c r="Y237" s="93"/>
    </row>
    <row r="238" spans="20:25" x14ac:dyDescent="0.25">
      <c r="T238" s="118"/>
      <c r="V238" s="93"/>
      <c r="Y238" s="93"/>
    </row>
    <row r="239" spans="20:25" x14ac:dyDescent="0.25">
      <c r="T239" s="118"/>
      <c r="V239" s="93"/>
      <c r="Y239" s="93"/>
    </row>
    <row r="240" spans="20:25" x14ac:dyDescent="0.25">
      <c r="T240" s="118"/>
      <c r="V240" s="93"/>
      <c r="Y240" s="93"/>
    </row>
    <row r="241" spans="20:25" x14ac:dyDescent="0.25">
      <c r="T241" s="118"/>
      <c r="V241" s="93"/>
      <c r="Y241" s="93"/>
    </row>
    <row r="242" spans="20:25" x14ac:dyDescent="0.25">
      <c r="T242" s="118"/>
      <c r="V242" s="93"/>
      <c r="Y242" s="93"/>
    </row>
    <row r="243" spans="20:25" x14ac:dyDescent="0.25">
      <c r="T243" s="118"/>
      <c r="V243" s="93"/>
      <c r="Y243" s="93"/>
    </row>
    <row r="244" spans="20:25" x14ac:dyDescent="0.25">
      <c r="T244" s="118"/>
      <c r="V244" s="93"/>
      <c r="Y244" s="93"/>
    </row>
    <row r="245" spans="20:25" x14ac:dyDescent="0.25">
      <c r="T245" s="118"/>
      <c r="V245" s="93"/>
      <c r="Y245" s="93"/>
    </row>
    <row r="246" spans="20:25" x14ac:dyDescent="0.25">
      <c r="T246" s="118"/>
      <c r="V246" s="93"/>
      <c r="Y246" s="93"/>
    </row>
    <row r="247" spans="20:25" x14ac:dyDescent="0.25">
      <c r="T247" s="118"/>
      <c r="V247" s="93"/>
      <c r="Y247" s="93"/>
    </row>
    <row r="248" spans="20:25" x14ac:dyDescent="0.25">
      <c r="T248" s="118"/>
      <c r="V248" s="93"/>
      <c r="Y248" s="93"/>
    </row>
    <row r="249" spans="20:25" x14ac:dyDescent="0.25">
      <c r="T249" s="118"/>
      <c r="V249" s="93"/>
      <c r="Y249" s="93"/>
    </row>
    <row r="250" spans="20:25" x14ac:dyDescent="0.25">
      <c r="T250" s="118"/>
      <c r="V250" s="93"/>
      <c r="Y250" s="93"/>
    </row>
    <row r="251" spans="20:25" x14ac:dyDescent="0.25">
      <c r="T251" s="118"/>
      <c r="V251" s="93"/>
      <c r="Y251" s="93"/>
    </row>
    <row r="252" spans="20:25" x14ac:dyDescent="0.25">
      <c r="T252" s="118"/>
      <c r="V252" s="93"/>
      <c r="Y252" s="93"/>
    </row>
    <row r="253" spans="20:25" x14ac:dyDescent="0.25">
      <c r="T253" s="118"/>
      <c r="V253" s="93"/>
      <c r="Y253" s="93"/>
    </row>
    <row r="254" spans="20:25" x14ac:dyDescent="0.25">
      <c r="T254" s="118"/>
      <c r="V254" s="93"/>
      <c r="Y254" s="93"/>
    </row>
    <row r="255" spans="20:25" x14ac:dyDescent="0.25">
      <c r="T255" s="118"/>
      <c r="V255" s="93"/>
      <c r="Y255" s="93"/>
    </row>
    <row r="256" spans="20:25" x14ac:dyDescent="0.25">
      <c r="T256" s="118"/>
      <c r="V256" s="93"/>
      <c r="Y256" s="93"/>
    </row>
    <row r="257" spans="20:25" x14ac:dyDescent="0.25">
      <c r="T257" s="118"/>
      <c r="V257" s="93"/>
      <c r="Y257" s="93"/>
    </row>
    <row r="258" spans="20:25" x14ac:dyDescent="0.25">
      <c r="T258" s="118"/>
      <c r="V258" s="93"/>
      <c r="Y258" s="93"/>
    </row>
    <row r="259" spans="20:25" x14ac:dyDescent="0.25">
      <c r="T259" s="118"/>
      <c r="V259" s="93"/>
      <c r="Y259" s="93"/>
    </row>
    <row r="260" spans="20:25" x14ac:dyDescent="0.25">
      <c r="T260" s="118"/>
      <c r="V260" s="93"/>
      <c r="Y260" s="93"/>
    </row>
    <row r="261" spans="20:25" x14ac:dyDescent="0.25">
      <c r="T261" s="118"/>
      <c r="V261" s="93"/>
      <c r="Y261" s="93"/>
    </row>
    <row r="262" spans="20:25" x14ac:dyDescent="0.25">
      <c r="T262" s="118"/>
      <c r="V262" s="93"/>
      <c r="Y262" s="93"/>
    </row>
    <row r="263" spans="20:25" x14ac:dyDescent="0.25">
      <c r="T263" s="118"/>
      <c r="V263" s="93"/>
      <c r="Y263" s="93"/>
    </row>
    <row r="264" spans="20:25" x14ac:dyDescent="0.25">
      <c r="T264" s="118"/>
      <c r="V264" s="93"/>
      <c r="Y264" s="93"/>
    </row>
    <row r="265" spans="20:25" x14ac:dyDescent="0.25">
      <c r="T265" s="118"/>
      <c r="V265" s="93"/>
      <c r="Y265" s="93"/>
    </row>
    <row r="266" spans="20:25" x14ac:dyDescent="0.25">
      <c r="T266" s="118"/>
      <c r="V266" s="93"/>
      <c r="Y266" s="93"/>
    </row>
    <row r="267" spans="20:25" x14ac:dyDescent="0.25">
      <c r="T267" s="118"/>
      <c r="V267" s="93"/>
      <c r="Y267" s="93"/>
    </row>
    <row r="268" spans="20:25" x14ac:dyDescent="0.25">
      <c r="T268" s="118"/>
      <c r="V268" s="93"/>
      <c r="Y268" s="93"/>
    </row>
    <row r="269" spans="20:25" x14ac:dyDescent="0.25">
      <c r="T269" s="118"/>
      <c r="V269" s="93"/>
      <c r="Y269" s="93"/>
    </row>
    <row r="270" spans="20:25" x14ac:dyDescent="0.25">
      <c r="T270" s="118"/>
      <c r="V270" s="93"/>
      <c r="Y270" s="93"/>
    </row>
    <row r="271" spans="20:25" x14ac:dyDescent="0.25">
      <c r="T271" s="118"/>
      <c r="V271" s="93"/>
      <c r="Y271" s="93"/>
    </row>
    <row r="272" spans="20:25" x14ac:dyDescent="0.25">
      <c r="T272" s="118"/>
      <c r="V272" s="93"/>
      <c r="Y272" s="93"/>
    </row>
    <row r="273" spans="20:25" x14ac:dyDescent="0.25">
      <c r="T273" s="118"/>
      <c r="V273" s="93"/>
      <c r="Y273" s="93"/>
    </row>
    <row r="274" spans="20:25" x14ac:dyDescent="0.25">
      <c r="T274" s="118"/>
      <c r="V274" s="93"/>
      <c r="Y274" s="93"/>
    </row>
    <row r="275" spans="20:25" x14ac:dyDescent="0.25">
      <c r="T275" s="118"/>
      <c r="V275" s="93"/>
      <c r="Y275" s="93"/>
    </row>
    <row r="276" spans="20:25" x14ac:dyDescent="0.25">
      <c r="T276" s="118"/>
      <c r="V276" s="93"/>
      <c r="Y276" s="93"/>
    </row>
    <row r="277" spans="20:25" x14ac:dyDescent="0.25">
      <c r="T277" s="118"/>
      <c r="V277" s="93"/>
      <c r="Y277" s="93"/>
    </row>
    <row r="278" spans="20:25" x14ac:dyDescent="0.25">
      <c r="T278" s="118"/>
      <c r="V278" s="93"/>
      <c r="Y278" s="93"/>
    </row>
    <row r="279" spans="20:25" x14ac:dyDescent="0.25">
      <c r="T279" s="118"/>
      <c r="V279" s="93"/>
      <c r="Y279" s="93"/>
    </row>
    <row r="280" spans="20:25" x14ac:dyDescent="0.25">
      <c r="T280" s="118"/>
      <c r="V280" s="93"/>
      <c r="Y280" s="93"/>
    </row>
    <row r="281" spans="20:25" x14ac:dyDescent="0.25">
      <c r="T281" s="118"/>
      <c r="V281" s="93"/>
      <c r="Y281" s="93"/>
    </row>
    <row r="282" spans="20:25" x14ac:dyDescent="0.25">
      <c r="T282" s="118"/>
      <c r="V282" s="93"/>
      <c r="Y282" s="93"/>
    </row>
    <row r="283" spans="20:25" x14ac:dyDescent="0.25">
      <c r="T283" s="118"/>
      <c r="V283" s="93"/>
      <c r="Y283" s="93"/>
    </row>
    <row r="284" spans="20:25" x14ac:dyDescent="0.25">
      <c r="T284" s="118"/>
      <c r="V284" s="93"/>
      <c r="Y284" s="93"/>
    </row>
    <row r="285" spans="20:25" x14ac:dyDescent="0.25">
      <c r="T285" s="118"/>
      <c r="V285" s="93"/>
      <c r="Y285" s="93"/>
    </row>
    <row r="286" spans="20:25" x14ac:dyDescent="0.25">
      <c r="T286" s="118"/>
      <c r="V286" s="93"/>
      <c r="Y286" s="93"/>
    </row>
    <row r="287" spans="20:25" x14ac:dyDescent="0.25">
      <c r="T287" s="118"/>
      <c r="V287" s="93"/>
      <c r="Y287" s="93"/>
    </row>
    <row r="288" spans="20:25" x14ac:dyDescent="0.25">
      <c r="T288" s="118"/>
      <c r="V288" s="93"/>
      <c r="Y288" s="93"/>
    </row>
    <row r="289" spans="20:25" x14ac:dyDescent="0.25">
      <c r="T289" s="118"/>
      <c r="V289" s="93"/>
      <c r="Y289" s="93"/>
    </row>
    <row r="290" spans="20:25" x14ac:dyDescent="0.25">
      <c r="T290" s="118"/>
      <c r="V290" s="93"/>
      <c r="Y290" s="93"/>
    </row>
    <row r="291" spans="20:25" x14ac:dyDescent="0.25">
      <c r="T291" s="118"/>
      <c r="V291" s="93"/>
      <c r="Y291" s="93"/>
    </row>
    <row r="292" spans="20:25" x14ac:dyDescent="0.25">
      <c r="T292" s="118"/>
      <c r="V292" s="93"/>
      <c r="Y292" s="93"/>
    </row>
    <row r="293" spans="20:25" x14ac:dyDescent="0.25">
      <c r="T293" s="118"/>
      <c r="V293" s="93"/>
      <c r="Y293" s="93"/>
    </row>
    <row r="294" spans="20:25" x14ac:dyDescent="0.25">
      <c r="T294" s="118"/>
      <c r="V294" s="93"/>
      <c r="Y294" s="93"/>
    </row>
    <row r="295" spans="20:25" x14ac:dyDescent="0.25">
      <c r="T295" s="118"/>
      <c r="V295" s="93"/>
      <c r="Y295" s="93"/>
    </row>
    <row r="296" spans="20:25" x14ac:dyDescent="0.25">
      <c r="T296" s="118"/>
      <c r="V296" s="93"/>
      <c r="Y296" s="93"/>
    </row>
    <row r="297" spans="20:25" x14ac:dyDescent="0.25">
      <c r="T297" s="118"/>
      <c r="V297" s="93"/>
      <c r="Y297" s="93"/>
    </row>
    <row r="298" spans="20:25" x14ac:dyDescent="0.25">
      <c r="T298" s="118"/>
      <c r="V298" s="93"/>
      <c r="Y298" s="93"/>
    </row>
    <row r="299" spans="20:25" x14ac:dyDescent="0.25">
      <c r="T299" s="118"/>
      <c r="V299" s="93"/>
      <c r="Y299" s="93"/>
    </row>
    <row r="300" spans="20:25" x14ac:dyDescent="0.25">
      <c r="T300" s="118"/>
      <c r="V300" s="93"/>
      <c r="Y300" s="93"/>
    </row>
    <row r="301" spans="20:25" x14ac:dyDescent="0.25">
      <c r="T301" s="118"/>
      <c r="V301" s="93"/>
      <c r="Y301" s="93"/>
    </row>
    <row r="302" spans="20:25" x14ac:dyDescent="0.25">
      <c r="T302" s="118"/>
      <c r="V302" s="93"/>
      <c r="Y302" s="93"/>
    </row>
    <row r="303" spans="20:25" x14ac:dyDescent="0.25">
      <c r="T303" s="118"/>
      <c r="V303" s="93"/>
      <c r="Y303" s="93"/>
    </row>
    <row r="304" spans="20:25" x14ac:dyDescent="0.25">
      <c r="T304" s="118"/>
      <c r="V304" s="93"/>
      <c r="Y304" s="93"/>
    </row>
    <row r="305" spans="20:25" x14ac:dyDescent="0.25">
      <c r="T305" s="118"/>
      <c r="V305" s="93"/>
      <c r="Y305" s="93"/>
    </row>
    <row r="306" spans="20:25" x14ac:dyDescent="0.25">
      <c r="T306" s="118"/>
      <c r="V306" s="93"/>
      <c r="Y306" s="93"/>
    </row>
    <row r="307" spans="20:25" x14ac:dyDescent="0.25">
      <c r="T307" s="118"/>
      <c r="V307" s="93"/>
      <c r="Y307" s="93"/>
    </row>
    <row r="308" spans="20:25" x14ac:dyDescent="0.25">
      <c r="T308" s="118"/>
      <c r="V308" s="93"/>
      <c r="Y308" s="93"/>
    </row>
    <row r="309" spans="20:25" x14ac:dyDescent="0.25">
      <c r="T309" s="118"/>
      <c r="V309" s="93"/>
      <c r="Y309" s="93"/>
    </row>
    <row r="310" spans="20:25" x14ac:dyDescent="0.25">
      <c r="T310" s="118"/>
      <c r="V310" s="93"/>
      <c r="Y310" s="93"/>
    </row>
    <row r="311" spans="20:25" x14ac:dyDescent="0.25">
      <c r="T311" s="118"/>
      <c r="V311" s="93"/>
      <c r="Y311" s="93"/>
    </row>
    <row r="312" spans="20:25" x14ac:dyDescent="0.25">
      <c r="T312" s="118"/>
      <c r="V312" s="93"/>
      <c r="Y312" s="93"/>
    </row>
    <row r="313" spans="20:25" x14ac:dyDescent="0.25">
      <c r="T313" s="118"/>
      <c r="V313" s="93"/>
      <c r="Y313" s="93"/>
    </row>
    <row r="314" spans="20:25" x14ac:dyDescent="0.25">
      <c r="T314" s="118"/>
      <c r="V314" s="93"/>
      <c r="Y314" s="93"/>
    </row>
    <row r="315" spans="20:25" x14ac:dyDescent="0.25">
      <c r="T315" s="118"/>
      <c r="V315" s="93"/>
      <c r="Y315" s="93"/>
    </row>
    <row r="316" spans="20:25" x14ac:dyDescent="0.25">
      <c r="T316" s="118"/>
      <c r="V316" s="93"/>
      <c r="Y316" s="93"/>
    </row>
    <row r="317" spans="20:25" x14ac:dyDescent="0.25">
      <c r="T317" s="118"/>
      <c r="V317" s="93"/>
      <c r="Y317" s="93"/>
    </row>
    <row r="318" spans="20:25" x14ac:dyDescent="0.25">
      <c r="T318" s="118"/>
      <c r="V318" s="93"/>
      <c r="Y318" s="93"/>
    </row>
    <row r="319" spans="20:25" x14ac:dyDescent="0.25">
      <c r="T319" s="118"/>
      <c r="V319" s="93"/>
      <c r="Y319" s="93"/>
    </row>
    <row r="320" spans="20:25" x14ac:dyDescent="0.25">
      <c r="T320" s="118"/>
      <c r="V320" s="93"/>
      <c r="Y320" s="93"/>
    </row>
    <row r="321" spans="20:25" x14ac:dyDescent="0.25">
      <c r="T321" s="118"/>
      <c r="V321" s="93"/>
      <c r="Y321" s="93"/>
    </row>
    <row r="322" spans="20:25" x14ac:dyDescent="0.25">
      <c r="T322" s="118"/>
      <c r="V322" s="93"/>
      <c r="Y322" s="93"/>
    </row>
    <row r="323" spans="20:25" x14ac:dyDescent="0.25">
      <c r="T323" s="118"/>
      <c r="V323" s="93"/>
      <c r="Y323" s="93"/>
    </row>
    <row r="324" spans="20:25" x14ac:dyDescent="0.25">
      <c r="T324" s="118"/>
      <c r="V324" s="93"/>
      <c r="Y324" s="93"/>
    </row>
    <row r="325" spans="20:25" x14ac:dyDescent="0.25">
      <c r="T325" s="118"/>
      <c r="V325" s="93"/>
      <c r="Y325" s="93"/>
    </row>
    <row r="326" spans="20:25" x14ac:dyDescent="0.25">
      <c r="T326" s="118"/>
      <c r="V326" s="93"/>
      <c r="Y326" s="93"/>
    </row>
    <row r="327" spans="20:25" x14ac:dyDescent="0.25">
      <c r="T327" s="118"/>
      <c r="V327" s="93"/>
      <c r="Y327" s="93"/>
    </row>
    <row r="328" spans="20:25" x14ac:dyDescent="0.25">
      <c r="T328" s="118"/>
      <c r="V328" s="93"/>
      <c r="Y328" s="93"/>
    </row>
    <row r="329" spans="20:25" x14ac:dyDescent="0.25">
      <c r="T329" s="118"/>
      <c r="V329" s="93"/>
      <c r="Y329" s="93"/>
    </row>
    <row r="330" spans="20:25" x14ac:dyDescent="0.25">
      <c r="T330" s="118"/>
      <c r="V330" s="93"/>
      <c r="Y330" s="93"/>
    </row>
    <row r="331" spans="20:25" x14ac:dyDescent="0.25">
      <c r="T331" s="118"/>
      <c r="V331" s="93"/>
      <c r="Y331" s="93"/>
    </row>
    <row r="332" spans="20:25" x14ac:dyDescent="0.25">
      <c r="T332" s="118"/>
      <c r="V332" s="93"/>
      <c r="Y332" s="93"/>
    </row>
    <row r="333" spans="20:25" x14ac:dyDescent="0.25">
      <c r="T333" s="118"/>
      <c r="V333" s="93"/>
      <c r="Y333" s="93"/>
    </row>
    <row r="334" spans="20:25" x14ac:dyDescent="0.25">
      <c r="T334" s="118"/>
      <c r="V334" s="93"/>
      <c r="Y334" s="93"/>
    </row>
    <row r="335" spans="20:25" x14ac:dyDescent="0.25">
      <c r="T335" s="118"/>
      <c r="V335" s="93"/>
      <c r="Y335" s="93"/>
    </row>
    <row r="336" spans="20:25" x14ac:dyDescent="0.25">
      <c r="T336" s="118"/>
      <c r="V336" s="93"/>
      <c r="Y336" s="93"/>
    </row>
    <row r="337" spans="20:25" x14ac:dyDescent="0.25">
      <c r="T337" s="118"/>
      <c r="V337" s="93"/>
      <c r="Y337" s="93"/>
    </row>
    <row r="338" spans="20:25" x14ac:dyDescent="0.25">
      <c r="T338" s="118"/>
      <c r="V338" s="93"/>
      <c r="Y338" s="93"/>
    </row>
    <row r="339" spans="20:25" x14ac:dyDescent="0.25">
      <c r="T339" s="118"/>
      <c r="V339" s="93"/>
      <c r="Y339" s="93"/>
    </row>
    <row r="340" spans="20:25" x14ac:dyDescent="0.25">
      <c r="T340" s="118"/>
      <c r="V340" s="93"/>
      <c r="Y340" s="93"/>
    </row>
    <row r="341" spans="20:25" x14ac:dyDescent="0.25">
      <c r="T341" s="118"/>
      <c r="V341" s="93"/>
      <c r="Y341" s="93"/>
    </row>
    <row r="342" spans="20:25" x14ac:dyDescent="0.25">
      <c r="T342" s="118"/>
      <c r="V342" s="93"/>
      <c r="Y342" s="93"/>
    </row>
    <row r="343" spans="20:25" x14ac:dyDescent="0.25">
      <c r="T343" s="118"/>
      <c r="V343" s="93"/>
      <c r="Y343" s="93"/>
    </row>
    <row r="344" spans="20:25" x14ac:dyDescent="0.25">
      <c r="T344" s="118"/>
      <c r="V344" s="93"/>
      <c r="Y344" s="93"/>
    </row>
    <row r="345" spans="20:25" x14ac:dyDescent="0.25">
      <c r="T345" s="118"/>
      <c r="V345" s="93"/>
      <c r="Y345" s="93"/>
    </row>
    <row r="346" spans="20:25" x14ac:dyDescent="0.25">
      <c r="T346" s="118"/>
      <c r="V346" s="93"/>
      <c r="Y346" s="93"/>
    </row>
    <row r="347" spans="20:25" x14ac:dyDescent="0.25">
      <c r="T347" s="118"/>
      <c r="V347" s="93"/>
      <c r="Y347" s="93"/>
    </row>
    <row r="348" spans="20:25" x14ac:dyDescent="0.25">
      <c r="T348" s="118"/>
      <c r="V348" s="93"/>
      <c r="Y348" s="93"/>
    </row>
    <row r="349" spans="20:25" x14ac:dyDescent="0.25">
      <c r="T349" s="118"/>
      <c r="V349" s="93"/>
      <c r="Y349" s="93"/>
    </row>
    <row r="350" spans="20:25" x14ac:dyDescent="0.25">
      <c r="T350" s="118"/>
      <c r="V350" s="93"/>
      <c r="Y350" s="93"/>
    </row>
    <row r="351" spans="20:25" x14ac:dyDescent="0.25">
      <c r="T351" s="118"/>
      <c r="V351" s="93"/>
      <c r="Y351" s="93"/>
    </row>
    <row r="352" spans="20:25" x14ac:dyDescent="0.25">
      <c r="T352" s="118"/>
      <c r="V352" s="93"/>
      <c r="Y352" s="93"/>
    </row>
    <row r="353" spans="20:25" x14ac:dyDescent="0.25">
      <c r="T353" s="118"/>
      <c r="V353" s="93"/>
      <c r="Y353" s="93"/>
    </row>
    <row r="354" spans="20:25" x14ac:dyDescent="0.25">
      <c r="T354" s="118"/>
      <c r="V354" s="93"/>
      <c r="Y354" s="93"/>
    </row>
    <row r="355" spans="20:25" x14ac:dyDescent="0.25">
      <c r="T355" s="118"/>
      <c r="V355" s="93"/>
      <c r="Y355" s="93"/>
    </row>
    <row r="356" spans="20:25" x14ac:dyDescent="0.25">
      <c r="T356" s="118"/>
      <c r="V356" s="93"/>
      <c r="Y356" s="93"/>
    </row>
    <row r="357" spans="20:25" x14ac:dyDescent="0.25">
      <c r="T357" s="118"/>
      <c r="V357" s="93"/>
      <c r="Y357" s="93"/>
    </row>
    <row r="358" spans="20:25" x14ac:dyDescent="0.25">
      <c r="T358" s="118"/>
      <c r="V358" s="93"/>
      <c r="Y358" s="93"/>
    </row>
    <row r="359" spans="20:25" x14ac:dyDescent="0.25">
      <c r="T359" s="118"/>
      <c r="V359" s="93"/>
      <c r="Y359" s="93"/>
    </row>
    <row r="360" spans="20:25" x14ac:dyDescent="0.25">
      <c r="T360" s="118"/>
      <c r="V360" s="93"/>
      <c r="Y360" s="93"/>
    </row>
    <row r="361" spans="20:25" x14ac:dyDescent="0.25">
      <c r="T361" s="118"/>
      <c r="V361" s="93"/>
      <c r="Y361" s="93"/>
    </row>
    <row r="362" spans="20:25" x14ac:dyDescent="0.25">
      <c r="T362" s="118"/>
      <c r="V362" s="93"/>
      <c r="Y362" s="93"/>
    </row>
    <row r="363" spans="20:25" x14ac:dyDescent="0.25">
      <c r="T363" s="118"/>
      <c r="V363" s="93"/>
      <c r="Y363" s="93"/>
    </row>
    <row r="364" spans="20:25" x14ac:dyDescent="0.25">
      <c r="T364" s="118"/>
      <c r="V364" s="93"/>
      <c r="Y364" s="93"/>
    </row>
    <row r="365" spans="20:25" x14ac:dyDescent="0.25">
      <c r="T365" s="118"/>
      <c r="V365" s="93"/>
      <c r="Y365" s="93"/>
    </row>
    <row r="366" spans="20:25" x14ac:dyDescent="0.25">
      <c r="T366" s="118"/>
      <c r="V366" s="93"/>
      <c r="Y366" s="93"/>
    </row>
    <row r="367" spans="20:25" x14ac:dyDescent="0.25">
      <c r="T367" s="118"/>
      <c r="V367" s="93"/>
      <c r="Y367" s="93"/>
    </row>
    <row r="368" spans="20:25" x14ac:dyDescent="0.25">
      <c r="T368" s="118"/>
      <c r="V368" s="93"/>
      <c r="Y368" s="93"/>
    </row>
    <row r="369" spans="20:25" x14ac:dyDescent="0.25">
      <c r="T369" s="118"/>
      <c r="V369" s="93"/>
      <c r="Y369" s="93"/>
    </row>
    <row r="370" spans="20:25" x14ac:dyDescent="0.25">
      <c r="T370" s="118"/>
      <c r="V370" s="93"/>
      <c r="Y370" s="93"/>
    </row>
    <row r="371" spans="20:25" x14ac:dyDescent="0.25">
      <c r="T371" s="118"/>
      <c r="V371" s="93"/>
      <c r="Y371" s="93"/>
    </row>
    <row r="372" spans="20:25" x14ac:dyDescent="0.25">
      <c r="T372" s="118"/>
      <c r="V372" s="93"/>
      <c r="Y372" s="93"/>
    </row>
    <row r="373" spans="20:25" x14ac:dyDescent="0.25">
      <c r="T373" s="118"/>
      <c r="V373" s="93"/>
      <c r="Y373" s="93"/>
    </row>
    <row r="374" spans="20:25" x14ac:dyDescent="0.25">
      <c r="T374" s="118"/>
      <c r="V374" s="93"/>
      <c r="Y374" s="93"/>
    </row>
    <row r="375" spans="20:25" x14ac:dyDescent="0.25">
      <c r="T375" s="118"/>
      <c r="V375" s="93"/>
      <c r="Y375" s="93"/>
    </row>
    <row r="376" spans="20:25" x14ac:dyDescent="0.25">
      <c r="T376" s="118"/>
      <c r="V376" s="93"/>
      <c r="Y376" s="93"/>
    </row>
    <row r="377" spans="20:25" x14ac:dyDescent="0.25">
      <c r="T377" s="118"/>
      <c r="V377" s="93"/>
      <c r="Y377" s="93"/>
    </row>
    <row r="378" spans="20:25" x14ac:dyDescent="0.25">
      <c r="T378" s="118"/>
      <c r="V378" s="93"/>
      <c r="Y378" s="93"/>
    </row>
    <row r="379" spans="20:25" x14ac:dyDescent="0.25">
      <c r="T379" s="118"/>
      <c r="V379" s="93"/>
      <c r="Y379" s="93"/>
    </row>
    <row r="380" spans="20:25" x14ac:dyDescent="0.25">
      <c r="T380" s="118"/>
      <c r="V380" s="93"/>
      <c r="Y380" s="93"/>
    </row>
    <row r="381" spans="20:25" x14ac:dyDescent="0.25">
      <c r="T381" s="118"/>
      <c r="V381" s="93"/>
      <c r="Y381" s="93"/>
    </row>
    <row r="382" spans="20:25" x14ac:dyDescent="0.25">
      <c r="T382" s="118"/>
      <c r="V382" s="93"/>
      <c r="Y382" s="93"/>
    </row>
    <row r="383" spans="20:25" x14ac:dyDescent="0.25">
      <c r="T383" s="118"/>
      <c r="V383" s="93"/>
      <c r="Y383" s="93"/>
    </row>
    <row r="384" spans="20:25" x14ac:dyDescent="0.25">
      <c r="T384" s="118"/>
      <c r="V384" s="93"/>
      <c r="Y384" s="93"/>
    </row>
    <row r="385" spans="20:25" x14ac:dyDescent="0.25">
      <c r="T385" s="118"/>
      <c r="V385" s="93"/>
      <c r="Y385" s="93"/>
    </row>
    <row r="386" spans="20:25" x14ac:dyDescent="0.25">
      <c r="T386" s="118"/>
      <c r="V386" s="93"/>
      <c r="Y386" s="93"/>
    </row>
    <row r="387" spans="20:25" x14ac:dyDescent="0.25">
      <c r="T387" s="118"/>
      <c r="V387" s="93"/>
      <c r="Y387" s="93"/>
    </row>
    <row r="388" spans="20:25" x14ac:dyDescent="0.25">
      <c r="T388" s="118"/>
      <c r="V388" s="93"/>
      <c r="Y388" s="93"/>
    </row>
    <row r="389" spans="20:25" x14ac:dyDescent="0.25">
      <c r="T389" s="118"/>
      <c r="V389" s="93"/>
      <c r="Y389" s="93"/>
    </row>
    <row r="390" spans="20:25" x14ac:dyDescent="0.25">
      <c r="T390" s="118"/>
      <c r="V390" s="93"/>
      <c r="Y390" s="93"/>
    </row>
    <row r="391" spans="20:25" x14ac:dyDescent="0.25">
      <c r="T391" s="118"/>
      <c r="V391" s="93"/>
      <c r="Y391" s="93"/>
    </row>
    <row r="392" spans="20:25" x14ac:dyDescent="0.25">
      <c r="T392" s="118"/>
      <c r="V392" s="93"/>
      <c r="Y392" s="93"/>
    </row>
    <row r="393" spans="20:25" x14ac:dyDescent="0.25">
      <c r="T393" s="118"/>
      <c r="V393" s="93"/>
      <c r="Y393" s="93"/>
    </row>
    <row r="394" spans="20:25" x14ac:dyDescent="0.25">
      <c r="T394" s="118"/>
      <c r="V394" s="93"/>
      <c r="Y394" s="93"/>
    </row>
    <row r="395" spans="20:25" x14ac:dyDescent="0.25">
      <c r="T395" s="118"/>
      <c r="V395" s="93"/>
      <c r="Y395" s="93"/>
    </row>
    <row r="396" spans="20:25" x14ac:dyDescent="0.25">
      <c r="T396" s="118"/>
      <c r="V396" s="93"/>
      <c r="Y396" s="93"/>
    </row>
    <row r="397" spans="20:25" x14ac:dyDescent="0.25">
      <c r="T397" s="118"/>
      <c r="V397" s="93"/>
      <c r="Y397" s="93"/>
    </row>
    <row r="398" spans="20:25" x14ac:dyDescent="0.25">
      <c r="T398" s="118"/>
      <c r="V398" s="93"/>
      <c r="Y398" s="93"/>
    </row>
    <row r="399" spans="20:25" x14ac:dyDescent="0.25">
      <c r="T399" s="118"/>
      <c r="V399" s="93"/>
      <c r="Y399" s="93"/>
    </row>
    <row r="400" spans="20:25" x14ac:dyDescent="0.25">
      <c r="T400" s="118"/>
      <c r="V400" s="93"/>
      <c r="Y400" s="93"/>
    </row>
    <row r="401" spans="20:25" x14ac:dyDescent="0.25">
      <c r="T401" s="118"/>
      <c r="V401" s="93"/>
      <c r="Y401" s="93"/>
    </row>
    <row r="402" spans="20:25" x14ac:dyDescent="0.25">
      <c r="T402" s="118"/>
      <c r="V402" s="93"/>
      <c r="Y402" s="93"/>
    </row>
    <row r="403" spans="20:25" x14ac:dyDescent="0.25">
      <c r="T403" s="118"/>
      <c r="V403" s="93"/>
      <c r="Y403" s="93"/>
    </row>
    <row r="404" spans="20:25" x14ac:dyDescent="0.25">
      <c r="T404" s="118"/>
      <c r="V404" s="93"/>
      <c r="Y404" s="93"/>
    </row>
    <row r="405" spans="20:25" x14ac:dyDescent="0.25">
      <c r="T405" s="118"/>
      <c r="V405" s="93"/>
      <c r="Y405" s="93"/>
    </row>
    <row r="406" spans="20:25" x14ac:dyDescent="0.25">
      <c r="T406" s="118"/>
      <c r="V406" s="93"/>
      <c r="Y406" s="93"/>
    </row>
    <row r="407" spans="20:25" x14ac:dyDescent="0.25">
      <c r="T407" s="118"/>
      <c r="V407" s="93"/>
      <c r="Y407" s="93"/>
    </row>
    <row r="408" spans="20:25" x14ac:dyDescent="0.25">
      <c r="T408" s="118"/>
      <c r="V408" s="93"/>
      <c r="Y408" s="93"/>
    </row>
    <row r="409" spans="20:25" x14ac:dyDescent="0.25">
      <c r="T409" s="118"/>
      <c r="V409" s="93"/>
      <c r="Y409" s="93"/>
    </row>
    <row r="410" spans="20:25" x14ac:dyDescent="0.25">
      <c r="T410" s="118"/>
      <c r="V410" s="93"/>
      <c r="Y410" s="93"/>
    </row>
    <row r="411" spans="20:25" x14ac:dyDescent="0.25">
      <c r="T411" s="118"/>
      <c r="V411" s="93"/>
      <c r="Y411" s="93"/>
    </row>
    <row r="412" spans="20:25" x14ac:dyDescent="0.25">
      <c r="T412" s="118"/>
      <c r="V412" s="93"/>
      <c r="Y412" s="93"/>
    </row>
    <row r="413" spans="20:25" x14ac:dyDescent="0.25">
      <c r="T413" s="118"/>
      <c r="V413" s="93"/>
      <c r="Y413" s="93"/>
    </row>
    <row r="414" spans="20:25" x14ac:dyDescent="0.25">
      <c r="T414" s="118"/>
      <c r="V414" s="93"/>
      <c r="Y414" s="93"/>
    </row>
    <row r="415" spans="20:25" x14ac:dyDescent="0.25">
      <c r="T415" s="118"/>
      <c r="V415" s="93"/>
      <c r="Y415" s="93"/>
    </row>
    <row r="416" spans="20:25" x14ac:dyDescent="0.25">
      <c r="T416" s="118"/>
      <c r="V416" s="93"/>
      <c r="Y416" s="93"/>
    </row>
    <row r="417" spans="20:25" x14ac:dyDescent="0.25">
      <c r="T417" s="118"/>
      <c r="V417" s="93"/>
      <c r="Y417" s="93"/>
    </row>
    <row r="418" spans="20:25" x14ac:dyDescent="0.25">
      <c r="T418" s="118"/>
      <c r="V418" s="93"/>
      <c r="Y418" s="93"/>
    </row>
    <row r="419" spans="20:25" x14ac:dyDescent="0.25">
      <c r="T419" s="118"/>
      <c r="V419" s="93"/>
      <c r="Y419" s="93"/>
    </row>
    <row r="420" spans="20:25" x14ac:dyDescent="0.25">
      <c r="T420" s="118"/>
      <c r="V420" s="93"/>
      <c r="Y420" s="93"/>
    </row>
    <row r="421" spans="20:25" x14ac:dyDescent="0.25">
      <c r="T421" s="118"/>
      <c r="V421" s="93"/>
      <c r="Y421" s="93"/>
    </row>
    <row r="422" spans="20:25" x14ac:dyDescent="0.25">
      <c r="T422" s="118"/>
      <c r="V422" s="93"/>
      <c r="Y422" s="93"/>
    </row>
    <row r="423" spans="20:25" x14ac:dyDescent="0.25">
      <c r="T423" s="118"/>
      <c r="V423" s="93"/>
      <c r="Y423" s="93"/>
    </row>
    <row r="424" spans="20:25" x14ac:dyDescent="0.25">
      <c r="T424" s="118"/>
      <c r="V424" s="93"/>
      <c r="Y424" s="93"/>
    </row>
    <row r="425" spans="20:25" x14ac:dyDescent="0.25">
      <c r="T425" s="118"/>
      <c r="V425" s="93"/>
      <c r="Y425" s="93"/>
    </row>
    <row r="426" spans="20:25" x14ac:dyDescent="0.25">
      <c r="T426" s="118"/>
      <c r="V426" s="93"/>
      <c r="Y426" s="93"/>
    </row>
    <row r="427" spans="20:25" x14ac:dyDescent="0.25">
      <c r="T427" s="118"/>
      <c r="V427" s="93"/>
      <c r="Y427" s="93"/>
    </row>
    <row r="428" spans="20:25" x14ac:dyDescent="0.25">
      <c r="T428" s="118"/>
      <c r="V428" s="93"/>
      <c r="Y428" s="93"/>
    </row>
    <row r="429" spans="20:25" x14ac:dyDescent="0.25">
      <c r="T429" s="118"/>
      <c r="V429" s="93"/>
      <c r="Y429" s="93"/>
    </row>
    <row r="430" spans="20:25" x14ac:dyDescent="0.25">
      <c r="T430" s="118"/>
      <c r="V430" s="93"/>
      <c r="Y430" s="93"/>
    </row>
    <row r="431" spans="20:25" x14ac:dyDescent="0.25">
      <c r="T431" s="118"/>
      <c r="V431" s="93"/>
      <c r="Y431" s="93"/>
    </row>
    <row r="432" spans="20:25" x14ac:dyDescent="0.25">
      <c r="T432" s="118"/>
      <c r="V432" s="93"/>
      <c r="Y432" s="93"/>
    </row>
    <row r="433" spans="20:25" x14ac:dyDescent="0.25">
      <c r="T433" s="118"/>
      <c r="V433" s="93"/>
      <c r="Y433" s="93"/>
    </row>
    <row r="434" spans="20:25" x14ac:dyDescent="0.25">
      <c r="T434" s="118"/>
      <c r="V434" s="93"/>
      <c r="Y434" s="93"/>
    </row>
    <row r="435" spans="20:25" x14ac:dyDescent="0.25">
      <c r="T435" s="118"/>
      <c r="V435" s="93"/>
      <c r="Y435" s="93"/>
    </row>
    <row r="436" spans="20:25" x14ac:dyDescent="0.25">
      <c r="T436" s="118"/>
      <c r="V436" s="93"/>
      <c r="Y436" s="93"/>
    </row>
    <row r="437" spans="20:25" x14ac:dyDescent="0.25">
      <c r="T437" s="118"/>
      <c r="V437" s="93"/>
      <c r="Y437" s="93"/>
    </row>
    <row r="438" spans="20:25" x14ac:dyDescent="0.25">
      <c r="T438" s="118"/>
      <c r="V438" s="93"/>
      <c r="Y438" s="93"/>
    </row>
    <row r="439" spans="20:25" x14ac:dyDescent="0.25">
      <c r="T439" s="118"/>
      <c r="V439" s="93"/>
      <c r="Y439" s="93"/>
    </row>
    <row r="440" spans="20:25" x14ac:dyDescent="0.25">
      <c r="T440" s="118"/>
      <c r="V440" s="93"/>
      <c r="Y440" s="93"/>
    </row>
    <row r="441" spans="20:25" x14ac:dyDescent="0.25">
      <c r="T441" s="118"/>
      <c r="V441" s="93"/>
      <c r="Y441" s="93"/>
    </row>
    <row r="442" spans="20:25" x14ac:dyDescent="0.25">
      <c r="T442" s="118"/>
      <c r="V442" s="93"/>
      <c r="Y442" s="93"/>
    </row>
    <row r="443" spans="20:25" x14ac:dyDescent="0.25">
      <c r="T443" s="118"/>
      <c r="V443" s="93"/>
      <c r="Y443" s="93"/>
    </row>
    <row r="444" spans="20:25" x14ac:dyDescent="0.25">
      <c r="T444" s="118"/>
      <c r="V444" s="93"/>
      <c r="Y444" s="93"/>
    </row>
    <row r="445" spans="20:25" x14ac:dyDescent="0.25">
      <c r="T445" s="118"/>
      <c r="V445" s="93"/>
      <c r="Y445" s="93"/>
    </row>
    <row r="446" spans="20:25" x14ac:dyDescent="0.25">
      <c r="T446" s="118"/>
      <c r="V446" s="93"/>
      <c r="Y446" s="93"/>
    </row>
    <row r="447" spans="20:25" x14ac:dyDescent="0.25">
      <c r="T447" s="118"/>
      <c r="V447" s="93"/>
      <c r="Y447" s="93"/>
    </row>
    <row r="448" spans="20:25" x14ac:dyDescent="0.25">
      <c r="T448" s="118"/>
      <c r="V448" s="93"/>
      <c r="Y448" s="93"/>
    </row>
    <row r="449" spans="20:25" x14ac:dyDescent="0.25">
      <c r="T449" s="118"/>
      <c r="V449" s="93"/>
      <c r="Y449" s="93"/>
    </row>
    <row r="450" spans="20:25" x14ac:dyDescent="0.25">
      <c r="T450" s="118"/>
      <c r="V450" s="93"/>
      <c r="Y450" s="93"/>
    </row>
    <row r="451" spans="20:25" x14ac:dyDescent="0.25">
      <c r="T451" s="118"/>
      <c r="V451" s="93"/>
      <c r="Y451" s="93"/>
    </row>
    <row r="452" spans="20:25" x14ac:dyDescent="0.25">
      <c r="T452" s="118"/>
      <c r="V452" s="93"/>
      <c r="Y452" s="93"/>
    </row>
    <row r="453" spans="20:25" x14ac:dyDescent="0.25">
      <c r="T453" s="118"/>
      <c r="V453" s="93"/>
      <c r="Y453" s="93"/>
    </row>
    <row r="454" spans="20:25" x14ac:dyDescent="0.25">
      <c r="T454" s="118"/>
      <c r="V454" s="93"/>
      <c r="Y454" s="93"/>
    </row>
    <row r="455" spans="20:25" x14ac:dyDescent="0.25">
      <c r="T455" s="118"/>
      <c r="V455" s="93"/>
      <c r="Y455" s="93"/>
    </row>
    <row r="456" spans="20:25" x14ac:dyDescent="0.25">
      <c r="T456" s="118"/>
      <c r="V456" s="93"/>
      <c r="Y456" s="93"/>
    </row>
    <row r="457" spans="20:25" x14ac:dyDescent="0.25">
      <c r="T457" s="118"/>
      <c r="V457" s="93"/>
      <c r="Y457" s="93"/>
    </row>
    <row r="458" spans="20:25" x14ac:dyDescent="0.25">
      <c r="T458" s="118"/>
      <c r="V458" s="93"/>
      <c r="Y458" s="93"/>
    </row>
    <row r="459" spans="20:25" x14ac:dyDescent="0.25">
      <c r="T459" s="118"/>
      <c r="V459" s="93"/>
      <c r="Y459" s="93"/>
    </row>
    <row r="460" spans="20:25" x14ac:dyDescent="0.25">
      <c r="T460" s="118"/>
      <c r="V460" s="93"/>
      <c r="Y460" s="93"/>
    </row>
    <row r="461" spans="20:25" x14ac:dyDescent="0.25">
      <c r="T461" s="118"/>
      <c r="V461" s="93"/>
      <c r="Y461" s="93"/>
    </row>
    <row r="462" spans="20:25" x14ac:dyDescent="0.25">
      <c r="T462" s="118"/>
      <c r="V462" s="93"/>
      <c r="Y462" s="93"/>
    </row>
    <row r="463" spans="20:25" x14ac:dyDescent="0.25">
      <c r="T463" s="118"/>
      <c r="V463" s="93"/>
      <c r="Y463" s="93"/>
    </row>
    <row r="464" spans="20:25" x14ac:dyDescent="0.25">
      <c r="T464" s="118"/>
      <c r="V464" s="93"/>
      <c r="Y464" s="93"/>
    </row>
    <row r="465" spans="20:25" x14ac:dyDescent="0.25">
      <c r="T465" s="118"/>
      <c r="V465" s="93"/>
      <c r="Y465" s="93"/>
    </row>
    <row r="466" spans="20:25" x14ac:dyDescent="0.25">
      <c r="T466" s="118"/>
      <c r="V466" s="93"/>
      <c r="Y466" s="93"/>
    </row>
    <row r="467" spans="20:25" x14ac:dyDescent="0.25">
      <c r="T467" s="118"/>
      <c r="V467" s="93"/>
      <c r="Y467" s="93"/>
    </row>
    <row r="468" spans="20:25" x14ac:dyDescent="0.25">
      <c r="T468" s="118"/>
      <c r="V468" s="93"/>
      <c r="Y468" s="93"/>
    </row>
    <row r="469" spans="20:25" x14ac:dyDescent="0.25">
      <c r="T469" s="118"/>
      <c r="V469" s="93"/>
      <c r="Y469" s="93"/>
    </row>
    <row r="470" spans="20:25" x14ac:dyDescent="0.25">
      <c r="T470" s="118"/>
      <c r="V470" s="93"/>
      <c r="Y470" s="93"/>
    </row>
    <row r="471" spans="20:25" x14ac:dyDescent="0.25">
      <c r="T471" s="118"/>
      <c r="V471" s="93"/>
      <c r="Y471" s="93"/>
    </row>
    <row r="472" spans="20:25" x14ac:dyDescent="0.25">
      <c r="T472" s="118"/>
      <c r="V472" s="93"/>
      <c r="Y472" s="93"/>
    </row>
    <row r="473" spans="20:25" x14ac:dyDescent="0.25">
      <c r="T473" s="118"/>
      <c r="V473" s="93"/>
      <c r="Y473" s="93"/>
    </row>
    <row r="474" spans="20:25" x14ac:dyDescent="0.25">
      <c r="T474" s="118"/>
      <c r="V474" s="93"/>
      <c r="Y474" s="93"/>
    </row>
    <row r="475" spans="20:25" x14ac:dyDescent="0.25">
      <c r="T475" s="118"/>
      <c r="V475" s="93"/>
      <c r="Y475" s="93"/>
    </row>
    <row r="476" spans="20:25" x14ac:dyDescent="0.25">
      <c r="T476" s="118"/>
      <c r="V476" s="93"/>
      <c r="Y476" s="93"/>
    </row>
    <row r="477" spans="20:25" x14ac:dyDescent="0.25">
      <c r="T477" s="118"/>
      <c r="V477" s="93"/>
      <c r="Y477" s="93"/>
    </row>
    <row r="478" spans="20:25" x14ac:dyDescent="0.25">
      <c r="T478" s="118"/>
      <c r="V478" s="93"/>
      <c r="Y478" s="93"/>
    </row>
    <row r="479" spans="20:25" x14ac:dyDescent="0.25">
      <c r="T479" s="118"/>
      <c r="V479" s="93"/>
      <c r="Y479" s="93"/>
    </row>
    <row r="480" spans="20:25" x14ac:dyDescent="0.25">
      <c r="T480" s="118"/>
      <c r="V480" s="93"/>
      <c r="Y480" s="93"/>
    </row>
    <row r="481" spans="20:25" x14ac:dyDescent="0.25">
      <c r="T481" s="118"/>
      <c r="V481" s="93"/>
      <c r="Y481" s="93"/>
    </row>
    <row r="482" spans="20:25" x14ac:dyDescent="0.25">
      <c r="T482" s="118"/>
      <c r="V482" s="93"/>
      <c r="Y482" s="93"/>
    </row>
    <row r="483" spans="20:25" x14ac:dyDescent="0.25">
      <c r="T483" s="118"/>
      <c r="V483" s="93"/>
      <c r="Y483" s="93"/>
    </row>
    <row r="484" spans="20:25" x14ac:dyDescent="0.25">
      <c r="T484" s="118"/>
      <c r="V484" s="93"/>
      <c r="Y484" s="93"/>
    </row>
    <row r="485" spans="20:25" x14ac:dyDescent="0.25">
      <c r="T485" s="118"/>
      <c r="V485" s="93"/>
      <c r="Y485" s="93"/>
    </row>
    <row r="486" spans="20:25" x14ac:dyDescent="0.25">
      <c r="T486" s="118"/>
      <c r="V486" s="93"/>
      <c r="Y486" s="93"/>
    </row>
    <row r="487" spans="20:25" x14ac:dyDescent="0.25">
      <c r="T487" s="118"/>
      <c r="V487" s="93"/>
      <c r="Y487" s="93"/>
    </row>
    <row r="488" spans="20:25" x14ac:dyDescent="0.25">
      <c r="T488" s="118"/>
      <c r="V488" s="93"/>
      <c r="Y488" s="93"/>
    </row>
    <row r="489" spans="20:25" x14ac:dyDescent="0.25">
      <c r="T489" s="118"/>
      <c r="V489" s="93"/>
      <c r="Y489" s="93"/>
    </row>
    <row r="490" spans="20:25" x14ac:dyDescent="0.25">
      <c r="T490" s="118"/>
      <c r="V490" s="93"/>
      <c r="Y490" s="93"/>
    </row>
    <row r="491" spans="20:25" x14ac:dyDescent="0.25">
      <c r="T491" s="118"/>
      <c r="V491" s="93"/>
      <c r="Y491" s="93"/>
    </row>
    <row r="492" spans="20:25" x14ac:dyDescent="0.25">
      <c r="T492" s="118"/>
      <c r="V492" s="93"/>
      <c r="Y492" s="93"/>
    </row>
    <row r="493" spans="20:25" x14ac:dyDescent="0.25">
      <c r="T493" s="118"/>
      <c r="V493" s="93"/>
      <c r="Y493" s="93"/>
    </row>
    <row r="494" spans="20:25" x14ac:dyDescent="0.25">
      <c r="T494" s="118"/>
      <c r="V494" s="93"/>
      <c r="Y494" s="93"/>
    </row>
    <row r="495" spans="20:25" x14ac:dyDescent="0.25">
      <c r="T495" s="118"/>
      <c r="V495" s="93"/>
      <c r="Y495" s="93"/>
    </row>
    <row r="496" spans="20:25" x14ac:dyDescent="0.25">
      <c r="T496" s="118"/>
      <c r="V496" s="93"/>
      <c r="Y496" s="93"/>
    </row>
    <row r="497" spans="20:25" x14ac:dyDescent="0.25">
      <c r="T497" s="118"/>
      <c r="V497" s="93"/>
      <c r="Y497" s="93"/>
    </row>
    <row r="498" spans="20:25" x14ac:dyDescent="0.25">
      <c r="T498" s="118"/>
      <c r="V498" s="93"/>
      <c r="Y498" s="93"/>
    </row>
    <row r="499" spans="20:25" x14ac:dyDescent="0.25">
      <c r="T499" s="118"/>
      <c r="V499" s="93"/>
      <c r="Y499" s="93"/>
    </row>
    <row r="500" spans="20:25" x14ac:dyDescent="0.25">
      <c r="T500" s="118"/>
      <c r="V500" s="93"/>
      <c r="Y500" s="93"/>
    </row>
    <row r="501" spans="20:25" x14ac:dyDescent="0.25">
      <c r="T501" s="118"/>
      <c r="V501" s="93"/>
      <c r="Y501" s="93"/>
    </row>
    <row r="502" spans="20:25" x14ac:dyDescent="0.25">
      <c r="T502" s="118"/>
      <c r="V502" s="93"/>
      <c r="Y502" s="93"/>
    </row>
    <row r="503" spans="20:25" x14ac:dyDescent="0.25">
      <c r="T503" s="118"/>
      <c r="V503" s="93"/>
      <c r="Y503" s="93"/>
    </row>
    <row r="504" spans="20:25" x14ac:dyDescent="0.25">
      <c r="T504" s="118"/>
      <c r="V504" s="93"/>
      <c r="Y504" s="93"/>
    </row>
    <row r="505" spans="20:25" x14ac:dyDescent="0.25">
      <c r="T505" s="118"/>
      <c r="V505" s="93"/>
      <c r="Y505" s="93"/>
    </row>
    <row r="506" spans="20:25" x14ac:dyDescent="0.25">
      <c r="T506" s="118"/>
      <c r="V506" s="93"/>
      <c r="Y506" s="93"/>
    </row>
    <row r="507" spans="20:25" x14ac:dyDescent="0.25">
      <c r="T507" s="118"/>
      <c r="V507" s="93"/>
      <c r="Y507" s="93"/>
    </row>
    <row r="508" spans="20:25" x14ac:dyDescent="0.25">
      <c r="T508" s="118"/>
      <c r="V508" s="93"/>
      <c r="Y508" s="93"/>
    </row>
    <row r="509" spans="20:25" x14ac:dyDescent="0.25">
      <c r="T509" s="118"/>
      <c r="V509" s="93"/>
      <c r="Y509" s="93"/>
    </row>
    <row r="510" spans="20:25" x14ac:dyDescent="0.25">
      <c r="T510" s="118"/>
      <c r="V510" s="93"/>
      <c r="Y510" s="93"/>
    </row>
    <row r="511" spans="20:25" x14ac:dyDescent="0.25">
      <c r="T511" s="118"/>
      <c r="V511" s="93"/>
      <c r="Y511" s="93"/>
    </row>
    <row r="512" spans="20:25" x14ac:dyDescent="0.25">
      <c r="T512" s="118"/>
      <c r="V512" s="93"/>
      <c r="Y512" s="93"/>
    </row>
    <row r="513" spans="20:25" x14ac:dyDescent="0.25">
      <c r="T513" s="118"/>
      <c r="V513" s="93"/>
      <c r="Y513" s="93"/>
    </row>
    <row r="514" spans="20:25" x14ac:dyDescent="0.25">
      <c r="T514" s="118"/>
      <c r="V514" s="93"/>
      <c r="Y514" s="93"/>
    </row>
    <row r="515" spans="20:25" x14ac:dyDescent="0.25">
      <c r="T515" s="118"/>
      <c r="V515" s="93"/>
      <c r="Y515" s="93"/>
    </row>
    <row r="516" spans="20:25" x14ac:dyDescent="0.25">
      <c r="T516" s="118"/>
      <c r="V516" s="93"/>
      <c r="Y516" s="93"/>
    </row>
    <row r="517" spans="20:25" x14ac:dyDescent="0.25">
      <c r="T517" s="118"/>
      <c r="V517" s="93"/>
      <c r="Y517" s="93"/>
    </row>
    <row r="518" spans="20:25" x14ac:dyDescent="0.25">
      <c r="T518" s="118"/>
      <c r="V518" s="93"/>
      <c r="Y518" s="93"/>
    </row>
    <row r="519" spans="20:25" x14ac:dyDescent="0.25">
      <c r="T519" s="118"/>
      <c r="V519" s="93"/>
      <c r="Y519" s="93"/>
    </row>
    <row r="520" spans="20:25" x14ac:dyDescent="0.25">
      <c r="T520" s="118"/>
      <c r="V520" s="93"/>
      <c r="Y520" s="93"/>
    </row>
    <row r="521" spans="20:25" x14ac:dyDescent="0.25">
      <c r="T521" s="118"/>
      <c r="V521" s="93"/>
      <c r="Y521" s="93"/>
    </row>
    <row r="522" spans="20:25" x14ac:dyDescent="0.25">
      <c r="T522" s="118"/>
      <c r="V522" s="93"/>
      <c r="Y522" s="93"/>
    </row>
    <row r="523" spans="20:25" x14ac:dyDescent="0.25">
      <c r="T523" s="118"/>
      <c r="V523" s="93"/>
      <c r="Y523" s="93"/>
    </row>
    <row r="524" spans="20:25" x14ac:dyDescent="0.25">
      <c r="T524" s="118"/>
      <c r="V524" s="93"/>
      <c r="Y524" s="93"/>
    </row>
    <row r="525" spans="20:25" x14ac:dyDescent="0.25">
      <c r="T525" s="118"/>
      <c r="V525" s="93"/>
      <c r="Y525" s="93"/>
    </row>
    <row r="526" spans="20:25" x14ac:dyDescent="0.25">
      <c r="T526" s="118"/>
      <c r="V526" s="93"/>
      <c r="Y526" s="93"/>
    </row>
    <row r="527" spans="20:25" x14ac:dyDescent="0.25">
      <c r="T527" s="118"/>
      <c r="V527" s="93"/>
      <c r="Y527" s="93"/>
    </row>
    <row r="528" spans="20:25" x14ac:dyDescent="0.25">
      <c r="T528" s="118"/>
      <c r="V528" s="93"/>
      <c r="Y528" s="93"/>
    </row>
    <row r="529" spans="20:25" x14ac:dyDescent="0.25">
      <c r="T529" s="118"/>
      <c r="V529" s="93"/>
      <c r="Y529" s="93"/>
    </row>
    <row r="530" spans="20:25" x14ac:dyDescent="0.25">
      <c r="T530" s="118"/>
      <c r="V530" s="93"/>
      <c r="Y530" s="93"/>
    </row>
    <row r="531" spans="20:25" x14ac:dyDescent="0.25">
      <c r="T531" s="118"/>
      <c r="V531" s="93"/>
      <c r="Y531" s="93"/>
    </row>
    <row r="532" spans="20:25" x14ac:dyDescent="0.25">
      <c r="T532" s="118"/>
      <c r="V532" s="93"/>
      <c r="Y532" s="93"/>
    </row>
    <row r="533" spans="20:25" x14ac:dyDescent="0.25">
      <c r="T533" s="118"/>
      <c r="V533" s="93"/>
      <c r="Y533" s="93"/>
    </row>
    <row r="534" spans="20:25" x14ac:dyDescent="0.25">
      <c r="T534" s="118"/>
      <c r="V534" s="93"/>
      <c r="Y534" s="93"/>
    </row>
    <row r="535" spans="20:25" x14ac:dyDescent="0.25">
      <c r="T535" s="118"/>
      <c r="V535" s="93"/>
      <c r="Y535" s="93"/>
    </row>
    <row r="536" spans="20:25" x14ac:dyDescent="0.25">
      <c r="T536" s="118"/>
      <c r="V536" s="93"/>
      <c r="Y536" s="93"/>
    </row>
    <row r="537" spans="20:25" x14ac:dyDescent="0.25">
      <c r="T537" s="118"/>
      <c r="V537" s="93"/>
      <c r="Y537" s="93"/>
    </row>
    <row r="538" spans="20:25" x14ac:dyDescent="0.25">
      <c r="T538" s="118"/>
      <c r="V538" s="93"/>
      <c r="Y538" s="93"/>
    </row>
    <row r="539" spans="20:25" x14ac:dyDescent="0.25">
      <c r="T539" s="118"/>
      <c r="V539" s="93"/>
      <c r="Y539" s="93"/>
    </row>
    <row r="540" spans="20:25" x14ac:dyDescent="0.25">
      <c r="T540" s="118"/>
      <c r="V540" s="93"/>
      <c r="Y540" s="93"/>
    </row>
    <row r="541" spans="20:25" x14ac:dyDescent="0.25">
      <c r="T541" s="118"/>
      <c r="V541" s="93"/>
      <c r="Y541" s="93"/>
    </row>
    <row r="542" spans="20:25" x14ac:dyDescent="0.25">
      <c r="T542" s="118"/>
      <c r="V542" s="93"/>
      <c r="Y542" s="93"/>
    </row>
    <row r="543" spans="20:25" x14ac:dyDescent="0.25">
      <c r="T543" s="118"/>
      <c r="V543" s="93"/>
      <c r="Y543" s="93"/>
    </row>
    <row r="544" spans="20:25" x14ac:dyDescent="0.25">
      <c r="T544" s="118"/>
      <c r="V544" s="93"/>
      <c r="Y544" s="93"/>
    </row>
    <row r="545" spans="20:25" x14ac:dyDescent="0.25">
      <c r="T545" s="118"/>
      <c r="V545" s="93"/>
      <c r="Y545" s="93"/>
    </row>
    <row r="546" spans="20:25" x14ac:dyDescent="0.25">
      <c r="T546" s="118"/>
      <c r="V546" s="93"/>
      <c r="Y546" s="93"/>
    </row>
    <row r="547" spans="20:25" x14ac:dyDescent="0.25">
      <c r="T547" s="118"/>
      <c r="V547" s="93"/>
      <c r="Y547" s="93"/>
    </row>
    <row r="548" spans="20:25" x14ac:dyDescent="0.25">
      <c r="T548" s="118"/>
      <c r="V548" s="93"/>
      <c r="Y548" s="93"/>
    </row>
    <row r="549" spans="20:25" x14ac:dyDescent="0.25">
      <c r="T549" s="118"/>
      <c r="V549" s="93"/>
      <c r="Y549" s="93"/>
    </row>
    <row r="550" spans="20:25" x14ac:dyDescent="0.25">
      <c r="T550" s="118"/>
      <c r="V550" s="93"/>
      <c r="Y550" s="93"/>
    </row>
    <row r="551" spans="20:25" x14ac:dyDescent="0.25">
      <c r="T551" s="118"/>
      <c r="V551" s="93"/>
      <c r="Y551" s="93"/>
    </row>
    <row r="552" spans="20:25" x14ac:dyDescent="0.25">
      <c r="T552" s="118"/>
      <c r="V552" s="93"/>
      <c r="Y552" s="93"/>
    </row>
    <row r="553" spans="20:25" x14ac:dyDescent="0.25">
      <c r="T553" s="118"/>
      <c r="V553" s="93"/>
      <c r="Y553" s="93"/>
    </row>
    <row r="554" spans="20:25" x14ac:dyDescent="0.25">
      <c r="T554" s="118"/>
      <c r="V554" s="93"/>
      <c r="Y554" s="93"/>
    </row>
    <row r="555" spans="20:25" x14ac:dyDescent="0.25">
      <c r="T555" s="118"/>
      <c r="V555" s="93"/>
      <c r="Y555" s="93"/>
    </row>
    <row r="556" spans="20:25" x14ac:dyDescent="0.25">
      <c r="T556" s="118"/>
      <c r="V556" s="93"/>
      <c r="Y556" s="93"/>
    </row>
    <row r="557" spans="20:25" x14ac:dyDescent="0.25">
      <c r="T557" s="118"/>
      <c r="V557" s="93"/>
      <c r="Y557" s="93"/>
    </row>
    <row r="558" spans="20:25" x14ac:dyDescent="0.25">
      <c r="T558" s="118"/>
      <c r="V558" s="93"/>
      <c r="Y558" s="93"/>
    </row>
    <row r="559" spans="20:25" x14ac:dyDescent="0.25">
      <c r="T559" s="118"/>
      <c r="V559" s="93"/>
      <c r="Y559" s="93"/>
    </row>
    <row r="560" spans="20:25" x14ac:dyDescent="0.25">
      <c r="T560" s="118"/>
      <c r="V560" s="93"/>
      <c r="Y560" s="93"/>
    </row>
    <row r="561" spans="20:25" x14ac:dyDescent="0.25">
      <c r="T561" s="118"/>
      <c r="V561" s="93"/>
      <c r="Y561" s="93"/>
    </row>
    <row r="562" spans="20:25" x14ac:dyDescent="0.25">
      <c r="T562" s="118"/>
      <c r="V562" s="93"/>
      <c r="Y562" s="93"/>
    </row>
    <row r="563" spans="20:25" x14ac:dyDescent="0.25">
      <c r="T563" s="118"/>
      <c r="V563" s="93"/>
      <c r="Y563" s="93"/>
    </row>
    <row r="564" spans="20:25" x14ac:dyDescent="0.25">
      <c r="T564" s="118"/>
      <c r="V564" s="93"/>
      <c r="Y564" s="93"/>
    </row>
    <row r="565" spans="20:25" x14ac:dyDescent="0.25">
      <c r="T565" s="118"/>
      <c r="V565" s="93"/>
      <c r="Y565" s="93"/>
    </row>
    <row r="566" spans="20:25" x14ac:dyDescent="0.25">
      <c r="T566" s="118"/>
      <c r="V566" s="93"/>
      <c r="Y566" s="93"/>
    </row>
    <row r="567" spans="20:25" x14ac:dyDescent="0.25">
      <c r="T567" s="118"/>
      <c r="V567" s="93"/>
      <c r="Y567" s="93"/>
    </row>
    <row r="568" spans="20:25" x14ac:dyDescent="0.25">
      <c r="T568" s="118"/>
      <c r="V568" s="93"/>
      <c r="Y568" s="93"/>
    </row>
    <row r="569" spans="20:25" x14ac:dyDescent="0.25">
      <c r="T569" s="118"/>
      <c r="V569" s="93"/>
      <c r="Y569" s="93"/>
    </row>
    <row r="570" spans="20:25" x14ac:dyDescent="0.25">
      <c r="T570" s="118"/>
      <c r="V570" s="93"/>
      <c r="Y570" s="93"/>
    </row>
  </sheetData>
  <sheetProtection password="FFFD" sheet="1" formatCells="0" formatColumns="0" formatRows="0" insertColumns="0" insertRows="0" insertHyperlinks="0" deleteColumns="0" deleteRows="0" selectLockedCells="1"/>
  <mergeCells count="61">
    <mergeCell ref="C9:C10"/>
    <mergeCell ref="D9:D10"/>
    <mergeCell ref="Q80:Q87"/>
    <mergeCell ref="Q9:Q10"/>
    <mergeCell ref="R9:R10"/>
    <mergeCell ref="E9:E10"/>
    <mergeCell ref="F9:O9"/>
    <mergeCell ref="F63:O63"/>
    <mergeCell ref="Q63:AD63"/>
    <mergeCell ref="F64:O64"/>
    <mergeCell ref="U9:AD9"/>
    <mergeCell ref="S9:S10"/>
    <mergeCell ref="T9:T10"/>
    <mergeCell ref="B61:C61"/>
    <mergeCell ref="Q64:Q70"/>
    <mergeCell ref="S64:S70"/>
    <mergeCell ref="C4:H4"/>
    <mergeCell ref="I4:O4"/>
    <mergeCell ref="P4:AD4"/>
    <mergeCell ref="D5:H5"/>
    <mergeCell ref="I5:K5"/>
    <mergeCell ref="L5:O5"/>
    <mergeCell ref="P5:AD7"/>
    <mergeCell ref="D6:H6"/>
    <mergeCell ref="I6:K6"/>
    <mergeCell ref="L6:O6"/>
    <mergeCell ref="D7:H7"/>
    <mergeCell ref="I7:K7"/>
    <mergeCell ref="L7:O7"/>
    <mergeCell ref="E64:E70"/>
    <mergeCell ref="D64:D70"/>
    <mergeCell ref="F69:O69"/>
    <mergeCell ref="F70:O70"/>
    <mergeCell ref="F71:O71"/>
    <mergeCell ref="Q71:AD71"/>
    <mergeCell ref="U64:AD70"/>
    <mergeCell ref="F66:O66"/>
    <mergeCell ref="F67:O67"/>
    <mergeCell ref="F68:O68"/>
    <mergeCell ref="F65:O65"/>
    <mergeCell ref="U80:AD87"/>
    <mergeCell ref="F81:O81"/>
    <mergeCell ref="F82:O82"/>
    <mergeCell ref="F83:O83"/>
    <mergeCell ref="F78:O78"/>
    <mergeCell ref="F79:O79"/>
    <mergeCell ref="Q79:AD79"/>
    <mergeCell ref="F80:O80"/>
    <mergeCell ref="U72:AD78"/>
    <mergeCell ref="F75:O75"/>
    <mergeCell ref="F76:O76"/>
    <mergeCell ref="F77:O77"/>
    <mergeCell ref="F72:O72"/>
    <mergeCell ref="F73:O73"/>
    <mergeCell ref="F74:O74"/>
    <mergeCell ref="Q72:Q78"/>
    <mergeCell ref="F87:O87"/>
    <mergeCell ref="B89:C89"/>
    <mergeCell ref="F84:O84"/>
    <mergeCell ref="F85:O85"/>
    <mergeCell ref="F86:O86"/>
  </mergeCells>
  <conditionalFormatting sqref="R34">
    <cfRule type="expression" dxfId="29" priority="4">
      <formula>$R$34=0</formula>
    </cfRule>
  </conditionalFormatting>
  <conditionalFormatting sqref="S11:S13">
    <cfRule type="cellIs" dxfId="28" priority="17" stopIfTrue="1" operator="notBetween">
      <formula>0</formula>
      <formula>999999999</formula>
    </cfRule>
  </conditionalFormatting>
  <conditionalFormatting sqref="S15:S19">
    <cfRule type="cellIs" dxfId="27" priority="15" stopIfTrue="1" operator="notBetween">
      <formula>0</formula>
      <formula>999999999</formula>
    </cfRule>
  </conditionalFormatting>
  <conditionalFormatting sqref="S21:S32">
    <cfRule type="cellIs" dxfId="26" priority="13" stopIfTrue="1" operator="notBetween">
      <formula>0</formula>
      <formula>999999999</formula>
    </cfRule>
  </conditionalFormatting>
  <conditionalFormatting sqref="S34:S47">
    <cfRule type="cellIs" dxfId="25" priority="5" stopIfTrue="1" operator="notBetween">
      <formula>0</formula>
      <formula>999999999</formula>
    </cfRule>
  </conditionalFormatting>
  <conditionalFormatting sqref="S49:S60">
    <cfRule type="cellIs" dxfId="24" priority="10" stopIfTrue="1" operator="notBetween">
      <formula>0</formula>
      <formula>999999999</formula>
    </cfRule>
  </conditionalFormatting>
  <conditionalFormatting sqref="S72:S78">
    <cfRule type="cellIs" dxfId="23" priority="2" stopIfTrue="1" operator="notBetween">
      <formula>0</formula>
      <formula>999999999</formula>
    </cfRule>
  </conditionalFormatting>
  <conditionalFormatting sqref="S80:S88">
    <cfRule type="cellIs" dxfId="22" priority="1" stopIfTrue="1" operator="notBetween">
      <formula>0</formula>
      <formula>999999999</formula>
    </cfRule>
  </conditionalFormatting>
  <conditionalFormatting sqref="S91:S98">
    <cfRule type="cellIs" dxfId="21" priority="7" stopIfTrue="1" operator="notBetween">
      <formula>0</formula>
      <formula>999999999</formula>
    </cfRule>
  </conditionalFormatting>
  <conditionalFormatting sqref="U34:AD34">
    <cfRule type="expression" dxfId="20" priority="3">
      <formula>U$34=0</formula>
    </cfRule>
  </conditionalFormatting>
  <pageMargins left="0.7" right="0.7" top="0.78740157499999996" bottom="0.78740157499999996"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570"/>
  <sheetViews>
    <sheetView topLeftCell="A18" zoomScale="85" zoomScaleNormal="85" workbookViewId="0">
      <pane xSplit="3" topLeftCell="H1" activePane="topRight" state="frozen"/>
      <selection activeCell="A23" sqref="A23"/>
      <selection pane="topRight" activeCell="R25" sqref="R25"/>
    </sheetView>
  </sheetViews>
  <sheetFormatPr baseColWidth="10" defaultColWidth="11.42578125" defaultRowHeight="15" x14ac:dyDescent="0.25"/>
  <cols>
    <col min="1" max="2" width="3.7109375" style="45" customWidth="1"/>
    <col min="3" max="3" width="58.7109375" style="45" customWidth="1"/>
    <col min="4" max="5" width="10.42578125" style="92" customWidth="1"/>
    <col min="6" max="15" width="8.85546875" style="93" customWidth="1"/>
    <col min="16" max="16" width="2.28515625" style="94" customWidth="1"/>
    <col min="17" max="19" width="10.42578125" style="93" customWidth="1"/>
    <col min="20" max="20" width="28.85546875" style="124" customWidth="1"/>
    <col min="21" max="21" width="9" style="93" customWidth="1"/>
    <col min="22" max="22" width="9" style="116" customWidth="1"/>
    <col min="23" max="24" width="9" style="93" customWidth="1"/>
    <col min="25" max="25" width="9" style="116" customWidth="1"/>
    <col min="26" max="27" width="9" style="93" customWidth="1"/>
    <col min="28" max="30" width="9" style="45" customWidth="1"/>
    <col min="31" max="31" width="2.42578125" style="45" customWidth="1"/>
    <col min="32" max="32" width="40.7109375" style="45" customWidth="1"/>
    <col min="33" max="33" width="48.28515625" style="45" customWidth="1"/>
    <col min="34" max="34" width="3.7109375" style="45" customWidth="1"/>
    <col min="35" max="16384" width="11.42578125" style="45"/>
  </cols>
  <sheetData>
    <row r="1" spans="1:35" ht="13.15" hidden="1" customHeight="1" x14ac:dyDescent="0.25">
      <c r="T1" s="118"/>
      <c r="V1" s="93"/>
      <c r="Y1" s="93"/>
    </row>
    <row r="2" spans="1:35" ht="13.15" customHeight="1" x14ac:dyDescent="0.25">
      <c r="F2" s="92"/>
      <c r="G2" s="92"/>
      <c r="H2" s="92"/>
      <c r="I2" s="92"/>
      <c r="J2" s="92"/>
      <c r="K2" s="92"/>
      <c r="L2" s="92"/>
      <c r="M2" s="92"/>
      <c r="N2" s="92"/>
      <c r="O2" s="92"/>
      <c r="P2" s="92"/>
      <c r="Q2" s="92"/>
      <c r="R2" s="92"/>
      <c r="T2" s="118"/>
      <c r="V2" s="93"/>
      <c r="Y2" s="93"/>
    </row>
    <row r="3" spans="1:35" ht="13.15" customHeight="1" x14ac:dyDescent="0.25">
      <c r="B3" s="95"/>
      <c r="C3" s="96"/>
      <c r="D3" s="97"/>
      <c r="E3" s="97"/>
      <c r="F3" s="98"/>
      <c r="G3" s="98"/>
      <c r="H3" s="98"/>
      <c r="I3" s="98"/>
      <c r="J3" s="98"/>
      <c r="K3" s="98"/>
      <c r="L3" s="98"/>
      <c r="M3" s="98"/>
      <c r="N3" s="98"/>
      <c r="O3" s="98"/>
      <c r="P3" s="98"/>
      <c r="Q3" s="98"/>
      <c r="R3" s="98"/>
      <c r="S3" s="98"/>
      <c r="T3" s="119"/>
      <c r="U3" s="98"/>
      <c r="V3" s="98"/>
      <c r="W3" s="98"/>
      <c r="X3" s="98"/>
      <c r="Y3" s="98"/>
      <c r="Z3" s="98"/>
      <c r="AA3" s="98"/>
      <c r="AB3" s="98"/>
      <c r="AC3" s="98"/>
      <c r="AD3" s="98"/>
      <c r="AE3" s="99"/>
    </row>
    <row r="4" spans="1:35" ht="24.75" customHeight="1" x14ac:dyDescent="0.25">
      <c r="B4" s="89"/>
      <c r="C4" s="262" t="s">
        <v>89</v>
      </c>
      <c r="D4" s="262"/>
      <c r="E4" s="262"/>
      <c r="F4" s="262"/>
      <c r="G4" s="262"/>
      <c r="H4" s="262"/>
      <c r="I4" s="262" t="s">
        <v>94</v>
      </c>
      <c r="J4" s="262"/>
      <c r="K4" s="262"/>
      <c r="L4" s="262"/>
      <c r="M4" s="262"/>
      <c r="N4" s="262"/>
      <c r="O4" s="262"/>
      <c r="P4" s="180"/>
      <c r="Q4" s="180"/>
      <c r="R4" s="180"/>
      <c r="S4" s="180"/>
      <c r="T4" s="180"/>
      <c r="U4" s="180"/>
      <c r="V4" s="180"/>
      <c r="W4" s="180"/>
      <c r="X4" s="180"/>
      <c r="Y4" s="180"/>
      <c r="Z4" s="180"/>
      <c r="AA4" s="180"/>
      <c r="AB4" s="180"/>
      <c r="AC4" s="180"/>
      <c r="AD4" s="180"/>
      <c r="AE4" s="31"/>
    </row>
    <row r="5" spans="1:35" s="117" customFormat="1" ht="23.25" customHeight="1" x14ac:dyDescent="0.25">
      <c r="B5" s="89"/>
      <c r="C5" s="58" t="s">
        <v>90</v>
      </c>
      <c r="D5" s="282">
        <f>L5</f>
        <v>45292</v>
      </c>
      <c r="E5" s="283"/>
      <c r="F5" s="283"/>
      <c r="G5" s="283"/>
      <c r="H5" s="284"/>
      <c r="I5" s="287" t="s">
        <v>12</v>
      </c>
      <c r="J5" s="287"/>
      <c r="K5" s="287"/>
      <c r="L5" s="288">
        <f>IF('Overview IB'!D9="","",'Overview IB'!D9)</f>
        <v>45292</v>
      </c>
      <c r="M5" s="288"/>
      <c r="N5" s="288"/>
      <c r="O5" s="288"/>
      <c r="P5" s="280"/>
      <c r="Q5" s="280"/>
      <c r="R5" s="280"/>
      <c r="S5" s="280"/>
      <c r="T5" s="280"/>
      <c r="U5" s="280"/>
      <c r="V5" s="280"/>
      <c r="W5" s="280"/>
      <c r="X5" s="280"/>
      <c r="Y5" s="280"/>
      <c r="Z5" s="280"/>
      <c r="AA5" s="280"/>
      <c r="AB5" s="280"/>
      <c r="AC5" s="280"/>
      <c r="AD5" s="280"/>
      <c r="AE5" s="31"/>
      <c r="AF5" s="45"/>
      <c r="AG5" s="45"/>
      <c r="AH5" s="45"/>
      <c r="AI5" s="45"/>
    </row>
    <row r="6" spans="1:35" s="117" customFormat="1" ht="18.75" customHeight="1" x14ac:dyDescent="0.25">
      <c r="B6" s="89"/>
      <c r="C6" s="58" t="s">
        <v>91</v>
      </c>
      <c r="D6" s="285">
        <v>45838</v>
      </c>
      <c r="E6" s="285"/>
      <c r="F6" s="285"/>
      <c r="G6" s="285"/>
      <c r="H6" s="285"/>
      <c r="I6" s="287" t="s">
        <v>13</v>
      </c>
      <c r="J6" s="287"/>
      <c r="K6" s="287"/>
      <c r="L6" s="288">
        <f>IF('Overview IB'!D10="","",'Overview IB'!D10)</f>
        <v>46022</v>
      </c>
      <c r="M6" s="288"/>
      <c r="N6" s="288"/>
      <c r="O6" s="288"/>
      <c r="P6" s="280"/>
      <c r="Q6" s="280"/>
      <c r="R6" s="280"/>
      <c r="S6" s="280"/>
      <c r="T6" s="280"/>
      <c r="U6" s="280"/>
      <c r="V6" s="280"/>
      <c r="W6" s="280"/>
      <c r="X6" s="280"/>
      <c r="Y6" s="280"/>
      <c r="Z6" s="280"/>
      <c r="AA6" s="280"/>
      <c r="AB6" s="280"/>
      <c r="AC6" s="280"/>
      <c r="AD6" s="280"/>
      <c r="AE6" s="31"/>
      <c r="AF6" s="45"/>
      <c r="AG6" s="45"/>
      <c r="AH6" s="45"/>
      <c r="AI6" s="45"/>
    </row>
    <row r="7" spans="1:35" s="117" customFormat="1" ht="18.75" customHeight="1" x14ac:dyDescent="0.25">
      <c r="B7" s="89"/>
      <c r="C7" s="58" t="s">
        <v>28</v>
      </c>
      <c r="D7" s="286">
        <f>IF(OR(D5="",L7="befüllt sich automatisch"),0,((D6-D5)/30)/L7)</f>
        <v>0.74794520547945209</v>
      </c>
      <c r="E7" s="286"/>
      <c r="F7" s="286"/>
      <c r="G7" s="286"/>
      <c r="H7" s="286"/>
      <c r="I7" s="287" t="s">
        <v>60</v>
      </c>
      <c r="J7" s="287"/>
      <c r="K7" s="287"/>
      <c r="L7" s="289">
        <f>IF(IF(OR(L6="",L5=""),"",(L6-L5)/30)="","befüllt sich automatisch",IF(OR(L6="",L5=""),"",(L6-L5)/30))</f>
        <v>24.333333333333332</v>
      </c>
      <c r="M7" s="289"/>
      <c r="N7" s="289"/>
      <c r="O7" s="289"/>
      <c r="P7" s="280"/>
      <c r="Q7" s="280"/>
      <c r="R7" s="280"/>
      <c r="S7" s="280"/>
      <c r="T7" s="280"/>
      <c r="U7" s="280"/>
      <c r="V7" s="280"/>
      <c r="W7" s="280"/>
      <c r="X7" s="280"/>
      <c r="Y7" s="280"/>
      <c r="Z7" s="280"/>
      <c r="AA7" s="280"/>
      <c r="AB7" s="280"/>
      <c r="AC7" s="280"/>
      <c r="AD7" s="280"/>
      <c r="AE7" s="31"/>
      <c r="AF7" s="45"/>
      <c r="AG7" s="45"/>
      <c r="AH7" s="45"/>
      <c r="AI7" s="45"/>
    </row>
    <row r="8" spans="1:35" ht="12" customHeight="1" x14ac:dyDescent="0.25">
      <c r="A8" s="88"/>
      <c r="B8" s="89"/>
      <c r="C8" s="100"/>
      <c r="D8" s="120"/>
      <c r="E8" s="120"/>
      <c r="F8" s="101"/>
      <c r="G8" s="101"/>
      <c r="H8" s="101"/>
      <c r="I8" s="90"/>
      <c r="J8" s="90"/>
      <c r="K8" s="90"/>
      <c r="L8" s="90"/>
      <c r="M8" s="90"/>
      <c r="N8" s="90"/>
      <c r="O8" s="90"/>
      <c r="P8" s="90"/>
      <c r="Q8" s="90"/>
      <c r="R8" s="90"/>
      <c r="S8" s="90"/>
      <c r="T8" s="120"/>
      <c r="U8" s="100"/>
      <c r="V8" s="100"/>
      <c r="W8" s="100"/>
      <c r="X8" s="100"/>
      <c r="Y8" s="100"/>
      <c r="Z8" s="100"/>
      <c r="AA8" s="100"/>
      <c r="AB8" s="100"/>
      <c r="AC8" s="100"/>
      <c r="AD8" s="100"/>
      <c r="AE8" s="102"/>
    </row>
    <row r="9" spans="1:35" ht="28.5" customHeight="1" x14ac:dyDescent="0.25">
      <c r="A9" s="88"/>
      <c r="B9" s="89"/>
      <c r="C9" s="262" t="s">
        <v>34</v>
      </c>
      <c r="D9" s="180" t="s">
        <v>108</v>
      </c>
      <c r="E9" s="180" t="s">
        <v>126</v>
      </c>
      <c r="F9" s="183" t="s">
        <v>119</v>
      </c>
      <c r="G9" s="184"/>
      <c r="H9" s="184"/>
      <c r="I9" s="184"/>
      <c r="J9" s="184"/>
      <c r="K9" s="184"/>
      <c r="L9" s="184"/>
      <c r="M9" s="184"/>
      <c r="N9" s="184"/>
      <c r="O9" s="185"/>
      <c r="P9" s="90"/>
      <c r="Q9" s="180" t="s">
        <v>120</v>
      </c>
      <c r="R9" s="180" t="s">
        <v>123</v>
      </c>
      <c r="S9" s="180" t="s">
        <v>8</v>
      </c>
      <c r="T9" s="180" t="s">
        <v>122</v>
      </c>
      <c r="U9" s="281" t="s">
        <v>121</v>
      </c>
      <c r="V9" s="281"/>
      <c r="W9" s="281"/>
      <c r="X9" s="281"/>
      <c r="Y9" s="281"/>
      <c r="Z9" s="281"/>
      <c r="AA9" s="281"/>
      <c r="AB9" s="281"/>
      <c r="AC9" s="281"/>
      <c r="AD9" s="281"/>
      <c r="AE9" s="31"/>
    </row>
    <row r="10" spans="1:35" s="88" customFormat="1" ht="33" customHeight="1" x14ac:dyDescent="0.25">
      <c r="B10" s="89"/>
      <c r="C10" s="262"/>
      <c r="D10" s="180"/>
      <c r="E10" s="180"/>
      <c r="F10" s="86" t="s">
        <v>129</v>
      </c>
      <c r="G10" s="86" t="s">
        <v>130</v>
      </c>
      <c r="H10" s="86" t="s">
        <v>131</v>
      </c>
      <c r="I10" s="86" t="s">
        <v>132</v>
      </c>
      <c r="J10" s="86" t="s">
        <v>133</v>
      </c>
      <c r="K10" s="86" t="s">
        <v>134</v>
      </c>
      <c r="L10" s="86" t="s">
        <v>135</v>
      </c>
      <c r="M10" s="86" t="s">
        <v>136</v>
      </c>
      <c r="N10" s="86" t="s">
        <v>137</v>
      </c>
      <c r="O10" s="86" t="s">
        <v>138</v>
      </c>
      <c r="P10" s="91"/>
      <c r="Q10" s="180"/>
      <c r="R10" s="180"/>
      <c r="S10" s="180"/>
      <c r="T10" s="180"/>
      <c r="U10" s="86" t="s">
        <v>129</v>
      </c>
      <c r="V10" s="86" t="s">
        <v>130</v>
      </c>
      <c r="W10" s="86" t="s">
        <v>131</v>
      </c>
      <c r="X10" s="86" t="s">
        <v>132</v>
      </c>
      <c r="Y10" s="86" t="s">
        <v>133</v>
      </c>
      <c r="Z10" s="86" t="s">
        <v>134</v>
      </c>
      <c r="AA10" s="86" t="s">
        <v>135</v>
      </c>
      <c r="AB10" s="86" t="s">
        <v>136</v>
      </c>
      <c r="AC10" s="86" t="s">
        <v>137</v>
      </c>
      <c r="AD10" s="86" t="s">
        <v>138</v>
      </c>
      <c r="AE10" s="31"/>
      <c r="AF10" s="45"/>
      <c r="AG10" s="45"/>
      <c r="AH10" s="45"/>
      <c r="AI10" s="45"/>
    </row>
    <row r="11" spans="1:35" s="88" customFormat="1" ht="18.75" customHeight="1" x14ac:dyDescent="0.25">
      <c r="B11" s="89"/>
      <c r="C11" s="84" t="s">
        <v>95</v>
      </c>
      <c r="D11" s="79">
        <f>'Overview IB'!D26</f>
        <v>194</v>
      </c>
      <c r="E11" s="79">
        <f>'Overview IB'!E26</f>
        <v>72</v>
      </c>
      <c r="F11" s="132">
        <f>'Overview IB'!I26</f>
        <v>72</v>
      </c>
      <c r="G11" s="132">
        <f>'Overview IB'!J26</f>
        <v>72</v>
      </c>
      <c r="H11" s="132">
        <f>'Overview IB'!K26</f>
        <v>50</v>
      </c>
      <c r="I11" s="132">
        <f>'Overview IB'!L26</f>
        <v>0</v>
      </c>
      <c r="J11" s="132">
        <f>'Overview IB'!M26</f>
        <v>0</v>
      </c>
      <c r="K11" s="132">
        <f>'Overview IB'!N26</f>
        <v>0</v>
      </c>
      <c r="L11" s="132">
        <f>'Overview IB'!O26</f>
        <v>0</v>
      </c>
      <c r="M11" s="132">
        <f>'Overview IB'!P26</f>
        <v>0</v>
      </c>
      <c r="N11" s="132">
        <f>'Overview IB'!Q26</f>
        <v>0</v>
      </c>
      <c r="O11" s="132">
        <f>'Overview IB'!R26</f>
        <v>0</v>
      </c>
      <c r="P11" s="32"/>
      <c r="Q11" s="64">
        <f>SUM(U11:AD11)</f>
        <v>194</v>
      </c>
      <c r="R11" s="103">
        <v>74</v>
      </c>
      <c r="S11" s="157">
        <f>IF(D11=0,0,IF(E11=0,IF(R11=0,Q11/D11,R11/D11),IF(R11=0,Q11/E11,R11/E11)))</f>
        <v>1.0277777777777777</v>
      </c>
      <c r="T11" s="168"/>
      <c r="U11" s="66">
        <v>74</v>
      </c>
      <c r="V11" s="66">
        <v>74</v>
      </c>
      <c r="W11" s="66">
        <v>46</v>
      </c>
      <c r="X11" s="66"/>
      <c r="Y11" s="66"/>
      <c r="Z11" s="66"/>
      <c r="AA11" s="66"/>
      <c r="AB11" s="66"/>
      <c r="AC11" s="66"/>
      <c r="AD11" s="66"/>
      <c r="AE11" s="31"/>
      <c r="AF11" s="45"/>
      <c r="AG11" s="45"/>
      <c r="AH11" s="45"/>
      <c r="AI11" s="45"/>
    </row>
    <row r="12" spans="1:35" s="88" customFormat="1" ht="18.75" customHeight="1" x14ac:dyDescent="0.25">
      <c r="B12" s="89"/>
      <c r="C12" s="49" t="s">
        <v>106</v>
      </c>
      <c r="D12" s="64">
        <f>'Overview IB'!D27</f>
        <v>194</v>
      </c>
      <c r="E12" s="79">
        <f>'Overview IB'!E27</f>
        <v>72</v>
      </c>
      <c r="F12" s="132">
        <f>'Overview IB'!I27</f>
        <v>72</v>
      </c>
      <c r="G12" s="132">
        <f>'Overview IB'!J27</f>
        <v>72</v>
      </c>
      <c r="H12" s="132">
        <f>'Overview IB'!K27</f>
        <v>50</v>
      </c>
      <c r="I12" s="132">
        <f>'Overview IB'!L27</f>
        <v>0</v>
      </c>
      <c r="J12" s="132">
        <f>'Overview IB'!M27</f>
        <v>0</v>
      </c>
      <c r="K12" s="132">
        <f>'Overview IB'!N27</f>
        <v>0</v>
      </c>
      <c r="L12" s="132">
        <f>'Overview IB'!O27</f>
        <v>0</v>
      </c>
      <c r="M12" s="132">
        <f>'Overview IB'!P27</f>
        <v>0</v>
      </c>
      <c r="N12" s="132">
        <f>'Overview IB'!Q27</f>
        <v>0</v>
      </c>
      <c r="O12" s="132">
        <f>'Overview IB'!R27</f>
        <v>0</v>
      </c>
      <c r="P12" s="32"/>
      <c r="Q12" s="64">
        <f t="shared" ref="Q12:Q32" si="0">SUM(U12:AD12)</f>
        <v>194</v>
      </c>
      <c r="R12" s="103">
        <v>74</v>
      </c>
      <c r="S12" s="157">
        <f t="shared" ref="S12:S60" si="1">IF(D12=0,0,IF(E12=0,IF(R12=0,Q12/D12,R12/D12),IF(R12=0,Q12/E12,R12/E12)))</f>
        <v>1.0277777777777777</v>
      </c>
      <c r="T12" s="168"/>
      <c r="U12" s="66">
        <v>74</v>
      </c>
      <c r="V12" s="66">
        <v>74</v>
      </c>
      <c r="W12" s="66">
        <v>46</v>
      </c>
      <c r="X12" s="66"/>
      <c r="Y12" s="66"/>
      <c r="Z12" s="66"/>
      <c r="AA12" s="66"/>
      <c r="AB12" s="66"/>
      <c r="AC12" s="66"/>
      <c r="AD12" s="66"/>
      <c r="AE12" s="31"/>
      <c r="AF12" s="45"/>
      <c r="AG12" s="45"/>
      <c r="AH12" s="45"/>
      <c r="AI12" s="45"/>
    </row>
    <row r="13" spans="1:35" s="88" customFormat="1" ht="18.75" customHeight="1" x14ac:dyDescent="0.25">
      <c r="B13" s="89"/>
      <c r="C13" s="49" t="s">
        <v>107</v>
      </c>
      <c r="D13" s="64">
        <f>'Overview IB'!D28</f>
        <v>3</v>
      </c>
      <c r="E13" s="79">
        <f>'Overview IB'!E28</f>
        <v>1</v>
      </c>
      <c r="F13" s="132">
        <f>'Overview IB'!I28</f>
        <v>1</v>
      </c>
      <c r="G13" s="132">
        <f>'Overview IB'!J28</f>
        <v>1</v>
      </c>
      <c r="H13" s="132">
        <f>'Overview IB'!K28</f>
        <v>1</v>
      </c>
      <c r="I13" s="132">
        <f>'Overview IB'!L28</f>
        <v>0</v>
      </c>
      <c r="J13" s="132">
        <f>'Overview IB'!M28</f>
        <v>0</v>
      </c>
      <c r="K13" s="132">
        <f>'Overview IB'!N28</f>
        <v>0</v>
      </c>
      <c r="L13" s="132">
        <f>'Overview IB'!O28</f>
        <v>0</v>
      </c>
      <c r="M13" s="132">
        <f>'Overview IB'!P28</f>
        <v>0</v>
      </c>
      <c r="N13" s="132">
        <f>'Overview IB'!Q28</f>
        <v>0</v>
      </c>
      <c r="O13" s="132">
        <f>'Overview IB'!R28</f>
        <v>0</v>
      </c>
      <c r="P13" s="32"/>
      <c r="Q13" s="64">
        <f t="shared" si="0"/>
        <v>3</v>
      </c>
      <c r="R13" s="103">
        <v>1</v>
      </c>
      <c r="S13" s="157">
        <f t="shared" si="1"/>
        <v>1</v>
      </c>
      <c r="T13" s="168"/>
      <c r="U13" s="66">
        <v>1</v>
      </c>
      <c r="V13" s="66">
        <v>1</v>
      </c>
      <c r="W13" s="66">
        <v>1</v>
      </c>
      <c r="X13" s="66"/>
      <c r="Y13" s="66"/>
      <c r="Z13" s="66"/>
      <c r="AA13" s="66"/>
      <c r="AB13" s="66"/>
      <c r="AC13" s="66"/>
      <c r="AD13" s="66"/>
      <c r="AE13" s="31"/>
      <c r="AF13" s="45"/>
      <c r="AG13" s="45"/>
      <c r="AH13" s="45"/>
      <c r="AI13" s="45"/>
    </row>
    <row r="14" spans="1:35" s="88" customFormat="1" ht="45" x14ac:dyDescent="0.25">
      <c r="B14" s="89"/>
      <c r="C14" s="8" t="s">
        <v>73</v>
      </c>
      <c r="D14" s="152" t="s">
        <v>72</v>
      </c>
      <c r="E14" s="152" t="s">
        <v>125</v>
      </c>
      <c r="F14" s="86" t="s">
        <v>129</v>
      </c>
      <c r="G14" s="86" t="s">
        <v>130</v>
      </c>
      <c r="H14" s="86" t="s">
        <v>131</v>
      </c>
      <c r="I14" s="86" t="s">
        <v>132</v>
      </c>
      <c r="J14" s="86" t="s">
        <v>133</v>
      </c>
      <c r="K14" s="86" t="s">
        <v>134</v>
      </c>
      <c r="L14" s="86" t="s">
        <v>135</v>
      </c>
      <c r="M14" s="86" t="s">
        <v>136</v>
      </c>
      <c r="N14" s="86" t="s">
        <v>137</v>
      </c>
      <c r="O14" s="86" t="s">
        <v>138</v>
      </c>
      <c r="P14" s="32"/>
      <c r="Q14" s="85" t="s">
        <v>29</v>
      </c>
      <c r="R14" s="85" t="s">
        <v>124</v>
      </c>
      <c r="S14" s="76" t="s">
        <v>8</v>
      </c>
      <c r="T14" s="8" t="s">
        <v>61</v>
      </c>
      <c r="U14" s="86" t="s">
        <v>129</v>
      </c>
      <c r="V14" s="86" t="s">
        <v>130</v>
      </c>
      <c r="W14" s="86" t="s">
        <v>131</v>
      </c>
      <c r="X14" s="86" t="s">
        <v>132</v>
      </c>
      <c r="Y14" s="86" t="s">
        <v>133</v>
      </c>
      <c r="Z14" s="86" t="s">
        <v>134</v>
      </c>
      <c r="AA14" s="86" t="s">
        <v>135</v>
      </c>
      <c r="AB14" s="86" t="s">
        <v>136</v>
      </c>
      <c r="AC14" s="86" t="s">
        <v>137</v>
      </c>
      <c r="AD14" s="86" t="s">
        <v>138</v>
      </c>
      <c r="AE14" s="31"/>
      <c r="AF14" s="45"/>
      <c r="AG14" s="45"/>
      <c r="AH14" s="45"/>
      <c r="AI14" s="45"/>
    </row>
    <row r="15" spans="1:35" ht="18.75" customHeight="1" x14ac:dyDescent="0.25">
      <c r="B15" s="81"/>
      <c r="C15" s="50" t="s">
        <v>55</v>
      </c>
      <c r="D15" s="64">
        <f>'Overview IB'!D30</f>
        <v>0</v>
      </c>
      <c r="E15" s="64">
        <f>'Overview IB'!E30</f>
        <v>0</v>
      </c>
      <c r="F15" s="132">
        <f>'Overview IB'!I30</f>
        <v>0</v>
      </c>
      <c r="G15" s="132">
        <f>'Overview IB'!J30</f>
        <v>0</v>
      </c>
      <c r="H15" s="132">
        <f>'Overview IB'!K30</f>
        <v>0</v>
      </c>
      <c r="I15" s="132">
        <f>'Overview IB'!L30</f>
        <v>0</v>
      </c>
      <c r="J15" s="132">
        <f>'Overview IB'!M30</f>
        <v>0</v>
      </c>
      <c r="K15" s="132">
        <f>'Overview IB'!N30</f>
        <v>0</v>
      </c>
      <c r="L15" s="132">
        <f>'Overview IB'!O30</f>
        <v>0</v>
      </c>
      <c r="M15" s="132">
        <f>'Overview IB'!P30</f>
        <v>0</v>
      </c>
      <c r="N15" s="132">
        <f>'Overview IB'!Q30</f>
        <v>0</v>
      </c>
      <c r="O15" s="132">
        <f>'Overview IB'!R30</f>
        <v>0</v>
      </c>
      <c r="P15" s="32"/>
      <c r="Q15" s="64">
        <f t="shared" si="0"/>
        <v>0</v>
      </c>
      <c r="R15" s="103"/>
      <c r="S15" s="157">
        <f t="shared" si="1"/>
        <v>0</v>
      </c>
      <c r="T15" s="168"/>
      <c r="U15" s="66"/>
      <c r="V15" s="66"/>
      <c r="W15" s="66"/>
      <c r="X15" s="66"/>
      <c r="Y15" s="66"/>
      <c r="Z15" s="66"/>
      <c r="AA15" s="66"/>
      <c r="AB15" s="66"/>
      <c r="AC15" s="66"/>
      <c r="AD15" s="66"/>
      <c r="AE15" s="31"/>
    </row>
    <row r="16" spans="1:35" ht="18.75" customHeight="1" x14ac:dyDescent="0.25">
      <c r="B16" s="81"/>
      <c r="C16" s="51" t="s">
        <v>96</v>
      </c>
      <c r="D16" s="132">
        <f>'Overview IB'!D31</f>
        <v>0</v>
      </c>
      <c r="E16" s="132">
        <f>'Overview IB'!E31</f>
        <v>0</v>
      </c>
      <c r="F16" s="132">
        <f>'Overview IB'!I31</f>
        <v>0</v>
      </c>
      <c r="G16" s="132">
        <f>'Overview IB'!J31</f>
        <v>0</v>
      </c>
      <c r="H16" s="132">
        <f>'Overview IB'!K31</f>
        <v>0</v>
      </c>
      <c r="I16" s="132">
        <f>'Overview IB'!L31</f>
        <v>0</v>
      </c>
      <c r="J16" s="132">
        <f>'Overview IB'!M31</f>
        <v>0</v>
      </c>
      <c r="K16" s="132">
        <f>'Overview IB'!N31</f>
        <v>0</v>
      </c>
      <c r="L16" s="132">
        <f>'Overview IB'!O31</f>
        <v>0</v>
      </c>
      <c r="M16" s="132">
        <f>'Overview IB'!P31</f>
        <v>0</v>
      </c>
      <c r="N16" s="132">
        <f>'Overview IB'!Q31</f>
        <v>0</v>
      </c>
      <c r="O16" s="132">
        <f>'Overview IB'!R31</f>
        <v>0</v>
      </c>
      <c r="P16" s="156"/>
      <c r="Q16" s="132">
        <f t="shared" si="0"/>
        <v>0</v>
      </c>
      <c r="R16" s="103"/>
      <c r="S16" s="157">
        <f t="shared" si="1"/>
        <v>0</v>
      </c>
      <c r="T16" s="168"/>
      <c r="U16" s="133"/>
      <c r="V16" s="133"/>
      <c r="W16" s="133"/>
      <c r="X16" s="133"/>
      <c r="Y16" s="133"/>
      <c r="Z16" s="133"/>
      <c r="AA16" s="133"/>
      <c r="AB16" s="133"/>
      <c r="AC16" s="133"/>
      <c r="AD16" s="133"/>
      <c r="AE16" s="31"/>
    </row>
    <row r="17" spans="2:31" ht="18.75" customHeight="1" x14ac:dyDescent="0.25">
      <c r="B17" s="81"/>
      <c r="C17" s="50" t="s">
        <v>56</v>
      </c>
      <c r="D17" s="64">
        <f>'Overview IB'!D32</f>
        <v>0</v>
      </c>
      <c r="E17" s="64">
        <f>'Overview IB'!E32</f>
        <v>0</v>
      </c>
      <c r="F17" s="132">
        <f>'Overview IB'!I32</f>
        <v>0</v>
      </c>
      <c r="G17" s="132">
        <f>'Overview IB'!J32</f>
        <v>0</v>
      </c>
      <c r="H17" s="132">
        <f>'Overview IB'!K32</f>
        <v>0</v>
      </c>
      <c r="I17" s="132">
        <f>'Overview IB'!L32</f>
        <v>0</v>
      </c>
      <c r="J17" s="132">
        <f>'Overview IB'!M32</f>
        <v>0</v>
      </c>
      <c r="K17" s="132">
        <f>'Overview IB'!N32</f>
        <v>0</v>
      </c>
      <c r="L17" s="132">
        <f>'Overview IB'!O32</f>
        <v>0</v>
      </c>
      <c r="M17" s="132">
        <f>'Overview IB'!P32</f>
        <v>0</v>
      </c>
      <c r="N17" s="132">
        <f>'Overview IB'!Q32</f>
        <v>0</v>
      </c>
      <c r="O17" s="132">
        <f>'Overview IB'!R32</f>
        <v>0</v>
      </c>
      <c r="P17" s="32"/>
      <c r="Q17" s="64">
        <f t="shared" si="0"/>
        <v>0</v>
      </c>
      <c r="R17" s="103"/>
      <c r="S17" s="157">
        <f t="shared" si="1"/>
        <v>0</v>
      </c>
      <c r="T17" s="168"/>
      <c r="U17" s="66"/>
      <c r="V17" s="66"/>
      <c r="W17" s="66"/>
      <c r="X17" s="66"/>
      <c r="Y17" s="66"/>
      <c r="Z17" s="66"/>
      <c r="AA17" s="66"/>
      <c r="AB17" s="66"/>
      <c r="AC17" s="66"/>
      <c r="AD17" s="66"/>
      <c r="AE17" s="31"/>
    </row>
    <row r="18" spans="2:31" ht="18.75" customHeight="1" x14ac:dyDescent="0.25">
      <c r="B18" s="81"/>
      <c r="C18" s="52" t="s">
        <v>54</v>
      </c>
      <c r="D18" s="132">
        <f>'Overview IB'!D33</f>
        <v>0</v>
      </c>
      <c r="E18" s="132">
        <f>'Overview IB'!E33</f>
        <v>0</v>
      </c>
      <c r="F18" s="132">
        <f>'Overview IB'!I33</f>
        <v>0</v>
      </c>
      <c r="G18" s="132">
        <f>'Overview IB'!J33</f>
        <v>0</v>
      </c>
      <c r="H18" s="132">
        <f>'Overview IB'!K33</f>
        <v>0</v>
      </c>
      <c r="I18" s="132">
        <f>'Overview IB'!L33</f>
        <v>0</v>
      </c>
      <c r="J18" s="132">
        <f>'Overview IB'!M33</f>
        <v>0</v>
      </c>
      <c r="K18" s="132">
        <f>'Overview IB'!N33</f>
        <v>0</v>
      </c>
      <c r="L18" s="132">
        <f>'Overview IB'!O33</f>
        <v>0</v>
      </c>
      <c r="M18" s="132">
        <f>'Overview IB'!P33</f>
        <v>0</v>
      </c>
      <c r="N18" s="132">
        <f>'Overview IB'!Q33</f>
        <v>0</v>
      </c>
      <c r="O18" s="132">
        <f>'Overview IB'!R33</f>
        <v>0</v>
      </c>
      <c r="P18" s="156"/>
      <c r="Q18" s="132">
        <f t="shared" si="0"/>
        <v>0</v>
      </c>
      <c r="R18" s="103"/>
      <c r="S18" s="157">
        <f t="shared" si="1"/>
        <v>0</v>
      </c>
      <c r="T18" s="168"/>
      <c r="U18" s="133"/>
      <c r="V18" s="133"/>
      <c r="W18" s="133"/>
      <c r="X18" s="133"/>
      <c r="Y18" s="133"/>
      <c r="Z18" s="133"/>
      <c r="AA18" s="133"/>
      <c r="AB18" s="133"/>
      <c r="AC18" s="133"/>
      <c r="AD18" s="133"/>
      <c r="AE18" s="31"/>
    </row>
    <row r="19" spans="2:31" ht="18.75" customHeight="1" x14ac:dyDescent="0.25">
      <c r="B19" s="81"/>
      <c r="C19" s="52" t="s">
        <v>58</v>
      </c>
      <c r="D19" s="132">
        <f>'Overview IB'!D34</f>
        <v>0</v>
      </c>
      <c r="E19" s="132">
        <f>'Overview IB'!E34</f>
        <v>0</v>
      </c>
      <c r="F19" s="132">
        <f>'Overview IB'!I34</f>
        <v>0</v>
      </c>
      <c r="G19" s="132">
        <f>'Overview IB'!J34</f>
        <v>0</v>
      </c>
      <c r="H19" s="132">
        <f>'Overview IB'!K34</f>
        <v>0</v>
      </c>
      <c r="I19" s="132">
        <f>'Overview IB'!L34</f>
        <v>0</v>
      </c>
      <c r="J19" s="132">
        <f>'Overview IB'!M34</f>
        <v>0</v>
      </c>
      <c r="K19" s="132">
        <f>'Overview IB'!N34</f>
        <v>0</v>
      </c>
      <c r="L19" s="132">
        <f>'Overview IB'!O34</f>
        <v>0</v>
      </c>
      <c r="M19" s="132">
        <f>'Overview IB'!P34</f>
        <v>0</v>
      </c>
      <c r="N19" s="132">
        <f>'Overview IB'!Q34</f>
        <v>0</v>
      </c>
      <c r="O19" s="132">
        <f>'Overview IB'!R34</f>
        <v>0</v>
      </c>
      <c r="P19" s="156"/>
      <c r="Q19" s="132">
        <f t="shared" si="0"/>
        <v>0</v>
      </c>
      <c r="R19" s="103"/>
      <c r="S19" s="157">
        <f t="shared" si="1"/>
        <v>0</v>
      </c>
      <c r="T19" s="168"/>
      <c r="U19" s="133"/>
      <c r="V19" s="133"/>
      <c r="W19" s="133"/>
      <c r="X19" s="133"/>
      <c r="Y19" s="133"/>
      <c r="Z19" s="133"/>
      <c r="AA19" s="133"/>
      <c r="AB19" s="133"/>
      <c r="AC19" s="133"/>
      <c r="AD19" s="133"/>
      <c r="AE19" s="31"/>
    </row>
    <row r="20" spans="2:31" ht="45" x14ac:dyDescent="0.25">
      <c r="B20" s="81"/>
      <c r="C20" s="8" t="s">
        <v>45</v>
      </c>
      <c r="D20" s="152" t="s">
        <v>72</v>
      </c>
      <c r="E20" s="152" t="s">
        <v>125</v>
      </c>
      <c r="F20" s="86" t="s">
        <v>129</v>
      </c>
      <c r="G20" s="86" t="s">
        <v>130</v>
      </c>
      <c r="H20" s="86" t="s">
        <v>131</v>
      </c>
      <c r="I20" s="86" t="s">
        <v>132</v>
      </c>
      <c r="J20" s="86" t="s">
        <v>133</v>
      </c>
      <c r="K20" s="86" t="s">
        <v>134</v>
      </c>
      <c r="L20" s="86" t="s">
        <v>135</v>
      </c>
      <c r="M20" s="86" t="s">
        <v>136</v>
      </c>
      <c r="N20" s="86" t="s">
        <v>137</v>
      </c>
      <c r="O20" s="86" t="s">
        <v>138</v>
      </c>
      <c r="P20" s="32"/>
      <c r="Q20" s="85" t="s">
        <v>29</v>
      </c>
      <c r="R20" s="85" t="s">
        <v>124</v>
      </c>
      <c r="S20" s="76" t="s">
        <v>8</v>
      </c>
      <c r="T20" s="8" t="s">
        <v>61</v>
      </c>
      <c r="U20" s="86" t="s">
        <v>129</v>
      </c>
      <c r="V20" s="86" t="s">
        <v>130</v>
      </c>
      <c r="W20" s="86" t="s">
        <v>131</v>
      </c>
      <c r="X20" s="86" t="s">
        <v>132</v>
      </c>
      <c r="Y20" s="86" t="s">
        <v>133</v>
      </c>
      <c r="Z20" s="86" t="s">
        <v>134</v>
      </c>
      <c r="AA20" s="86" t="s">
        <v>135</v>
      </c>
      <c r="AB20" s="86" t="s">
        <v>136</v>
      </c>
      <c r="AC20" s="86" t="s">
        <v>137</v>
      </c>
      <c r="AD20" s="86" t="s">
        <v>138</v>
      </c>
      <c r="AE20" s="31"/>
    </row>
    <row r="21" spans="2:31" ht="18.75" customHeight="1" x14ac:dyDescent="0.25">
      <c r="B21" s="81"/>
      <c r="C21" s="50" t="s">
        <v>70</v>
      </c>
      <c r="D21" s="64">
        <f>'Overview IB'!D36</f>
        <v>0</v>
      </c>
      <c r="E21" s="64">
        <f>'Overview IB'!E36</f>
        <v>0</v>
      </c>
      <c r="F21" s="132">
        <f>'Overview IB'!I36</f>
        <v>0</v>
      </c>
      <c r="G21" s="132">
        <f>'Overview IB'!J36</f>
        <v>0</v>
      </c>
      <c r="H21" s="132">
        <f>'Overview IB'!K36</f>
        <v>0</v>
      </c>
      <c r="I21" s="132">
        <f>'Overview IB'!L36</f>
        <v>0</v>
      </c>
      <c r="J21" s="132">
        <f>'Overview IB'!M36</f>
        <v>0</v>
      </c>
      <c r="K21" s="132">
        <f>'Overview IB'!N36</f>
        <v>0</v>
      </c>
      <c r="L21" s="132">
        <f>'Overview IB'!O36</f>
        <v>0</v>
      </c>
      <c r="M21" s="132">
        <f>'Overview IB'!P36</f>
        <v>0</v>
      </c>
      <c r="N21" s="132">
        <f>'Overview IB'!Q36</f>
        <v>0</v>
      </c>
      <c r="O21" s="132">
        <f>'Overview IB'!R36</f>
        <v>0</v>
      </c>
      <c r="P21" s="32"/>
      <c r="Q21" s="64">
        <f t="shared" si="0"/>
        <v>0</v>
      </c>
      <c r="R21" s="103"/>
      <c r="S21" s="157">
        <f t="shared" si="1"/>
        <v>0</v>
      </c>
      <c r="T21" s="168"/>
      <c r="U21" s="66"/>
      <c r="V21" s="66"/>
      <c r="W21" s="66"/>
      <c r="X21" s="66"/>
      <c r="Y21" s="66"/>
      <c r="Z21" s="66"/>
      <c r="AA21" s="66"/>
      <c r="AB21" s="66"/>
      <c r="AC21" s="66"/>
      <c r="AD21" s="66"/>
      <c r="AE21" s="31"/>
    </row>
    <row r="22" spans="2:31" ht="33" customHeight="1" x14ac:dyDescent="0.25">
      <c r="B22" s="81"/>
      <c r="C22" s="51" t="s">
        <v>47</v>
      </c>
      <c r="D22" s="132">
        <f>'Overview IB'!D37</f>
        <v>144</v>
      </c>
      <c r="E22" s="132">
        <f>'Overview IB'!E37</f>
        <v>72</v>
      </c>
      <c r="F22" s="132">
        <f>'Overview IB'!I37</f>
        <v>72</v>
      </c>
      <c r="G22" s="132">
        <f>'Overview IB'!J37</f>
        <v>72</v>
      </c>
      <c r="H22" s="132">
        <f>'Overview IB'!K37</f>
        <v>0</v>
      </c>
      <c r="I22" s="132">
        <f>'Overview IB'!L37</f>
        <v>0</v>
      </c>
      <c r="J22" s="132">
        <f>'Overview IB'!M37</f>
        <v>0</v>
      </c>
      <c r="K22" s="132">
        <f>'Overview IB'!N37</f>
        <v>0</v>
      </c>
      <c r="L22" s="132">
        <f>'Overview IB'!O37</f>
        <v>0</v>
      </c>
      <c r="M22" s="132">
        <f>'Overview IB'!P37</f>
        <v>0</v>
      </c>
      <c r="N22" s="132">
        <f>'Overview IB'!Q37</f>
        <v>0</v>
      </c>
      <c r="O22" s="132">
        <f>'Overview IB'!R37</f>
        <v>0</v>
      </c>
      <c r="P22" s="156"/>
      <c r="Q22" s="132">
        <f t="shared" si="0"/>
        <v>148</v>
      </c>
      <c r="R22" s="103">
        <v>74</v>
      </c>
      <c r="S22" s="157">
        <f t="shared" si="1"/>
        <v>1.0277777777777777</v>
      </c>
      <c r="T22" s="168"/>
      <c r="U22" s="133">
        <v>74</v>
      </c>
      <c r="V22" s="133">
        <v>74</v>
      </c>
      <c r="W22" s="133"/>
      <c r="X22" s="133"/>
      <c r="Y22" s="133"/>
      <c r="Z22" s="133"/>
      <c r="AA22" s="133"/>
      <c r="AB22" s="133"/>
      <c r="AC22" s="133"/>
      <c r="AD22" s="133"/>
      <c r="AE22" s="31"/>
    </row>
    <row r="23" spans="2:31" ht="33" customHeight="1" x14ac:dyDescent="0.25">
      <c r="B23" s="81"/>
      <c r="C23" s="52" t="s">
        <v>59</v>
      </c>
      <c r="D23" s="132">
        <f>'Overview IB'!D38</f>
        <v>1170</v>
      </c>
      <c r="E23" s="132">
        <f>'Overview IB'!E38</f>
        <v>1170</v>
      </c>
      <c r="F23" s="132">
        <f>'Overview IB'!I38</f>
        <v>360</v>
      </c>
      <c r="G23" s="132">
        <f>'Overview IB'!J38</f>
        <v>810</v>
      </c>
      <c r="H23" s="132">
        <f>'Overview IB'!K38</f>
        <v>0</v>
      </c>
      <c r="I23" s="132">
        <f>'Overview IB'!L38</f>
        <v>0</v>
      </c>
      <c r="J23" s="132">
        <f>'Overview IB'!M38</f>
        <v>0</v>
      </c>
      <c r="K23" s="132">
        <f>'Overview IB'!N38</f>
        <v>0</v>
      </c>
      <c r="L23" s="132">
        <f>'Overview IB'!O38</f>
        <v>0</v>
      </c>
      <c r="M23" s="132">
        <f>'Overview IB'!P38</f>
        <v>0</v>
      </c>
      <c r="N23" s="132">
        <f>'Overview IB'!Q38</f>
        <v>0</v>
      </c>
      <c r="O23" s="132">
        <f>'Overview IB'!R38</f>
        <v>0</v>
      </c>
      <c r="P23" s="156"/>
      <c r="Q23" s="132">
        <f t="shared" si="0"/>
        <v>952</v>
      </c>
      <c r="R23" s="103">
        <v>952</v>
      </c>
      <c r="S23" s="157">
        <f t="shared" si="1"/>
        <v>0.81367521367521367</v>
      </c>
      <c r="T23" s="168"/>
      <c r="U23" s="133">
        <v>288.5</v>
      </c>
      <c r="V23" s="133">
        <v>663.5</v>
      </c>
      <c r="W23" s="133"/>
      <c r="X23" s="133"/>
      <c r="Y23" s="133"/>
      <c r="Z23" s="133"/>
      <c r="AA23" s="133"/>
      <c r="AB23" s="133"/>
      <c r="AC23" s="133"/>
      <c r="AD23" s="133"/>
      <c r="AE23" s="31"/>
    </row>
    <row r="24" spans="2:31" ht="33" customHeight="1" x14ac:dyDescent="0.25">
      <c r="B24" s="81"/>
      <c r="C24" s="50" t="s">
        <v>71</v>
      </c>
      <c r="D24" s="64">
        <f>'Overview IB'!D39</f>
        <v>0</v>
      </c>
      <c r="E24" s="64">
        <f>'Overview IB'!E39</f>
        <v>0</v>
      </c>
      <c r="F24" s="132">
        <f>'Overview IB'!I39</f>
        <v>0</v>
      </c>
      <c r="G24" s="132">
        <f>'Overview IB'!J39</f>
        <v>0</v>
      </c>
      <c r="H24" s="132">
        <f>'Overview IB'!K39</f>
        <v>0</v>
      </c>
      <c r="I24" s="132">
        <f>'Overview IB'!L39</f>
        <v>0</v>
      </c>
      <c r="J24" s="132">
        <f>'Overview IB'!M39</f>
        <v>0</v>
      </c>
      <c r="K24" s="132">
        <f>'Overview IB'!N39</f>
        <v>0</v>
      </c>
      <c r="L24" s="132">
        <f>'Overview IB'!O39</f>
        <v>0</v>
      </c>
      <c r="M24" s="132">
        <f>'Overview IB'!P39</f>
        <v>0</v>
      </c>
      <c r="N24" s="132">
        <f>'Overview IB'!Q39</f>
        <v>0</v>
      </c>
      <c r="O24" s="132">
        <f>'Overview IB'!R39</f>
        <v>0</v>
      </c>
      <c r="P24" s="32"/>
      <c r="Q24" s="64">
        <f t="shared" si="0"/>
        <v>0</v>
      </c>
      <c r="R24" s="103"/>
      <c r="S24" s="157">
        <f t="shared" si="1"/>
        <v>0</v>
      </c>
      <c r="T24" s="168"/>
      <c r="U24" s="66"/>
      <c r="V24" s="66"/>
      <c r="W24" s="66"/>
      <c r="X24" s="66"/>
      <c r="Y24" s="66"/>
      <c r="Z24" s="66"/>
      <c r="AA24" s="66"/>
      <c r="AB24" s="66"/>
      <c r="AC24" s="66"/>
      <c r="AD24" s="66"/>
      <c r="AE24" s="31"/>
    </row>
    <row r="25" spans="2:31" ht="33" customHeight="1" x14ac:dyDescent="0.25">
      <c r="B25" s="81"/>
      <c r="C25" s="52" t="s">
        <v>48</v>
      </c>
      <c r="D25" s="132">
        <f>'Overview IB'!D40</f>
        <v>50</v>
      </c>
      <c r="E25" s="132">
        <f>'Overview IB'!E40</f>
        <v>50</v>
      </c>
      <c r="F25" s="132">
        <f>'Overview IB'!I40</f>
        <v>0</v>
      </c>
      <c r="G25" s="132">
        <f>'Overview IB'!J40</f>
        <v>0</v>
      </c>
      <c r="H25" s="132">
        <f>'Overview IB'!K40</f>
        <v>50</v>
      </c>
      <c r="I25" s="132">
        <f>'Overview IB'!L40</f>
        <v>0</v>
      </c>
      <c r="J25" s="132">
        <f>'Overview IB'!M40</f>
        <v>0</v>
      </c>
      <c r="K25" s="132">
        <f>'Overview IB'!N40</f>
        <v>0</v>
      </c>
      <c r="L25" s="132">
        <f>'Overview IB'!O40</f>
        <v>0</v>
      </c>
      <c r="M25" s="132">
        <f>'Overview IB'!P40</f>
        <v>0</v>
      </c>
      <c r="N25" s="132">
        <f>'Overview IB'!Q40</f>
        <v>0</v>
      </c>
      <c r="O25" s="132">
        <f>'Overview IB'!R40</f>
        <v>0</v>
      </c>
      <c r="P25" s="156"/>
      <c r="Q25" s="132">
        <f t="shared" si="0"/>
        <v>46</v>
      </c>
      <c r="R25" s="103">
        <v>46</v>
      </c>
      <c r="S25" s="157">
        <f t="shared" si="1"/>
        <v>0.92</v>
      </c>
      <c r="T25" s="168"/>
      <c r="U25" s="133"/>
      <c r="V25" s="133"/>
      <c r="W25" s="133">
        <v>46</v>
      </c>
      <c r="X25" s="133"/>
      <c r="Y25" s="133"/>
      <c r="Z25" s="133"/>
      <c r="AA25" s="133"/>
      <c r="AB25" s="133"/>
      <c r="AC25" s="133"/>
      <c r="AD25" s="133"/>
      <c r="AE25" s="31"/>
    </row>
    <row r="26" spans="2:31" ht="18.75" customHeight="1" x14ac:dyDescent="0.25">
      <c r="B26" s="81"/>
      <c r="C26" s="52" t="s">
        <v>46</v>
      </c>
      <c r="D26" s="132">
        <f>'Overview IB'!D41</f>
        <v>540</v>
      </c>
      <c r="E26" s="132">
        <f>'Overview IB'!E41</f>
        <v>540</v>
      </c>
      <c r="F26" s="132">
        <f>'Overview IB'!I41</f>
        <v>0</v>
      </c>
      <c r="G26" s="132">
        <f>'Overview IB'!J41</f>
        <v>0</v>
      </c>
      <c r="H26" s="132">
        <f>'Overview IB'!K41</f>
        <v>540</v>
      </c>
      <c r="I26" s="132">
        <f>'Overview IB'!L41</f>
        <v>0</v>
      </c>
      <c r="J26" s="132">
        <f>'Overview IB'!M41</f>
        <v>0</v>
      </c>
      <c r="K26" s="132">
        <f>'Overview IB'!N41</f>
        <v>0</v>
      </c>
      <c r="L26" s="132">
        <f>'Overview IB'!O41</f>
        <v>0</v>
      </c>
      <c r="M26" s="132">
        <f>'Overview IB'!P41</f>
        <v>0</v>
      </c>
      <c r="N26" s="132">
        <f>'Overview IB'!Q41</f>
        <v>0</v>
      </c>
      <c r="O26" s="132">
        <f>'Overview IB'!R41</f>
        <v>0</v>
      </c>
      <c r="P26" s="156"/>
      <c r="Q26" s="132">
        <f t="shared" si="0"/>
        <v>435.5</v>
      </c>
      <c r="R26" s="103">
        <v>435.5</v>
      </c>
      <c r="S26" s="157">
        <f t="shared" si="1"/>
        <v>0.80648148148148147</v>
      </c>
      <c r="T26" s="168"/>
      <c r="U26" s="133"/>
      <c r="V26" s="133"/>
      <c r="W26" s="133">
        <v>435.5</v>
      </c>
      <c r="X26" s="133"/>
      <c r="Y26" s="133"/>
      <c r="Z26" s="133"/>
      <c r="AA26" s="133"/>
      <c r="AB26" s="133"/>
      <c r="AC26" s="133"/>
      <c r="AD26" s="133"/>
      <c r="AE26" s="31"/>
    </row>
    <row r="27" spans="2:31" ht="18.75" customHeight="1" x14ac:dyDescent="0.25">
      <c r="B27" s="81"/>
      <c r="C27" s="50" t="s">
        <v>49</v>
      </c>
      <c r="D27" s="64">
        <f>'Overview IB'!D42</f>
        <v>0</v>
      </c>
      <c r="E27" s="64">
        <f>'Overview IB'!E42</f>
        <v>0</v>
      </c>
      <c r="F27" s="132">
        <f>'Overview IB'!I42</f>
        <v>0</v>
      </c>
      <c r="G27" s="132">
        <f>'Overview IB'!J42</f>
        <v>0</v>
      </c>
      <c r="H27" s="132">
        <f>'Overview IB'!K42</f>
        <v>0</v>
      </c>
      <c r="I27" s="132">
        <f>'Overview IB'!L42</f>
        <v>0</v>
      </c>
      <c r="J27" s="132">
        <f>'Overview IB'!M42</f>
        <v>0</v>
      </c>
      <c r="K27" s="132">
        <f>'Overview IB'!N42</f>
        <v>0</v>
      </c>
      <c r="L27" s="132">
        <f>'Overview IB'!O42</f>
        <v>0</v>
      </c>
      <c r="M27" s="132">
        <f>'Overview IB'!P42</f>
        <v>0</v>
      </c>
      <c r="N27" s="132">
        <f>'Overview IB'!Q42</f>
        <v>0</v>
      </c>
      <c r="O27" s="132">
        <f>'Overview IB'!R42</f>
        <v>0</v>
      </c>
      <c r="P27" s="32"/>
      <c r="Q27" s="64">
        <f t="shared" si="0"/>
        <v>0</v>
      </c>
      <c r="R27" s="103"/>
      <c r="S27" s="157">
        <f t="shared" si="1"/>
        <v>0</v>
      </c>
      <c r="T27" s="168"/>
      <c r="U27" s="66"/>
      <c r="V27" s="66"/>
      <c r="W27" s="66"/>
      <c r="X27" s="66"/>
      <c r="Y27" s="66"/>
      <c r="Z27" s="66"/>
      <c r="AA27" s="66"/>
      <c r="AB27" s="66"/>
      <c r="AC27" s="66"/>
      <c r="AD27" s="66"/>
      <c r="AE27" s="31"/>
    </row>
    <row r="28" spans="2:31" ht="18.75" customHeight="1" x14ac:dyDescent="0.25">
      <c r="B28" s="81"/>
      <c r="C28" s="51" t="s">
        <v>51</v>
      </c>
      <c r="D28" s="132">
        <f>'Overview IB'!D43</f>
        <v>0</v>
      </c>
      <c r="E28" s="132">
        <f>'Overview IB'!E43</f>
        <v>0</v>
      </c>
      <c r="F28" s="132">
        <f>'Overview IB'!I43</f>
        <v>0</v>
      </c>
      <c r="G28" s="132">
        <f>'Overview IB'!J43</f>
        <v>0</v>
      </c>
      <c r="H28" s="132">
        <f>'Overview IB'!K43</f>
        <v>0</v>
      </c>
      <c r="I28" s="132">
        <f>'Overview IB'!L43</f>
        <v>0</v>
      </c>
      <c r="J28" s="132">
        <f>'Overview IB'!M43</f>
        <v>0</v>
      </c>
      <c r="K28" s="132">
        <f>'Overview IB'!N43</f>
        <v>0</v>
      </c>
      <c r="L28" s="132">
        <f>'Overview IB'!O43</f>
        <v>0</v>
      </c>
      <c r="M28" s="132">
        <f>'Overview IB'!P43</f>
        <v>0</v>
      </c>
      <c r="N28" s="132">
        <f>'Overview IB'!Q43</f>
        <v>0</v>
      </c>
      <c r="O28" s="132">
        <f>'Overview IB'!R43</f>
        <v>0</v>
      </c>
      <c r="P28" s="156"/>
      <c r="Q28" s="132">
        <f t="shared" si="0"/>
        <v>0</v>
      </c>
      <c r="R28" s="103"/>
      <c r="S28" s="157">
        <f t="shared" si="1"/>
        <v>0</v>
      </c>
      <c r="T28" s="168"/>
      <c r="U28" s="133"/>
      <c r="V28" s="133"/>
      <c r="W28" s="133"/>
      <c r="X28" s="133"/>
      <c r="Y28" s="133"/>
      <c r="Z28" s="133"/>
      <c r="AA28" s="133"/>
      <c r="AB28" s="133"/>
      <c r="AC28" s="133"/>
      <c r="AD28" s="133"/>
      <c r="AE28" s="31"/>
    </row>
    <row r="29" spans="2:31" ht="18.75" customHeight="1" x14ac:dyDescent="0.25">
      <c r="B29" s="81"/>
      <c r="C29" s="51" t="s">
        <v>50</v>
      </c>
      <c r="D29" s="132">
        <f>'Overview IB'!D44</f>
        <v>0</v>
      </c>
      <c r="E29" s="132">
        <f>'Overview IB'!E44</f>
        <v>0</v>
      </c>
      <c r="F29" s="132">
        <f>'Overview IB'!I44</f>
        <v>0</v>
      </c>
      <c r="G29" s="132">
        <f>'Overview IB'!J44</f>
        <v>0</v>
      </c>
      <c r="H29" s="132">
        <f>'Overview IB'!K44</f>
        <v>0</v>
      </c>
      <c r="I29" s="132">
        <f>'Overview IB'!L44</f>
        <v>0</v>
      </c>
      <c r="J29" s="132">
        <f>'Overview IB'!M44</f>
        <v>0</v>
      </c>
      <c r="K29" s="132">
        <f>'Overview IB'!N44</f>
        <v>0</v>
      </c>
      <c r="L29" s="132">
        <f>'Overview IB'!O44</f>
        <v>0</v>
      </c>
      <c r="M29" s="132">
        <f>'Overview IB'!P44</f>
        <v>0</v>
      </c>
      <c r="N29" s="132">
        <f>'Overview IB'!Q44</f>
        <v>0</v>
      </c>
      <c r="O29" s="132">
        <f>'Overview IB'!R44</f>
        <v>0</v>
      </c>
      <c r="P29" s="156"/>
      <c r="Q29" s="132">
        <f t="shared" si="0"/>
        <v>0</v>
      </c>
      <c r="R29" s="103"/>
      <c r="S29" s="157">
        <f t="shared" si="1"/>
        <v>0</v>
      </c>
      <c r="T29" s="168"/>
      <c r="U29" s="133"/>
      <c r="V29" s="133"/>
      <c r="W29" s="133"/>
      <c r="X29" s="133"/>
      <c r="Y29" s="133"/>
      <c r="Z29" s="133"/>
      <c r="AA29" s="133"/>
      <c r="AB29" s="133"/>
      <c r="AC29" s="133"/>
      <c r="AD29" s="133"/>
      <c r="AE29" s="31"/>
    </row>
    <row r="30" spans="2:31" ht="18.75" customHeight="1" x14ac:dyDescent="0.25">
      <c r="B30" s="81"/>
      <c r="C30" s="50" t="s">
        <v>11</v>
      </c>
      <c r="D30" s="64">
        <f>'Overview IB'!D45</f>
        <v>0</v>
      </c>
      <c r="E30" s="64">
        <f>'Overview IB'!E45</f>
        <v>0</v>
      </c>
      <c r="F30" s="132">
        <f>'Overview IB'!I45</f>
        <v>0</v>
      </c>
      <c r="G30" s="132">
        <f>'Overview IB'!J45</f>
        <v>0</v>
      </c>
      <c r="H30" s="132">
        <f>'Overview IB'!K45</f>
        <v>0</v>
      </c>
      <c r="I30" s="132">
        <f>'Overview IB'!L45</f>
        <v>0</v>
      </c>
      <c r="J30" s="132">
        <f>'Overview IB'!M45</f>
        <v>0</v>
      </c>
      <c r="K30" s="132">
        <f>'Overview IB'!N45</f>
        <v>0</v>
      </c>
      <c r="L30" s="132">
        <f>'Overview IB'!O45</f>
        <v>0</v>
      </c>
      <c r="M30" s="132">
        <f>'Overview IB'!P45</f>
        <v>0</v>
      </c>
      <c r="N30" s="132">
        <f>'Overview IB'!Q45</f>
        <v>0</v>
      </c>
      <c r="O30" s="132">
        <f>'Overview IB'!R45</f>
        <v>0</v>
      </c>
      <c r="P30" s="32"/>
      <c r="Q30" s="64">
        <f t="shared" si="0"/>
        <v>0</v>
      </c>
      <c r="R30" s="103"/>
      <c r="S30" s="157">
        <f t="shared" si="1"/>
        <v>0</v>
      </c>
      <c r="T30" s="168"/>
      <c r="U30" s="66"/>
      <c r="V30" s="66"/>
      <c r="W30" s="66"/>
      <c r="X30" s="66"/>
      <c r="Y30" s="66"/>
      <c r="Z30" s="66"/>
      <c r="AA30" s="66"/>
      <c r="AB30" s="66"/>
      <c r="AC30" s="66"/>
      <c r="AD30" s="66"/>
      <c r="AE30" s="31"/>
    </row>
    <row r="31" spans="2:31" ht="18.75" customHeight="1" x14ac:dyDescent="0.25">
      <c r="B31" s="81"/>
      <c r="C31" s="52" t="s">
        <v>62</v>
      </c>
      <c r="D31" s="132">
        <f>'Overview IB'!D46</f>
        <v>0</v>
      </c>
      <c r="E31" s="132">
        <f>'Overview IB'!E46</f>
        <v>0</v>
      </c>
      <c r="F31" s="132">
        <f>'Overview IB'!I46</f>
        <v>0</v>
      </c>
      <c r="G31" s="132">
        <f>'Overview IB'!J46</f>
        <v>0</v>
      </c>
      <c r="H31" s="132">
        <f>'Overview IB'!K46</f>
        <v>0</v>
      </c>
      <c r="I31" s="132">
        <f>'Overview IB'!L46</f>
        <v>0</v>
      </c>
      <c r="J31" s="132">
        <f>'Overview IB'!M46</f>
        <v>0</v>
      </c>
      <c r="K31" s="132">
        <f>'Overview IB'!N46</f>
        <v>0</v>
      </c>
      <c r="L31" s="132">
        <f>'Overview IB'!O46</f>
        <v>0</v>
      </c>
      <c r="M31" s="132">
        <f>'Overview IB'!P46</f>
        <v>0</v>
      </c>
      <c r="N31" s="132">
        <f>'Overview IB'!Q46</f>
        <v>0</v>
      </c>
      <c r="O31" s="132">
        <f>'Overview IB'!R46</f>
        <v>0</v>
      </c>
      <c r="P31" s="156"/>
      <c r="Q31" s="132">
        <f t="shared" si="0"/>
        <v>0</v>
      </c>
      <c r="R31" s="103"/>
      <c r="S31" s="157">
        <f t="shared" si="1"/>
        <v>0</v>
      </c>
      <c r="T31" s="168"/>
      <c r="U31" s="133"/>
      <c r="V31" s="133"/>
      <c r="W31" s="133"/>
      <c r="X31" s="133"/>
      <c r="Y31" s="133"/>
      <c r="Z31" s="133"/>
      <c r="AA31" s="133"/>
      <c r="AB31" s="133"/>
      <c r="AC31" s="133"/>
      <c r="AD31" s="133"/>
      <c r="AE31" s="31"/>
    </row>
    <row r="32" spans="2:31" ht="18.75" customHeight="1" x14ac:dyDescent="0.25">
      <c r="B32" s="81"/>
      <c r="C32" s="52" t="s">
        <v>63</v>
      </c>
      <c r="D32" s="132">
        <f>'Overview IB'!D47</f>
        <v>0</v>
      </c>
      <c r="E32" s="132">
        <f>'Overview IB'!E47</f>
        <v>0</v>
      </c>
      <c r="F32" s="132">
        <f>'Overview IB'!I47</f>
        <v>0</v>
      </c>
      <c r="G32" s="132">
        <f>'Overview IB'!J47</f>
        <v>0</v>
      </c>
      <c r="H32" s="132">
        <f>'Overview IB'!K47</f>
        <v>0</v>
      </c>
      <c r="I32" s="132">
        <f>'Overview IB'!L47</f>
        <v>0</v>
      </c>
      <c r="J32" s="132">
        <f>'Overview IB'!M47</f>
        <v>0</v>
      </c>
      <c r="K32" s="132">
        <f>'Overview IB'!N47</f>
        <v>0</v>
      </c>
      <c r="L32" s="132">
        <f>'Overview IB'!O47</f>
        <v>0</v>
      </c>
      <c r="M32" s="132">
        <f>'Overview IB'!P47</f>
        <v>0</v>
      </c>
      <c r="N32" s="132">
        <f>'Overview IB'!Q47</f>
        <v>0</v>
      </c>
      <c r="O32" s="132">
        <f>'Overview IB'!R47</f>
        <v>0</v>
      </c>
      <c r="P32" s="156"/>
      <c r="Q32" s="132">
        <f t="shared" si="0"/>
        <v>0</v>
      </c>
      <c r="R32" s="103"/>
      <c r="S32" s="157">
        <f t="shared" si="1"/>
        <v>0</v>
      </c>
      <c r="T32" s="168"/>
      <c r="U32" s="133"/>
      <c r="V32" s="133"/>
      <c r="W32" s="133"/>
      <c r="X32" s="133"/>
      <c r="Y32" s="133"/>
      <c r="Z32" s="133"/>
      <c r="AA32" s="133"/>
      <c r="AB32" s="133"/>
      <c r="AC32" s="133"/>
      <c r="AD32" s="133"/>
      <c r="AE32" s="31"/>
    </row>
    <row r="33" spans="2:31" ht="45" x14ac:dyDescent="0.25">
      <c r="B33" s="81"/>
      <c r="C33" s="8" t="s">
        <v>52</v>
      </c>
      <c r="D33" s="152" t="s">
        <v>72</v>
      </c>
      <c r="E33" s="152" t="s">
        <v>125</v>
      </c>
      <c r="F33" s="86" t="s">
        <v>129</v>
      </c>
      <c r="G33" s="86" t="s">
        <v>130</v>
      </c>
      <c r="H33" s="86" t="s">
        <v>131</v>
      </c>
      <c r="I33" s="86" t="s">
        <v>132</v>
      </c>
      <c r="J33" s="86" t="s">
        <v>133</v>
      </c>
      <c r="K33" s="86" t="s">
        <v>134</v>
      </c>
      <c r="L33" s="86" t="s">
        <v>135</v>
      </c>
      <c r="M33" s="86" t="s">
        <v>136</v>
      </c>
      <c r="N33" s="86" t="s">
        <v>137</v>
      </c>
      <c r="O33" s="86" t="s">
        <v>138</v>
      </c>
      <c r="P33" s="32"/>
      <c r="Q33" s="85" t="s">
        <v>29</v>
      </c>
      <c r="R33" s="85" t="s">
        <v>124</v>
      </c>
      <c r="S33" s="76" t="s">
        <v>8</v>
      </c>
      <c r="T33" s="8" t="s">
        <v>61</v>
      </c>
      <c r="U33" s="86" t="s">
        <v>129</v>
      </c>
      <c r="V33" s="86" t="s">
        <v>130</v>
      </c>
      <c r="W33" s="86" t="s">
        <v>131</v>
      </c>
      <c r="X33" s="86" t="s">
        <v>132</v>
      </c>
      <c r="Y33" s="86" t="s">
        <v>133</v>
      </c>
      <c r="Z33" s="86" t="s">
        <v>134</v>
      </c>
      <c r="AA33" s="86" t="s">
        <v>135</v>
      </c>
      <c r="AB33" s="86" t="s">
        <v>136</v>
      </c>
      <c r="AC33" s="86" t="s">
        <v>137</v>
      </c>
      <c r="AD33" s="86" t="s">
        <v>138</v>
      </c>
      <c r="AE33" s="31"/>
    </row>
    <row r="34" spans="2:31" ht="13.15" customHeight="1" x14ac:dyDescent="0.25">
      <c r="B34" s="81"/>
      <c r="C34" s="50" t="s">
        <v>66</v>
      </c>
      <c r="D34" s="64">
        <f>'Overview IB'!D49</f>
        <v>0</v>
      </c>
      <c r="E34" s="64">
        <f>'Overview IB'!E49</f>
        <v>0</v>
      </c>
      <c r="F34" s="132">
        <f>'Overview IB'!I49</f>
        <v>0</v>
      </c>
      <c r="G34" s="132">
        <f>'Overview IB'!J49</f>
        <v>0</v>
      </c>
      <c r="H34" s="132">
        <f>'Overview IB'!K49</f>
        <v>0</v>
      </c>
      <c r="I34" s="132">
        <f>'Overview IB'!L49</f>
        <v>0</v>
      </c>
      <c r="J34" s="132">
        <f>'Overview IB'!M49</f>
        <v>0</v>
      </c>
      <c r="K34" s="132">
        <f>'Overview IB'!N49</f>
        <v>0</v>
      </c>
      <c r="L34" s="132">
        <f>'Overview IB'!O49</f>
        <v>0</v>
      </c>
      <c r="M34" s="132">
        <f>'Overview IB'!P49</f>
        <v>0</v>
      </c>
      <c r="N34" s="132">
        <f>'Overview IB'!Q49</f>
        <v>0</v>
      </c>
      <c r="O34" s="132">
        <f>'Overview IB'!R49</f>
        <v>0</v>
      </c>
      <c r="P34" s="32"/>
      <c r="Q34" s="64">
        <f>SUM(Q35:Q39)</f>
        <v>0</v>
      </c>
      <c r="R34" s="64">
        <f>SUM(R35:R39)</f>
        <v>0</v>
      </c>
      <c r="S34" s="157">
        <f t="shared" si="1"/>
        <v>0</v>
      </c>
      <c r="T34" s="168"/>
      <c r="U34" s="64">
        <f>SUM(U35:U39)</f>
        <v>0</v>
      </c>
      <c r="V34" s="64">
        <f t="shared" ref="V34:AD34" si="2">SUM(V35:V39)</f>
        <v>0</v>
      </c>
      <c r="W34" s="64">
        <f t="shared" si="2"/>
        <v>0</v>
      </c>
      <c r="X34" s="64">
        <f t="shared" si="2"/>
        <v>0</v>
      </c>
      <c r="Y34" s="64">
        <f t="shared" si="2"/>
        <v>0</v>
      </c>
      <c r="Z34" s="64">
        <f t="shared" si="2"/>
        <v>0</v>
      </c>
      <c r="AA34" s="64">
        <f t="shared" si="2"/>
        <v>0</v>
      </c>
      <c r="AB34" s="64">
        <f t="shared" si="2"/>
        <v>0</v>
      </c>
      <c r="AC34" s="64">
        <f t="shared" si="2"/>
        <v>0</v>
      </c>
      <c r="AD34" s="64">
        <f t="shared" si="2"/>
        <v>0</v>
      </c>
      <c r="AE34" s="31"/>
    </row>
    <row r="35" spans="2:31" x14ac:dyDescent="0.25">
      <c r="B35" s="81"/>
      <c r="C35" s="52" t="s">
        <v>39</v>
      </c>
      <c r="D35" s="132">
        <f>'Overview IB'!D50</f>
        <v>0</v>
      </c>
      <c r="E35" s="132">
        <f>'Overview IB'!E50</f>
        <v>0</v>
      </c>
      <c r="F35" s="132">
        <f>'Overview IB'!I50</f>
        <v>0</v>
      </c>
      <c r="G35" s="132">
        <f>'Overview IB'!J50</f>
        <v>0</v>
      </c>
      <c r="H35" s="132">
        <f>'Overview IB'!K50</f>
        <v>0</v>
      </c>
      <c r="I35" s="132">
        <f>'Overview IB'!L50</f>
        <v>0</v>
      </c>
      <c r="J35" s="132">
        <f>'Overview IB'!M50</f>
        <v>0</v>
      </c>
      <c r="K35" s="132">
        <f>'Overview IB'!N50</f>
        <v>0</v>
      </c>
      <c r="L35" s="132">
        <f>'Overview IB'!O50</f>
        <v>0</v>
      </c>
      <c r="M35" s="132">
        <f>'Overview IB'!P50</f>
        <v>0</v>
      </c>
      <c r="N35" s="132">
        <f>'Overview IB'!Q50</f>
        <v>0</v>
      </c>
      <c r="O35" s="132">
        <f>'Overview IB'!R50</f>
        <v>0</v>
      </c>
      <c r="P35" s="156"/>
      <c r="Q35" s="132">
        <f t="shared" ref="Q35:Q60" si="3">SUM(U35:AD35)</f>
        <v>0</v>
      </c>
      <c r="R35" s="103"/>
      <c r="S35" s="157">
        <f t="shared" si="1"/>
        <v>0</v>
      </c>
      <c r="T35" s="168"/>
      <c r="U35" s="133"/>
      <c r="V35" s="133"/>
      <c r="W35" s="133"/>
      <c r="X35" s="133"/>
      <c r="Y35" s="133"/>
      <c r="Z35" s="133"/>
      <c r="AA35" s="133"/>
      <c r="AB35" s="133"/>
      <c r="AC35" s="133"/>
      <c r="AD35" s="133"/>
      <c r="AE35" s="31"/>
    </row>
    <row r="36" spans="2:31" x14ac:dyDescent="0.25">
      <c r="B36" s="81"/>
      <c r="C36" s="52" t="s">
        <v>40</v>
      </c>
      <c r="D36" s="132">
        <f>'Overview IB'!D51</f>
        <v>0</v>
      </c>
      <c r="E36" s="132">
        <f>'Overview IB'!E51</f>
        <v>0</v>
      </c>
      <c r="F36" s="132">
        <f>'Overview IB'!I51</f>
        <v>0</v>
      </c>
      <c r="G36" s="132">
        <f>'Overview IB'!J51</f>
        <v>0</v>
      </c>
      <c r="H36" s="132">
        <f>'Overview IB'!K51</f>
        <v>0</v>
      </c>
      <c r="I36" s="132">
        <f>'Overview IB'!L51</f>
        <v>0</v>
      </c>
      <c r="J36" s="132">
        <f>'Overview IB'!M51</f>
        <v>0</v>
      </c>
      <c r="K36" s="132">
        <f>'Overview IB'!N51</f>
        <v>0</v>
      </c>
      <c r="L36" s="132">
        <f>'Overview IB'!O51</f>
        <v>0</v>
      </c>
      <c r="M36" s="132">
        <f>'Overview IB'!P51</f>
        <v>0</v>
      </c>
      <c r="N36" s="132">
        <f>'Overview IB'!Q51</f>
        <v>0</v>
      </c>
      <c r="O36" s="132">
        <f>'Overview IB'!R51</f>
        <v>0</v>
      </c>
      <c r="P36" s="156"/>
      <c r="Q36" s="132">
        <f t="shared" si="3"/>
        <v>0</v>
      </c>
      <c r="R36" s="103"/>
      <c r="S36" s="157">
        <f t="shared" si="1"/>
        <v>0</v>
      </c>
      <c r="T36" s="168"/>
      <c r="U36" s="133"/>
      <c r="V36" s="133"/>
      <c r="W36" s="133"/>
      <c r="X36" s="133"/>
      <c r="Y36" s="133"/>
      <c r="Z36" s="133"/>
      <c r="AA36" s="133"/>
      <c r="AB36" s="133"/>
      <c r="AC36" s="133"/>
      <c r="AD36" s="133"/>
      <c r="AE36" s="31"/>
    </row>
    <row r="37" spans="2:31" x14ac:dyDescent="0.25">
      <c r="B37" s="81"/>
      <c r="C37" s="52" t="s">
        <v>41</v>
      </c>
      <c r="D37" s="132">
        <f>'Overview IB'!D52</f>
        <v>0</v>
      </c>
      <c r="E37" s="132">
        <f>'Overview IB'!E52</f>
        <v>0</v>
      </c>
      <c r="F37" s="132">
        <f>'Overview IB'!I52</f>
        <v>0</v>
      </c>
      <c r="G37" s="132">
        <f>'Overview IB'!J52</f>
        <v>0</v>
      </c>
      <c r="H37" s="132">
        <f>'Overview IB'!K52</f>
        <v>0</v>
      </c>
      <c r="I37" s="132">
        <f>'Overview IB'!L52</f>
        <v>0</v>
      </c>
      <c r="J37" s="132">
        <f>'Overview IB'!M52</f>
        <v>0</v>
      </c>
      <c r="K37" s="132">
        <f>'Overview IB'!N52</f>
        <v>0</v>
      </c>
      <c r="L37" s="132">
        <f>'Overview IB'!O52</f>
        <v>0</v>
      </c>
      <c r="M37" s="132">
        <f>'Overview IB'!P52</f>
        <v>0</v>
      </c>
      <c r="N37" s="132">
        <f>'Overview IB'!Q52</f>
        <v>0</v>
      </c>
      <c r="O37" s="132">
        <f>'Overview IB'!R52</f>
        <v>0</v>
      </c>
      <c r="P37" s="156"/>
      <c r="Q37" s="132">
        <f t="shared" si="3"/>
        <v>0</v>
      </c>
      <c r="R37" s="103"/>
      <c r="S37" s="157">
        <f t="shared" si="1"/>
        <v>0</v>
      </c>
      <c r="T37" s="168"/>
      <c r="U37" s="133"/>
      <c r="V37" s="133"/>
      <c r="W37" s="133"/>
      <c r="X37" s="133"/>
      <c r="Y37" s="133"/>
      <c r="Z37" s="133"/>
      <c r="AA37" s="133"/>
      <c r="AB37" s="133"/>
      <c r="AC37" s="133"/>
      <c r="AD37" s="133"/>
      <c r="AE37" s="31"/>
    </row>
    <row r="38" spans="2:31" x14ac:dyDescent="0.25">
      <c r="B38" s="81"/>
      <c r="C38" s="52" t="s">
        <v>42</v>
      </c>
      <c r="D38" s="132">
        <f>'Overview IB'!D53</f>
        <v>0</v>
      </c>
      <c r="E38" s="132">
        <f>'Overview IB'!E53</f>
        <v>0</v>
      </c>
      <c r="F38" s="132">
        <f>'Overview IB'!I53</f>
        <v>0</v>
      </c>
      <c r="G38" s="132">
        <f>'Overview IB'!J53</f>
        <v>0</v>
      </c>
      <c r="H38" s="132">
        <f>'Overview IB'!K53</f>
        <v>0</v>
      </c>
      <c r="I38" s="132">
        <f>'Overview IB'!L53</f>
        <v>0</v>
      </c>
      <c r="J38" s="132">
        <f>'Overview IB'!M53</f>
        <v>0</v>
      </c>
      <c r="K38" s="132">
        <f>'Overview IB'!N53</f>
        <v>0</v>
      </c>
      <c r="L38" s="132">
        <f>'Overview IB'!O53</f>
        <v>0</v>
      </c>
      <c r="M38" s="132">
        <f>'Overview IB'!P53</f>
        <v>0</v>
      </c>
      <c r="N38" s="132">
        <f>'Overview IB'!Q53</f>
        <v>0</v>
      </c>
      <c r="O38" s="132">
        <f>'Overview IB'!R53</f>
        <v>0</v>
      </c>
      <c r="P38" s="156"/>
      <c r="Q38" s="132">
        <f t="shared" si="3"/>
        <v>0</v>
      </c>
      <c r="R38" s="103"/>
      <c r="S38" s="157">
        <f t="shared" si="1"/>
        <v>0</v>
      </c>
      <c r="T38" s="168"/>
      <c r="U38" s="133"/>
      <c r="V38" s="133"/>
      <c r="W38" s="133"/>
      <c r="X38" s="133"/>
      <c r="Y38" s="133"/>
      <c r="Z38" s="133"/>
      <c r="AA38" s="133"/>
      <c r="AB38" s="133"/>
      <c r="AC38" s="133"/>
      <c r="AD38" s="133"/>
      <c r="AE38" s="31"/>
    </row>
    <row r="39" spans="2:31" x14ac:dyDescent="0.25">
      <c r="B39" s="81"/>
      <c r="C39" s="52" t="s">
        <v>43</v>
      </c>
      <c r="D39" s="132">
        <f>'Overview IB'!D54</f>
        <v>0</v>
      </c>
      <c r="E39" s="132">
        <f>'Overview IB'!E54</f>
        <v>0</v>
      </c>
      <c r="F39" s="132">
        <f>'Overview IB'!I54</f>
        <v>0</v>
      </c>
      <c r="G39" s="132">
        <f>'Overview IB'!J54</f>
        <v>0</v>
      </c>
      <c r="H39" s="132">
        <f>'Overview IB'!K54</f>
        <v>0</v>
      </c>
      <c r="I39" s="132">
        <f>'Overview IB'!L54</f>
        <v>0</v>
      </c>
      <c r="J39" s="132">
        <f>'Overview IB'!M54</f>
        <v>0</v>
      </c>
      <c r="K39" s="132">
        <f>'Overview IB'!N54</f>
        <v>0</v>
      </c>
      <c r="L39" s="132">
        <f>'Overview IB'!O54</f>
        <v>0</v>
      </c>
      <c r="M39" s="132">
        <f>'Overview IB'!P54</f>
        <v>0</v>
      </c>
      <c r="N39" s="132">
        <f>'Overview IB'!Q54</f>
        <v>0</v>
      </c>
      <c r="O39" s="132">
        <f>'Overview IB'!R54</f>
        <v>0</v>
      </c>
      <c r="P39" s="156"/>
      <c r="Q39" s="132">
        <f t="shared" si="3"/>
        <v>0</v>
      </c>
      <c r="R39" s="103"/>
      <c r="S39" s="157">
        <f t="shared" si="1"/>
        <v>0</v>
      </c>
      <c r="T39" s="168"/>
      <c r="U39" s="133"/>
      <c r="V39" s="133"/>
      <c r="W39" s="133"/>
      <c r="X39" s="133"/>
      <c r="Y39" s="133"/>
      <c r="Z39" s="133"/>
      <c r="AA39" s="133"/>
      <c r="AB39" s="133"/>
      <c r="AC39" s="133"/>
      <c r="AD39" s="133"/>
      <c r="AE39" s="31"/>
    </row>
    <row r="40" spans="2:31" x14ac:dyDescent="0.25">
      <c r="B40" s="81"/>
      <c r="C40" s="50" t="s">
        <v>67</v>
      </c>
      <c r="D40" s="64">
        <f>'Overview IB'!D55</f>
        <v>0</v>
      </c>
      <c r="E40" s="64">
        <f>'Overview IB'!E55</f>
        <v>0</v>
      </c>
      <c r="F40" s="132">
        <f>'Overview IB'!I55</f>
        <v>0</v>
      </c>
      <c r="G40" s="132">
        <f>'Overview IB'!J55</f>
        <v>0</v>
      </c>
      <c r="H40" s="132">
        <f>'Overview IB'!K55</f>
        <v>0</v>
      </c>
      <c r="I40" s="132">
        <f>'Overview IB'!L55</f>
        <v>0</v>
      </c>
      <c r="J40" s="132">
        <f>'Overview IB'!M55</f>
        <v>0</v>
      </c>
      <c r="K40" s="132">
        <f>'Overview IB'!N55</f>
        <v>0</v>
      </c>
      <c r="L40" s="132">
        <f>'Overview IB'!O55</f>
        <v>0</v>
      </c>
      <c r="M40" s="132">
        <f>'Overview IB'!P55</f>
        <v>0</v>
      </c>
      <c r="N40" s="132">
        <f>'Overview IB'!Q55</f>
        <v>0</v>
      </c>
      <c r="O40" s="132">
        <f>'Overview IB'!R55</f>
        <v>0</v>
      </c>
      <c r="P40" s="32"/>
      <c r="Q40" s="64">
        <f t="shared" si="3"/>
        <v>0</v>
      </c>
      <c r="R40" s="103"/>
      <c r="S40" s="157">
        <f t="shared" si="1"/>
        <v>0</v>
      </c>
      <c r="T40" s="168"/>
      <c r="U40" s="66"/>
      <c r="V40" s="66"/>
      <c r="W40" s="66"/>
      <c r="X40" s="66"/>
      <c r="Y40" s="66"/>
      <c r="Z40" s="66"/>
      <c r="AA40" s="66"/>
      <c r="AB40" s="66"/>
      <c r="AC40" s="66"/>
      <c r="AD40" s="66"/>
      <c r="AE40" s="31"/>
    </row>
    <row r="41" spans="2:31" x14ac:dyDescent="0.25">
      <c r="B41" s="81"/>
      <c r="C41" s="50" t="s">
        <v>68</v>
      </c>
      <c r="D41" s="64">
        <f>'Overview IB'!D56</f>
        <v>0</v>
      </c>
      <c r="E41" s="64">
        <f>'Overview IB'!E56</f>
        <v>0</v>
      </c>
      <c r="F41" s="132">
        <f>'Overview IB'!I56</f>
        <v>0</v>
      </c>
      <c r="G41" s="132">
        <f>'Overview IB'!J56</f>
        <v>0</v>
      </c>
      <c r="H41" s="132">
        <f>'Overview IB'!K56</f>
        <v>0</v>
      </c>
      <c r="I41" s="132">
        <f>'Overview IB'!L56</f>
        <v>0</v>
      </c>
      <c r="J41" s="132">
        <f>'Overview IB'!M56</f>
        <v>0</v>
      </c>
      <c r="K41" s="132">
        <f>'Overview IB'!N56</f>
        <v>0</v>
      </c>
      <c r="L41" s="132">
        <f>'Overview IB'!O56</f>
        <v>0</v>
      </c>
      <c r="M41" s="132">
        <f>'Overview IB'!P56</f>
        <v>0</v>
      </c>
      <c r="N41" s="132">
        <f>'Overview IB'!Q56</f>
        <v>0</v>
      </c>
      <c r="O41" s="132">
        <f>'Overview IB'!R56</f>
        <v>0</v>
      </c>
      <c r="P41" s="32"/>
      <c r="Q41" s="64">
        <f t="shared" si="3"/>
        <v>0</v>
      </c>
      <c r="R41" s="103"/>
      <c r="S41" s="157">
        <f t="shared" si="1"/>
        <v>0</v>
      </c>
      <c r="T41" s="168"/>
      <c r="U41" s="66"/>
      <c r="V41" s="66"/>
      <c r="W41" s="66"/>
      <c r="X41" s="66"/>
      <c r="Y41" s="66"/>
      <c r="Z41" s="66"/>
      <c r="AA41" s="66"/>
      <c r="AB41" s="66"/>
      <c r="AC41" s="66"/>
      <c r="AD41" s="66"/>
      <c r="AE41" s="31"/>
    </row>
    <row r="42" spans="2:31" x14ac:dyDescent="0.25">
      <c r="B42" s="81"/>
      <c r="C42" s="50" t="s">
        <v>25</v>
      </c>
      <c r="D42" s="64">
        <f>'Overview IB'!D57</f>
        <v>0</v>
      </c>
      <c r="E42" s="64">
        <f>'Overview IB'!E57</f>
        <v>0</v>
      </c>
      <c r="F42" s="132">
        <f>'Overview IB'!I57</f>
        <v>0</v>
      </c>
      <c r="G42" s="132">
        <f>'Overview IB'!J57</f>
        <v>0</v>
      </c>
      <c r="H42" s="132">
        <f>'Overview IB'!K57</f>
        <v>0</v>
      </c>
      <c r="I42" s="132">
        <f>'Overview IB'!L57</f>
        <v>0</v>
      </c>
      <c r="J42" s="132">
        <f>'Overview IB'!M57</f>
        <v>0</v>
      </c>
      <c r="K42" s="132">
        <f>'Overview IB'!N57</f>
        <v>0</v>
      </c>
      <c r="L42" s="132">
        <f>'Overview IB'!O57</f>
        <v>0</v>
      </c>
      <c r="M42" s="132">
        <f>'Overview IB'!P57</f>
        <v>0</v>
      </c>
      <c r="N42" s="132">
        <f>'Overview IB'!Q57</f>
        <v>0</v>
      </c>
      <c r="O42" s="132">
        <f>'Overview IB'!R57</f>
        <v>0</v>
      </c>
      <c r="P42" s="32"/>
      <c r="Q42" s="64">
        <f t="shared" si="3"/>
        <v>0</v>
      </c>
      <c r="R42" s="103"/>
      <c r="S42" s="157">
        <f t="shared" si="1"/>
        <v>0</v>
      </c>
      <c r="T42" s="168"/>
      <c r="U42" s="66"/>
      <c r="V42" s="66"/>
      <c r="W42" s="66"/>
      <c r="X42" s="66"/>
      <c r="Y42" s="66"/>
      <c r="Z42" s="66"/>
      <c r="AA42" s="66"/>
      <c r="AB42" s="66"/>
      <c r="AC42" s="66"/>
      <c r="AD42" s="66"/>
      <c r="AE42" s="31"/>
    </row>
    <row r="43" spans="2:31" ht="33" customHeight="1" x14ac:dyDescent="0.25">
      <c r="B43" s="81"/>
      <c r="C43" s="50" t="s">
        <v>117</v>
      </c>
      <c r="D43" s="64">
        <f>'Overview IB'!D58</f>
        <v>0</v>
      </c>
      <c r="E43" s="64">
        <f>'Overview IB'!E58</f>
        <v>0</v>
      </c>
      <c r="F43" s="132">
        <f>'Overview IB'!I58</f>
        <v>0</v>
      </c>
      <c r="G43" s="132">
        <f>'Overview IB'!J58</f>
        <v>0</v>
      </c>
      <c r="H43" s="132">
        <f>'Overview IB'!K58</f>
        <v>0</v>
      </c>
      <c r="I43" s="132">
        <f>'Overview IB'!L58</f>
        <v>0</v>
      </c>
      <c r="J43" s="132">
        <f>'Overview IB'!M58</f>
        <v>0</v>
      </c>
      <c r="K43" s="132">
        <f>'Overview IB'!N58</f>
        <v>0</v>
      </c>
      <c r="L43" s="132">
        <f>'Overview IB'!O58</f>
        <v>0</v>
      </c>
      <c r="M43" s="132">
        <f>'Overview IB'!P58</f>
        <v>0</v>
      </c>
      <c r="N43" s="132">
        <f>'Overview IB'!Q58</f>
        <v>0</v>
      </c>
      <c r="O43" s="132">
        <f>'Overview IB'!R58</f>
        <v>0</v>
      </c>
      <c r="P43" s="32"/>
      <c r="Q43" s="64">
        <f t="shared" si="3"/>
        <v>0</v>
      </c>
      <c r="R43" s="103"/>
      <c r="S43" s="157">
        <f t="shared" si="1"/>
        <v>0</v>
      </c>
      <c r="T43" s="168"/>
      <c r="U43" s="66"/>
      <c r="V43" s="66"/>
      <c r="W43" s="66"/>
      <c r="X43" s="66"/>
      <c r="Y43" s="66"/>
      <c r="Z43" s="66"/>
      <c r="AA43" s="66"/>
      <c r="AB43" s="66"/>
      <c r="AC43" s="66"/>
      <c r="AD43" s="66"/>
      <c r="AE43" s="31"/>
    </row>
    <row r="44" spans="2:31" ht="33" customHeight="1" x14ac:dyDescent="0.25">
      <c r="B44" s="81"/>
      <c r="C44" s="52" t="s">
        <v>118</v>
      </c>
      <c r="D44" s="132">
        <f>'Overview IB'!D59</f>
        <v>0</v>
      </c>
      <c r="E44" s="132">
        <f>'Overview IB'!E59</f>
        <v>0</v>
      </c>
      <c r="F44" s="132">
        <f>'Overview IB'!I59</f>
        <v>0</v>
      </c>
      <c r="G44" s="132">
        <f>'Overview IB'!J59</f>
        <v>0</v>
      </c>
      <c r="H44" s="132">
        <f>'Overview IB'!K59</f>
        <v>0</v>
      </c>
      <c r="I44" s="132">
        <f>'Overview IB'!L59</f>
        <v>0</v>
      </c>
      <c r="J44" s="132">
        <f>'Overview IB'!M59</f>
        <v>0</v>
      </c>
      <c r="K44" s="132">
        <f>'Overview IB'!N59</f>
        <v>0</v>
      </c>
      <c r="L44" s="132">
        <f>'Overview IB'!O59</f>
        <v>0</v>
      </c>
      <c r="M44" s="132">
        <f>'Overview IB'!P59</f>
        <v>0</v>
      </c>
      <c r="N44" s="132">
        <f>'Overview IB'!Q59</f>
        <v>0</v>
      </c>
      <c r="O44" s="132">
        <f>'Overview IB'!R59</f>
        <v>0</v>
      </c>
      <c r="P44" s="156"/>
      <c r="Q44" s="132">
        <f t="shared" si="3"/>
        <v>0</v>
      </c>
      <c r="R44" s="103"/>
      <c r="S44" s="157">
        <f t="shared" si="1"/>
        <v>0</v>
      </c>
      <c r="T44" s="168"/>
      <c r="U44" s="133"/>
      <c r="V44" s="133"/>
      <c r="W44" s="133"/>
      <c r="X44" s="133"/>
      <c r="Y44" s="133"/>
      <c r="Z44" s="133"/>
      <c r="AA44" s="133"/>
      <c r="AB44" s="133"/>
      <c r="AC44" s="133"/>
      <c r="AD44" s="133"/>
      <c r="AE44" s="31"/>
    </row>
    <row r="45" spans="2:31" x14ac:dyDescent="0.25">
      <c r="B45" s="81"/>
      <c r="C45" s="52" t="s">
        <v>57</v>
      </c>
      <c r="D45" s="132">
        <f>'Overview IB'!D60</f>
        <v>0</v>
      </c>
      <c r="E45" s="132">
        <f>'Overview IB'!E60</f>
        <v>0</v>
      </c>
      <c r="F45" s="132">
        <f>'Overview IB'!I60</f>
        <v>0</v>
      </c>
      <c r="G45" s="132">
        <f>'Overview IB'!J60</f>
        <v>0</v>
      </c>
      <c r="H45" s="132">
        <f>'Overview IB'!K60</f>
        <v>0</v>
      </c>
      <c r="I45" s="132">
        <f>'Overview IB'!L60</f>
        <v>0</v>
      </c>
      <c r="J45" s="132">
        <f>'Overview IB'!M60</f>
        <v>0</v>
      </c>
      <c r="K45" s="132">
        <f>'Overview IB'!N60</f>
        <v>0</v>
      </c>
      <c r="L45" s="132">
        <f>'Overview IB'!O60</f>
        <v>0</v>
      </c>
      <c r="M45" s="132">
        <f>'Overview IB'!P60</f>
        <v>0</v>
      </c>
      <c r="N45" s="132">
        <f>'Overview IB'!Q60</f>
        <v>0</v>
      </c>
      <c r="O45" s="132">
        <f>'Overview IB'!R60</f>
        <v>0</v>
      </c>
      <c r="P45" s="156"/>
      <c r="Q45" s="132">
        <f t="shared" si="3"/>
        <v>0</v>
      </c>
      <c r="R45" s="103"/>
      <c r="S45" s="157">
        <f t="shared" si="1"/>
        <v>0</v>
      </c>
      <c r="T45" s="168"/>
      <c r="U45" s="133"/>
      <c r="V45" s="133"/>
      <c r="W45" s="133"/>
      <c r="X45" s="133"/>
      <c r="Y45" s="133"/>
      <c r="Z45" s="133"/>
      <c r="AA45" s="133"/>
      <c r="AB45" s="133"/>
      <c r="AC45" s="133"/>
      <c r="AD45" s="133"/>
      <c r="AE45" s="31"/>
    </row>
    <row r="46" spans="2:31" x14ac:dyDescent="0.25">
      <c r="B46" s="81"/>
      <c r="C46" s="50" t="s">
        <v>44</v>
      </c>
      <c r="D46" s="64">
        <f>'Overview IB'!D61</f>
        <v>0</v>
      </c>
      <c r="E46" s="64">
        <f>'Overview IB'!E61</f>
        <v>0</v>
      </c>
      <c r="F46" s="132">
        <f>'Overview IB'!I61</f>
        <v>0</v>
      </c>
      <c r="G46" s="132">
        <f>'Overview IB'!J61</f>
        <v>0</v>
      </c>
      <c r="H46" s="132">
        <f>'Overview IB'!K61</f>
        <v>0</v>
      </c>
      <c r="I46" s="132">
        <f>'Overview IB'!L61</f>
        <v>0</v>
      </c>
      <c r="J46" s="132">
        <f>'Overview IB'!M61</f>
        <v>0</v>
      </c>
      <c r="K46" s="132">
        <f>'Overview IB'!N61</f>
        <v>0</v>
      </c>
      <c r="L46" s="132">
        <f>'Overview IB'!O61</f>
        <v>0</v>
      </c>
      <c r="M46" s="132">
        <f>'Overview IB'!P61</f>
        <v>0</v>
      </c>
      <c r="N46" s="132">
        <f>'Overview IB'!Q61</f>
        <v>0</v>
      </c>
      <c r="O46" s="132">
        <f>'Overview IB'!R61</f>
        <v>0</v>
      </c>
      <c r="P46" s="32"/>
      <c r="Q46" s="64">
        <f t="shared" si="3"/>
        <v>0</v>
      </c>
      <c r="R46" s="103"/>
      <c r="S46" s="157">
        <f t="shared" si="1"/>
        <v>0</v>
      </c>
      <c r="T46" s="168"/>
      <c r="U46" s="66"/>
      <c r="V46" s="66"/>
      <c r="W46" s="66"/>
      <c r="X46" s="66"/>
      <c r="Y46" s="66"/>
      <c r="Z46" s="66"/>
      <c r="AA46" s="66"/>
      <c r="AB46" s="66"/>
      <c r="AC46" s="66"/>
      <c r="AD46" s="66"/>
      <c r="AE46" s="31"/>
    </row>
    <row r="47" spans="2:31" ht="33" customHeight="1" x14ac:dyDescent="0.25">
      <c r="B47" s="81"/>
      <c r="C47" s="52" t="s">
        <v>81</v>
      </c>
      <c r="D47" s="132">
        <f>'Overview IB'!D62</f>
        <v>0</v>
      </c>
      <c r="E47" s="132">
        <f>'Overview IB'!E62</f>
        <v>0</v>
      </c>
      <c r="F47" s="132">
        <f>'Overview IB'!I62</f>
        <v>0</v>
      </c>
      <c r="G47" s="132">
        <f>'Overview IB'!J62</f>
        <v>0</v>
      </c>
      <c r="H47" s="132">
        <f>'Overview IB'!K62</f>
        <v>0</v>
      </c>
      <c r="I47" s="132">
        <f>'Overview IB'!L62</f>
        <v>0</v>
      </c>
      <c r="J47" s="132">
        <f>'Overview IB'!M62</f>
        <v>0</v>
      </c>
      <c r="K47" s="132">
        <f>'Overview IB'!N62</f>
        <v>0</v>
      </c>
      <c r="L47" s="132">
        <f>'Overview IB'!O62</f>
        <v>0</v>
      </c>
      <c r="M47" s="132">
        <f>'Overview IB'!P62</f>
        <v>0</v>
      </c>
      <c r="N47" s="132">
        <f>'Overview IB'!Q62</f>
        <v>0</v>
      </c>
      <c r="O47" s="132">
        <f>'Overview IB'!R62</f>
        <v>0</v>
      </c>
      <c r="P47" s="156"/>
      <c r="Q47" s="132">
        <f t="shared" si="3"/>
        <v>0</v>
      </c>
      <c r="R47" s="103"/>
      <c r="S47" s="157">
        <f t="shared" si="1"/>
        <v>0</v>
      </c>
      <c r="T47" s="168"/>
      <c r="U47" s="133"/>
      <c r="V47" s="133"/>
      <c r="W47" s="133"/>
      <c r="X47" s="133"/>
      <c r="Y47" s="133"/>
      <c r="Z47" s="133"/>
      <c r="AA47" s="133"/>
      <c r="AB47" s="133"/>
      <c r="AC47" s="133"/>
      <c r="AD47" s="133"/>
      <c r="AE47" s="31"/>
    </row>
    <row r="48" spans="2:31" ht="45" x14ac:dyDescent="0.25">
      <c r="B48" s="81"/>
      <c r="C48" s="8" t="s">
        <v>147</v>
      </c>
      <c r="D48" s="152" t="s">
        <v>72</v>
      </c>
      <c r="E48" s="152" t="s">
        <v>125</v>
      </c>
      <c r="F48" s="86" t="s">
        <v>129</v>
      </c>
      <c r="G48" s="86" t="s">
        <v>130</v>
      </c>
      <c r="H48" s="86" t="s">
        <v>131</v>
      </c>
      <c r="I48" s="86" t="s">
        <v>132</v>
      </c>
      <c r="J48" s="86" t="s">
        <v>133</v>
      </c>
      <c r="K48" s="86" t="s">
        <v>134</v>
      </c>
      <c r="L48" s="86" t="s">
        <v>135</v>
      </c>
      <c r="M48" s="86" t="s">
        <v>136</v>
      </c>
      <c r="N48" s="86" t="s">
        <v>137</v>
      </c>
      <c r="O48" s="86" t="s">
        <v>138</v>
      </c>
      <c r="P48" s="32"/>
      <c r="Q48" s="85" t="s">
        <v>29</v>
      </c>
      <c r="R48" s="85" t="s">
        <v>124</v>
      </c>
      <c r="S48" s="76" t="s">
        <v>8</v>
      </c>
      <c r="T48" s="8" t="s">
        <v>61</v>
      </c>
      <c r="U48" s="86" t="s">
        <v>129</v>
      </c>
      <c r="V48" s="86" t="s">
        <v>130</v>
      </c>
      <c r="W48" s="86" t="s">
        <v>131</v>
      </c>
      <c r="X48" s="86" t="s">
        <v>132</v>
      </c>
      <c r="Y48" s="86" t="s">
        <v>133</v>
      </c>
      <c r="Z48" s="86" t="s">
        <v>134</v>
      </c>
      <c r="AA48" s="86" t="s">
        <v>135</v>
      </c>
      <c r="AB48" s="86" t="s">
        <v>136</v>
      </c>
      <c r="AC48" s="86" t="s">
        <v>137</v>
      </c>
      <c r="AD48" s="86" t="s">
        <v>138</v>
      </c>
      <c r="AE48" s="31"/>
    </row>
    <row r="49" spans="2:31" ht="29.25" customHeight="1" x14ac:dyDescent="0.25">
      <c r="B49" s="81"/>
      <c r="C49" s="50" t="s">
        <v>109</v>
      </c>
      <c r="D49" s="64">
        <f>'Overview IB'!D64</f>
        <v>0</v>
      </c>
      <c r="E49" s="64">
        <f>'Overview IB'!E64</f>
        <v>0</v>
      </c>
      <c r="F49" s="132">
        <f>'Overview IB'!I64</f>
        <v>0</v>
      </c>
      <c r="G49" s="132">
        <f>'Overview IB'!J64</f>
        <v>0</v>
      </c>
      <c r="H49" s="132">
        <f>'Overview IB'!K64</f>
        <v>0</v>
      </c>
      <c r="I49" s="132">
        <f>'Overview IB'!L64</f>
        <v>0</v>
      </c>
      <c r="J49" s="132">
        <f>'Overview IB'!M64</f>
        <v>0</v>
      </c>
      <c r="K49" s="132">
        <f>'Overview IB'!N64</f>
        <v>0</v>
      </c>
      <c r="L49" s="132">
        <f>'Overview IB'!O64</f>
        <v>0</v>
      </c>
      <c r="M49" s="132">
        <f>'Overview IB'!P64</f>
        <v>0</v>
      </c>
      <c r="N49" s="132">
        <f>'Overview IB'!Q64</f>
        <v>0</v>
      </c>
      <c r="O49" s="132">
        <f>'Overview IB'!R64</f>
        <v>0</v>
      </c>
      <c r="P49" s="104"/>
      <c r="Q49" s="64">
        <f t="shared" si="3"/>
        <v>0</v>
      </c>
      <c r="R49" s="103"/>
      <c r="S49" s="157">
        <f t="shared" si="1"/>
        <v>0</v>
      </c>
      <c r="T49" s="168"/>
      <c r="U49" s="66"/>
      <c r="V49" s="66"/>
      <c r="W49" s="66"/>
      <c r="X49" s="66"/>
      <c r="Y49" s="66"/>
      <c r="Z49" s="66"/>
      <c r="AA49" s="66"/>
      <c r="AB49" s="66"/>
      <c r="AC49" s="66"/>
      <c r="AD49" s="66"/>
      <c r="AE49" s="31"/>
    </row>
    <row r="50" spans="2:31" x14ac:dyDescent="0.25">
      <c r="B50" s="81"/>
      <c r="C50" s="49" t="s">
        <v>69</v>
      </c>
      <c r="D50" s="64">
        <f>'Overview IB'!D65</f>
        <v>0</v>
      </c>
      <c r="E50" s="64">
        <f>'Overview IB'!E65</f>
        <v>0</v>
      </c>
      <c r="F50" s="132">
        <f>'Overview IB'!I65</f>
        <v>0</v>
      </c>
      <c r="G50" s="132">
        <f>'Overview IB'!J65</f>
        <v>0</v>
      </c>
      <c r="H50" s="132">
        <f>'Overview IB'!K65</f>
        <v>0</v>
      </c>
      <c r="I50" s="132">
        <f>'Overview IB'!L65</f>
        <v>0</v>
      </c>
      <c r="J50" s="132">
        <f>'Overview IB'!M65</f>
        <v>0</v>
      </c>
      <c r="K50" s="132">
        <f>'Overview IB'!N65</f>
        <v>0</v>
      </c>
      <c r="L50" s="132">
        <f>'Overview IB'!O65</f>
        <v>0</v>
      </c>
      <c r="M50" s="132">
        <f>'Overview IB'!P65</f>
        <v>0</v>
      </c>
      <c r="N50" s="132">
        <f>'Overview IB'!Q65</f>
        <v>0</v>
      </c>
      <c r="O50" s="132">
        <f>'Overview IB'!R65</f>
        <v>0</v>
      </c>
      <c r="P50" s="104"/>
      <c r="Q50" s="64">
        <f t="shared" si="3"/>
        <v>0</v>
      </c>
      <c r="R50" s="103"/>
      <c r="S50" s="157">
        <f t="shared" si="1"/>
        <v>0</v>
      </c>
      <c r="T50" s="168"/>
      <c r="U50" s="66"/>
      <c r="V50" s="66"/>
      <c r="W50" s="66"/>
      <c r="X50" s="66"/>
      <c r="Y50" s="66"/>
      <c r="Z50" s="66"/>
      <c r="AA50" s="66"/>
      <c r="AB50" s="66"/>
      <c r="AC50" s="66"/>
      <c r="AD50" s="66"/>
      <c r="AE50" s="31"/>
    </row>
    <row r="51" spans="2:31" ht="13.15" customHeight="1" x14ac:dyDescent="0.25">
      <c r="B51" s="81"/>
      <c r="C51" s="52" t="s">
        <v>64</v>
      </c>
      <c r="D51" s="132">
        <f>'Overview IB'!D66</f>
        <v>0</v>
      </c>
      <c r="E51" s="132">
        <f>'Overview IB'!E66</f>
        <v>0</v>
      </c>
      <c r="F51" s="132">
        <f>'Overview IB'!I66</f>
        <v>0</v>
      </c>
      <c r="G51" s="132">
        <f>'Overview IB'!J66</f>
        <v>0</v>
      </c>
      <c r="H51" s="132">
        <f>'Overview IB'!K66</f>
        <v>0</v>
      </c>
      <c r="I51" s="132">
        <f>'Overview IB'!L66</f>
        <v>0</v>
      </c>
      <c r="J51" s="132">
        <f>'Overview IB'!M66</f>
        <v>0</v>
      </c>
      <c r="K51" s="132">
        <f>'Overview IB'!N66</f>
        <v>0</v>
      </c>
      <c r="L51" s="132">
        <f>'Overview IB'!O66</f>
        <v>0</v>
      </c>
      <c r="M51" s="132">
        <f>'Overview IB'!P66</f>
        <v>0</v>
      </c>
      <c r="N51" s="132">
        <f>'Overview IB'!Q66</f>
        <v>0</v>
      </c>
      <c r="O51" s="132">
        <f>'Overview IB'!R66</f>
        <v>0</v>
      </c>
      <c r="P51" s="102"/>
      <c r="Q51" s="132">
        <f t="shared" si="3"/>
        <v>0</v>
      </c>
      <c r="R51" s="103"/>
      <c r="S51" s="157">
        <f t="shared" si="1"/>
        <v>0</v>
      </c>
      <c r="T51" s="168"/>
      <c r="U51" s="133"/>
      <c r="V51" s="133"/>
      <c r="W51" s="133"/>
      <c r="X51" s="133"/>
      <c r="Y51" s="133"/>
      <c r="Z51" s="133"/>
      <c r="AA51" s="133"/>
      <c r="AB51" s="133"/>
      <c r="AC51" s="133"/>
      <c r="AD51" s="133"/>
      <c r="AE51" s="31"/>
    </row>
    <row r="52" spans="2:31" ht="14.65" customHeight="1" x14ac:dyDescent="0.25">
      <c r="B52" s="81"/>
      <c r="C52" s="49" t="s">
        <v>110</v>
      </c>
      <c r="D52" s="64">
        <f>'Overview IB'!D67</f>
        <v>0</v>
      </c>
      <c r="E52" s="64">
        <f>'Overview IB'!E67</f>
        <v>0</v>
      </c>
      <c r="F52" s="132">
        <f>'Overview IB'!I67</f>
        <v>0</v>
      </c>
      <c r="G52" s="132">
        <f>'Overview IB'!J67</f>
        <v>0</v>
      </c>
      <c r="H52" s="132">
        <f>'Overview IB'!K67</f>
        <v>0</v>
      </c>
      <c r="I52" s="132">
        <f>'Overview IB'!L67</f>
        <v>0</v>
      </c>
      <c r="J52" s="132">
        <f>'Overview IB'!M67</f>
        <v>0</v>
      </c>
      <c r="K52" s="132">
        <f>'Overview IB'!N67</f>
        <v>0</v>
      </c>
      <c r="L52" s="132">
        <f>'Overview IB'!O67</f>
        <v>0</v>
      </c>
      <c r="M52" s="132">
        <f>'Overview IB'!P67</f>
        <v>0</v>
      </c>
      <c r="N52" s="132">
        <f>'Overview IB'!Q67</f>
        <v>0</v>
      </c>
      <c r="O52" s="132">
        <f>'Overview IB'!R67</f>
        <v>0</v>
      </c>
      <c r="P52" s="104"/>
      <c r="Q52" s="64">
        <f t="shared" si="3"/>
        <v>0</v>
      </c>
      <c r="R52" s="103"/>
      <c r="S52" s="157">
        <f t="shared" si="1"/>
        <v>0</v>
      </c>
      <c r="T52" s="168"/>
      <c r="U52" s="66"/>
      <c r="V52" s="66"/>
      <c r="W52" s="66"/>
      <c r="X52" s="66"/>
      <c r="Y52" s="66"/>
      <c r="Z52" s="66"/>
      <c r="AA52" s="66"/>
      <c r="AB52" s="66"/>
      <c r="AC52" s="66"/>
      <c r="AD52" s="66"/>
      <c r="AE52" s="31"/>
    </row>
    <row r="53" spans="2:31" ht="13.15" customHeight="1" x14ac:dyDescent="0.25">
      <c r="B53" s="81"/>
      <c r="C53" s="49" t="s">
        <v>53</v>
      </c>
      <c r="D53" s="64">
        <f>'Overview IB'!D68</f>
        <v>0</v>
      </c>
      <c r="E53" s="64">
        <f>'Overview IB'!E68</f>
        <v>0</v>
      </c>
      <c r="F53" s="132">
        <f>'Overview IB'!I68</f>
        <v>0</v>
      </c>
      <c r="G53" s="132">
        <f>'Overview IB'!J68</f>
        <v>0</v>
      </c>
      <c r="H53" s="132">
        <f>'Overview IB'!K68</f>
        <v>0</v>
      </c>
      <c r="I53" s="132">
        <f>'Overview IB'!L68</f>
        <v>0</v>
      </c>
      <c r="J53" s="132">
        <f>'Overview IB'!M68</f>
        <v>0</v>
      </c>
      <c r="K53" s="132">
        <f>'Overview IB'!N68</f>
        <v>0</v>
      </c>
      <c r="L53" s="132">
        <f>'Overview IB'!O68</f>
        <v>0</v>
      </c>
      <c r="M53" s="132">
        <f>'Overview IB'!P68</f>
        <v>0</v>
      </c>
      <c r="N53" s="132">
        <f>'Overview IB'!Q68</f>
        <v>0</v>
      </c>
      <c r="O53" s="132">
        <f>'Overview IB'!R68</f>
        <v>0</v>
      </c>
      <c r="P53" s="104"/>
      <c r="Q53" s="64">
        <f t="shared" si="3"/>
        <v>0</v>
      </c>
      <c r="R53" s="103"/>
      <c r="S53" s="157">
        <f t="shared" si="1"/>
        <v>0</v>
      </c>
      <c r="T53" s="168"/>
      <c r="U53" s="66"/>
      <c r="V53" s="66"/>
      <c r="W53" s="66"/>
      <c r="X53" s="66"/>
      <c r="Y53" s="66"/>
      <c r="Z53" s="66"/>
      <c r="AA53" s="66"/>
      <c r="AB53" s="66"/>
      <c r="AC53" s="66"/>
      <c r="AD53" s="66"/>
      <c r="AE53" s="31"/>
    </row>
    <row r="54" spans="2:31" ht="33" customHeight="1" x14ac:dyDescent="0.25">
      <c r="B54" s="81"/>
      <c r="C54" s="52" t="s">
        <v>97</v>
      </c>
      <c r="D54" s="132">
        <f>'Overview IB'!D69</f>
        <v>0</v>
      </c>
      <c r="E54" s="132">
        <f>'Overview IB'!E69</f>
        <v>0</v>
      </c>
      <c r="F54" s="132">
        <f>'Overview IB'!I69</f>
        <v>0</v>
      </c>
      <c r="G54" s="132">
        <f>'Overview IB'!J69</f>
        <v>0</v>
      </c>
      <c r="H54" s="132">
        <f>'Overview IB'!K69</f>
        <v>0</v>
      </c>
      <c r="I54" s="132">
        <f>'Overview IB'!L69</f>
        <v>0</v>
      </c>
      <c r="J54" s="132">
        <f>'Overview IB'!M69</f>
        <v>0</v>
      </c>
      <c r="K54" s="132">
        <f>'Overview IB'!N69</f>
        <v>0</v>
      </c>
      <c r="L54" s="132">
        <f>'Overview IB'!O69</f>
        <v>0</v>
      </c>
      <c r="M54" s="132">
        <f>'Overview IB'!P69</f>
        <v>0</v>
      </c>
      <c r="N54" s="132">
        <f>'Overview IB'!Q69</f>
        <v>0</v>
      </c>
      <c r="O54" s="132">
        <f>'Overview IB'!R69</f>
        <v>0</v>
      </c>
      <c r="P54" s="100"/>
      <c r="Q54" s="132">
        <f t="shared" si="3"/>
        <v>0</v>
      </c>
      <c r="R54" s="103"/>
      <c r="S54" s="157">
        <f t="shared" si="1"/>
        <v>0</v>
      </c>
      <c r="T54" s="168"/>
      <c r="U54" s="133"/>
      <c r="V54" s="133"/>
      <c r="W54" s="133"/>
      <c r="X54" s="133"/>
      <c r="Y54" s="133"/>
      <c r="Z54" s="133"/>
      <c r="AA54" s="133"/>
      <c r="AB54" s="133"/>
      <c r="AC54" s="133"/>
      <c r="AD54" s="133"/>
      <c r="AE54" s="31"/>
    </row>
    <row r="55" spans="2:31" ht="13.15" customHeight="1" x14ac:dyDescent="0.25">
      <c r="B55" s="81"/>
      <c r="C55" s="52" t="s">
        <v>65</v>
      </c>
      <c r="D55" s="132">
        <f>'Overview IB'!D70</f>
        <v>0</v>
      </c>
      <c r="E55" s="132">
        <f>'Overview IB'!E70</f>
        <v>0</v>
      </c>
      <c r="F55" s="132">
        <f>'Overview IB'!I70</f>
        <v>0</v>
      </c>
      <c r="G55" s="132">
        <f>'Overview IB'!J70</f>
        <v>0</v>
      </c>
      <c r="H55" s="132">
        <f>'Overview IB'!K70</f>
        <v>0</v>
      </c>
      <c r="I55" s="132">
        <f>'Overview IB'!L70</f>
        <v>0</v>
      </c>
      <c r="J55" s="132">
        <f>'Overview IB'!M70</f>
        <v>0</v>
      </c>
      <c r="K55" s="132">
        <f>'Overview IB'!N70</f>
        <v>0</v>
      </c>
      <c r="L55" s="132">
        <f>'Overview IB'!O70</f>
        <v>0</v>
      </c>
      <c r="M55" s="132">
        <f>'Overview IB'!P70</f>
        <v>0</v>
      </c>
      <c r="N55" s="132">
        <f>'Overview IB'!Q70</f>
        <v>0</v>
      </c>
      <c r="O55" s="132">
        <f>'Overview IB'!R70</f>
        <v>0</v>
      </c>
      <c r="P55" s="100"/>
      <c r="Q55" s="132">
        <f t="shared" si="3"/>
        <v>0</v>
      </c>
      <c r="R55" s="103"/>
      <c r="S55" s="157">
        <f t="shared" si="1"/>
        <v>0</v>
      </c>
      <c r="T55" s="168"/>
      <c r="U55" s="133"/>
      <c r="V55" s="133"/>
      <c r="W55" s="133"/>
      <c r="X55" s="133"/>
      <c r="Y55" s="133"/>
      <c r="Z55" s="133"/>
      <c r="AA55" s="133"/>
      <c r="AB55" s="133"/>
      <c r="AC55" s="133"/>
      <c r="AD55" s="133"/>
      <c r="AE55" s="31"/>
    </row>
    <row r="56" spans="2:31" x14ac:dyDescent="0.25">
      <c r="B56" s="81"/>
      <c r="C56" s="82" t="s">
        <v>74</v>
      </c>
      <c r="D56" s="64">
        <f>'Overview IB'!D71</f>
        <v>0</v>
      </c>
      <c r="E56" s="64">
        <f>'Overview IB'!E71</f>
        <v>0</v>
      </c>
      <c r="F56" s="132">
        <f>'Overview IB'!I71</f>
        <v>0</v>
      </c>
      <c r="G56" s="132">
        <f>'Overview IB'!J71</f>
        <v>0</v>
      </c>
      <c r="H56" s="132">
        <f>'Overview IB'!K71</f>
        <v>0</v>
      </c>
      <c r="I56" s="132">
        <f>'Overview IB'!L71</f>
        <v>0</v>
      </c>
      <c r="J56" s="132">
        <f>'Overview IB'!M71</f>
        <v>0</v>
      </c>
      <c r="K56" s="132">
        <f>'Overview IB'!N71</f>
        <v>0</v>
      </c>
      <c r="L56" s="132">
        <f>'Overview IB'!O71</f>
        <v>0</v>
      </c>
      <c r="M56" s="132">
        <f>'Overview IB'!P71</f>
        <v>0</v>
      </c>
      <c r="N56" s="132">
        <f>'Overview IB'!Q71</f>
        <v>0</v>
      </c>
      <c r="O56" s="132">
        <f>'Overview IB'!R71</f>
        <v>0</v>
      </c>
      <c r="P56" s="91"/>
      <c r="Q56" s="64">
        <f t="shared" si="3"/>
        <v>0</v>
      </c>
      <c r="R56" s="103"/>
      <c r="S56" s="157">
        <f t="shared" si="1"/>
        <v>0</v>
      </c>
      <c r="T56" s="168"/>
      <c r="U56" s="66"/>
      <c r="V56" s="66"/>
      <c r="W56" s="66"/>
      <c r="X56" s="66"/>
      <c r="Y56" s="66"/>
      <c r="Z56" s="66"/>
      <c r="AA56" s="66"/>
      <c r="AB56" s="66"/>
      <c r="AC56" s="66"/>
      <c r="AD56" s="66"/>
      <c r="AE56" s="31"/>
    </row>
    <row r="57" spans="2:31" x14ac:dyDescent="0.25">
      <c r="B57" s="81"/>
      <c r="C57" s="52" t="s">
        <v>75</v>
      </c>
      <c r="D57" s="132">
        <f>'Overview IB'!D72</f>
        <v>0</v>
      </c>
      <c r="E57" s="132">
        <f>'Overview IB'!E72</f>
        <v>0</v>
      </c>
      <c r="F57" s="132">
        <f>'Overview IB'!I72</f>
        <v>0</v>
      </c>
      <c r="G57" s="132">
        <f>'Overview IB'!J72</f>
        <v>0</v>
      </c>
      <c r="H57" s="132">
        <f>'Overview IB'!K72</f>
        <v>0</v>
      </c>
      <c r="I57" s="132">
        <f>'Overview IB'!L72</f>
        <v>0</v>
      </c>
      <c r="J57" s="132">
        <f>'Overview IB'!M72</f>
        <v>0</v>
      </c>
      <c r="K57" s="132">
        <f>'Overview IB'!N72</f>
        <v>0</v>
      </c>
      <c r="L57" s="132">
        <f>'Overview IB'!O72</f>
        <v>0</v>
      </c>
      <c r="M57" s="132">
        <f>'Overview IB'!P72</f>
        <v>0</v>
      </c>
      <c r="N57" s="132">
        <f>'Overview IB'!Q72</f>
        <v>0</v>
      </c>
      <c r="O57" s="132">
        <f>'Overview IB'!R72</f>
        <v>0</v>
      </c>
      <c r="P57" s="100"/>
      <c r="Q57" s="132">
        <f t="shared" si="3"/>
        <v>0</v>
      </c>
      <c r="R57" s="103"/>
      <c r="S57" s="157">
        <f t="shared" si="1"/>
        <v>0</v>
      </c>
      <c r="T57" s="168"/>
      <c r="U57" s="133"/>
      <c r="V57" s="133"/>
      <c r="W57" s="133"/>
      <c r="X57" s="133"/>
      <c r="Y57" s="133"/>
      <c r="Z57" s="133"/>
      <c r="AA57" s="133"/>
      <c r="AB57" s="133"/>
      <c r="AC57" s="133"/>
      <c r="AD57" s="133"/>
      <c r="AE57" s="31"/>
    </row>
    <row r="58" spans="2:31" x14ac:dyDescent="0.25">
      <c r="B58" s="81"/>
      <c r="C58" s="52" t="s">
        <v>76</v>
      </c>
      <c r="D58" s="132">
        <f>'Overview IB'!D73</f>
        <v>0</v>
      </c>
      <c r="E58" s="132">
        <f>'Overview IB'!E73</f>
        <v>0</v>
      </c>
      <c r="F58" s="132">
        <f>'Overview IB'!I73</f>
        <v>0</v>
      </c>
      <c r="G58" s="132">
        <f>'Overview IB'!J73</f>
        <v>0</v>
      </c>
      <c r="H58" s="132">
        <f>'Overview IB'!K73</f>
        <v>0</v>
      </c>
      <c r="I58" s="132">
        <f>'Overview IB'!L73</f>
        <v>0</v>
      </c>
      <c r="J58" s="132">
        <f>'Overview IB'!M73</f>
        <v>0</v>
      </c>
      <c r="K58" s="132">
        <f>'Overview IB'!N73</f>
        <v>0</v>
      </c>
      <c r="L58" s="132">
        <f>'Overview IB'!O73</f>
        <v>0</v>
      </c>
      <c r="M58" s="132">
        <f>'Overview IB'!P73</f>
        <v>0</v>
      </c>
      <c r="N58" s="132">
        <f>'Overview IB'!Q73</f>
        <v>0</v>
      </c>
      <c r="O58" s="132">
        <f>'Overview IB'!R73</f>
        <v>0</v>
      </c>
      <c r="P58" s="100"/>
      <c r="Q58" s="132">
        <f t="shared" si="3"/>
        <v>0</v>
      </c>
      <c r="R58" s="103"/>
      <c r="S58" s="157">
        <f t="shared" si="1"/>
        <v>0</v>
      </c>
      <c r="T58" s="168"/>
      <c r="U58" s="133"/>
      <c r="V58" s="133"/>
      <c r="W58" s="133"/>
      <c r="X58" s="133"/>
      <c r="Y58" s="133"/>
      <c r="Z58" s="133"/>
      <c r="AA58" s="133"/>
      <c r="AB58" s="133"/>
      <c r="AC58" s="133"/>
      <c r="AD58" s="133"/>
      <c r="AE58" s="31"/>
    </row>
    <row r="59" spans="2:31" x14ac:dyDescent="0.25">
      <c r="B59" s="81"/>
      <c r="C59" s="49" t="str">
        <f>'Overview IB'!C74</f>
        <v>Sonstiger Indikator - frei wählbar lt. Indikatorenblatt</v>
      </c>
      <c r="D59" s="64">
        <f>'Overview IB'!D74</f>
        <v>0</v>
      </c>
      <c r="E59" s="64">
        <f>'Overview IB'!E74</f>
        <v>0</v>
      </c>
      <c r="F59" s="132">
        <f>'Overview IB'!I74</f>
        <v>0</v>
      </c>
      <c r="G59" s="132">
        <f>'Overview IB'!J74</f>
        <v>0</v>
      </c>
      <c r="H59" s="132">
        <f>'Overview IB'!K74</f>
        <v>0</v>
      </c>
      <c r="I59" s="132">
        <f>'Overview IB'!L74</f>
        <v>0</v>
      </c>
      <c r="J59" s="132">
        <f>'Overview IB'!M74</f>
        <v>0</v>
      </c>
      <c r="K59" s="132">
        <f>'Overview IB'!N74</f>
        <v>0</v>
      </c>
      <c r="L59" s="132">
        <f>'Overview IB'!O74</f>
        <v>0</v>
      </c>
      <c r="M59" s="132">
        <f>'Overview IB'!P74</f>
        <v>0</v>
      </c>
      <c r="N59" s="132">
        <f>'Overview IB'!Q74</f>
        <v>0</v>
      </c>
      <c r="O59" s="132">
        <f>'Overview IB'!R74</f>
        <v>0</v>
      </c>
      <c r="P59" s="91"/>
      <c r="Q59" s="64">
        <f t="shared" si="3"/>
        <v>0</v>
      </c>
      <c r="R59" s="103"/>
      <c r="S59" s="157">
        <f t="shared" si="1"/>
        <v>0</v>
      </c>
      <c r="T59" s="168"/>
      <c r="U59" s="66"/>
      <c r="V59" s="66"/>
      <c r="W59" s="66"/>
      <c r="X59" s="66"/>
      <c r="Y59" s="66"/>
      <c r="Z59" s="66"/>
      <c r="AA59" s="66"/>
      <c r="AB59" s="66"/>
      <c r="AC59" s="66"/>
      <c r="AD59" s="66"/>
      <c r="AE59" s="31"/>
    </row>
    <row r="60" spans="2:31" x14ac:dyDescent="0.25">
      <c r="B60" s="81"/>
      <c r="C60" s="49" t="str">
        <f>'Overview IB'!C75</f>
        <v>Sonstiger Indikator - frei wählbar lt. Indikatorenblatt</v>
      </c>
      <c r="D60" s="64">
        <f>'Overview IB'!D75</f>
        <v>0</v>
      </c>
      <c r="E60" s="64">
        <f>'Overview IB'!E75</f>
        <v>0</v>
      </c>
      <c r="F60" s="132">
        <f>'Overview IB'!I75</f>
        <v>0</v>
      </c>
      <c r="G60" s="132">
        <f>'Overview IB'!J75</f>
        <v>0</v>
      </c>
      <c r="H60" s="132">
        <f>'Overview IB'!K75</f>
        <v>0</v>
      </c>
      <c r="I60" s="132">
        <f>'Overview IB'!L75</f>
        <v>0</v>
      </c>
      <c r="J60" s="132">
        <f>'Overview IB'!M75</f>
        <v>0</v>
      </c>
      <c r="K60" s="132">
        <f>'Overview IB'!N75</f>
        <v>0</v>
      </c>
      <c r="L60" s="132">
        <f>'Overview IB'!O75</f>
        <v>0</v>
      </c>
      <c r="M60" s="132">
        <f>'Overview IB'!P75</f>
        <v>0</v>
      </c>
      <c r="N60" s="132">
        <f>'Overview IB'!Q75</f>
        <v>0</v>
      </c>
      <c r="O60" s="132">
        <f>'Overview IB'!R75</f>
        <v>0</v>
      </c>
      <c r="P60" s="91"/>
      <c r="Q60" s="64">
        <f t="shared" si="3"/>
        <v>0</v>
      </c>
      <c r="R60" s="103"/>
      <c r="S60" s="157">
        <f t="shared" si="1"/>
        <v>0</v>
      </c>
      <c r="T60" s="168"/>
      <c r="U60" s="66"/>
      <c r="V60" s="66"/>
      <c r="W60" s="66"/>
      <c r="X60" s="66"/>
      <c r="Y60" s="66"/>
      <c r="Z60" s="66"/>
      <c r="AA60" s="66"/>
      <c r="AB60" s="66"/>
      <c r="AC60" s="66"/>
      <c r="AD60" s="66"/>
      <c r="AE60" s="31"/>
    </row>
    <row r="61" spans="2:31" ht="16.5" customHeight="1" x14ac:dyDescent="0.25">
      <c r="B61" s="253"/>
      <c r="C61" s="254"/>
      <c r="D61" s="105"/>
      <c r="E61" s="158"/>
      <c r="F61" s="106"/>
      <c r="G61" s="106"/>
      <c r="H61" s="106"/>
      <c r="I61" s="106"/>
      <c r="J61" s="106"/>
      <c r="K61" s="106"/>
      <c r="L61" s="106"/>
      <c r="M61" s="106"/>
      <c r="N61" s="106"/>
      <c r="O61" s="106"/>
      <c r="P61" s="91"/>
      <c r="Q61" s="107"/>
      <c r="R61" s="107"/>
      <c r="S61" s="108"/>
      <c r="T61" s="121"/>
      <c r="U61" s="106"/>
      <c r="V61" s="106"/>
      <c r="W61" s="106"/>
      <c r="X61" s="106"/>
      <c r="Y61" s="106"/>
      <c r="Z61" s="106"/>
      <c r="AA61" s="106"/>
      <c r="AB61" s="106"/>
      <c r="AC61" s="106"/>
      <c r="AD61" s="106"/>
      <c r="AE61" s="31"/>
    </row>
    <row r="62" spans="2:31" ht="45" x14ac:dyDescent="0.25">
      <c r="B62" s="81"/>
      <c r="C62" s="154" t="s">
        <v>30</v>
      </c>
      <c r="D62" s="152" t="s">
        <v>72</v>
      </c>
      <c r="E62" s="152" t="s">
        <v>125</v>
      </c>
      <c r="F62" s="86" t="s">
        <v>129</v>
      </c>
      <c r="G62" s="86" t="s">
        <v>130</v>
      </c>
      <c r="H62" s="86" t="s">
        <v>131</v>
      </c>
      <c r="I62" s="86" t="s">
        <v>132</v>
      </c>
      <c r="J62" s="86" t="s">
        <v>133</v>
      </c>
      <c r="K62" s="86" t="s">
        <v>134</v>
      </c>
      <c r="L62" s="86" t="s">
        <v>135</v>
      </c>
      <c r="M62" s="86" t="s">
        <v>136</v>
      </c>
      <c r="N62" s="86" t="s">
        <v>137</v>
      </c>
      <c r="O62" s="86" t="s">
        <v>138</v>
      </c>
      <c r="P62" s="32"/>
      <c r="Q62" s="85" t="s">
        <v>29</v>
      </c>
      <c r="R62" s="85" t="s">
        <v>124</v>
      </c>
      <c r="S62" s="76" t="s">
        <v>8</v>
      </c>
      <c r="T62" s="8" t="s">
        <v>61</v>
      </c>
      <c r="U62" s="86" t="s">
        <v>129</v>
      </c>
      <c r="V62" s="86" t="s">
        <v>130</v>
      </c>
      <c r="W62" s="86" t="s">
        <v>131</v>
      </c>
      <c r="X62" s="86" t="s">
        <v>132</v>
      </c>
      <c r="Y62" s="86" t="s">
        <v>133</v>
      </c>
      <c r="Z62" s="86" t="s">
        <v>134</v>
      </c>
      <c r="AA62" s="86" t="s">
        <v>135</v>
      </c>
      <c r="AB62" s="86" t="s">
        <v>136</v>
      </c>
      <c r="AC62" s="86" t="s">
        <v>137</v>
      </c>
      <c r="AD62" s="86" t="s">
        <v>138</v>
      </c>
      <c r="AE62" s="31"/>
    </row>
    <row r="63" spans="2:31" ht="15.75" customHeight="1" x14ac:dyDescent="0.25">
      <c r="B63" s="81"/>
      <c r="C63" s="82" t="s">
        <v>99</v>
      </c>
      <c r="D63" s="138"/>
      <c r="E63" s="136"/>
      <c r="F63" s="205"/>
      <c r="G63" s="178"/>
      <c r="H63" s="178"/>
      <c r="I63" s="178"/>
      <c r="J63" s="178"/>
      <c r="K63" s="178"/>
      <c r="L63" s="178"/>
      <c r="M63" s="178"/>
      <c r="N63" s="178"/>
      <c r="O63" s="179"/>
      <c r="P63" s="32"/>
      <c r="Q63" s="255"/>
      <c r="R63" s="255"/>
      <c r="S63" s="255"/>
      <c r="T63" s="255"/>
      <c r="U63" s="255"/>
      <c r="V63" s="255"/>
      <c r="W63" s="255"/>
      <c r="X63" s="255"/>
      <c r="Y63" s="255"/>
      <c r="Z63" s="255"/>
      <c r="AA63" s="255"/>
      <c r="AB63" s="255"/>
      <c r="AC63" s="255"/>
      <c r="AD63" s="255"/>
      <c r="AE63" s="31"/>
    </row>
    <row r="64" spans="2:31" ht="15.75" customHeight="1" x14ac:dyDescent="0.25">
      <c r="B64" s="81"/>
      <c r="C64" s="75" t="s">
        <v>36</v>
      </c>
      <c r="D64" s="259"/>
      <c r="E64" s="256"/>
      <c r="F64" s="200"/>
      <c r="G64" s="201"/>
      <c r="H64" s="201"/>
      <c r="I64" s="201"/>
      <c r="J64" s="201"/>
      <c r="K64" s="201"/>
      <c r="L64" s="201"/>
      <c r="M64" s="201"/>
      <c r="N64" s="201"/>
      <c r="O64" s="202"/>
      <c r="P64" s="156"/>
      <c r="Q64" s="259"/>
      <c r="R64" s="103">
        <v>18</v>
      </c>
      <c r="S64" s="259"/>
      <c r="T64" s="168"/>
      <c r="U64" s="263" t="s">
        <v>151</v>
      </c>
      <c r="V64" s="264"/>
      <c r="W64" s="264"/>
      <c r="X64" s="264"/>
      <c r="Y64" s="264"/>
      <c r="Z64" s="264"/>
      <c r="AA64" s="264"/>
      <c r="AB64" s="264"/>
      <c r="AC64" s="264"/>
      <c r="AD64" s="265"/>
      <c r="AE64" s="31"/>
    </row>
    <row r="65" spans="2:31" ht="15.75" customHeight="1" x14ac:dyDescent="0.25">
      <c r="B65" s="81"/>
      <c r="C65" s="75" t="s">
        <v>35</v>
      </c>
      <c r="D65" s="260"/>
      <c r="E65" s="257"/>
      <c r="F65" s="200"/>
      <c r="G65" s="201"/>
      <c r="H65" s="201"/>
      <c r="I65" s="201"/>
      <c r="J65" s="201"/>
      <c r="K65" s="201"/>
      <c r="L65" s="201"/>
      <c r="M65" s="201"/>
      <c r="N65" s="201"/>
      <c r="O65" s="202"/>
      <c r="P65" s="156"/>
      <c r="Q65" s="260"/>
      <c r="R65" s="103">
        <v>44</v>
      </c>
      <c r="S65" s="260"/>
      <c r="T65" s="168"/>
      <c r="U65" s="266"/>
      <c r="V65" s="267"/>
      <c r="W65" s="267"/>
      <c r="X65" s="267"/>
      <c r="Y65" s="267"/>
      <c r="Z65" s="267"/>
      <c r="AA65" s="267"/>
      <c r="AB65" s="267"/>
      <c r="AC65" s="267"/>
      <c r="AD65" s="268"/>
      <c r="AE65" s="31"/>
    </row>
    <row r="66" spans="2:31" ht="15.75" customHeight="1" x14ac:dyDescent="0.25">
      <c r="B66" s="81"/>
      <c r="C66" s="75" t="s">
        <v>102</v>
      </c>
      <c r="D66" s="260"/>
      <c r="E66" s="257"/>
      <c r="F66" s="200"/>
      <c r="G66" s="201"/>
      <c r="H66" s="201"/>
      <c r="I66" s="201"/>
      <c r="J66" s="201"/>
      <c r="K66" s="201"/>
      <c r="L66" s="201"/>
      <c r="M66" s="201"/>
      <c r="N66" s="201"/>
      <c r="O66" s="202"/>
      <c r="P66" s="156"/>
      <c r="Q66" s="260"/>
      <c r="R66" s="103">
        <v>4</v>
      </c>
      <c r="S66" s="260"/>
      <c r="T66" s="168"/>
      <c r="U66" s="266"/>
      <c r="V66" s="267"/>
      <c r="W66" s="267"/>
      <c r="X66" s="267"/>
      <c r="Y66" s="267"/>
      <c r="Z66" s="267"/>
      <c r="AA66" s="267"/>
      <c r="AB66" s="267"/>
      <c r="AC66" s="267"/>
      <c r="AD66" s="268"/>
      <c r="AE66" s="31"/>
    </row>
    <row r="67" spans="2:31" ht="15.75" customHeight="1" x14ac:dyDescent="0.25">
      <c r="B67" s="81"/>
      <c r="C67" s="75" t="s">
        <v>88</v>
      </c>
      <c r="D67" s="260"/>
      <c r="E67" s="257"/>
      <c r="F67" s="200"/>
      <c r="G67" s="201"/>
      <c r="H67" s="201"/>
      <c r="I67" s="201"/>
      <c r="J67" s="201"/>
      <c r="K67" s="201"/>
      <c r="L67" s="201"/>
      <c r="M67" s="201"/>
      <c r="N67" s="201"/>
      <c r="O67" s="202"/>
      <c r="P67" s="156"/>
      <c r="Q67" s="260"/>
      <c r="R67" s="103">
        <v>4</v>
      </c>
      <c r="S67" s="260"/>
      <c r="T67" s="168"/>
      <c r="U67" s="266"/>
      <c r="V67" s="267"/>
      <c r="W67" s="267"/>
      <c r="X67" s="267"/>
      <c r="Y67" s="267"/>
      <c r="Z67" s="267"/>
      <c r="AA67" s="267"/>
      <c r="AB67" s="267"/>
      <c r="AC67" s="267"/>
      <c r="AD67" s="268"/>
      <c r="AE67" s="31"/>
    </row>
    <row r="68" spans="2:31" ht="15.75" customHeight="1" x14ac:dyDescent="0.25">
      <c r="B68" s="81"/>
      <c r="C68" s="75" t="s">
        <v>87</v>
      </c>
      <c r="D68" s="260"/>
      <c r="E68" s="257"/>
      <c r="F68" s="200"/>
      <c r="G68" s="201"/>
      <c r="H68" s="201"/>
      <c r="I68" s="201"/>
      <c r="J68" s="201"/>
      <c r="K68" s="201"/>
      <c r="L68" s="201"/>
      <c r="M68" s="201"/>
      <c r="N68" s="201"/>
      <c r="O68" s="202"/>
      <c r="P68" s="156"/>
      <c r="Q68" s="260"/>
      <c r="R68" s="103">
        <v>4</v>
      </c>
      <c r="S68" s="260"/>
      <c r="T68" s="168"/>
      <c r="U68" s="266"/>
      <c r="V68" s="267"/>
      <c r="W68" s="267"/>
      <c r="X68" s="267"/>
      <c r="Y68" s="267"/>
      <c r="Z68" s="267"/>
      <c r="AA68" s="267"/>
      <c r="AB68" s="267"/>
      <c r="AC68" s="267"/>
      <c r="AD68" s="268"/>
      <c r="AE68" s="31"/>
    </row>
    <row r="69" spans="2:31" ht="15.75" customHeight="1" x14ac:dyDescent="0.25">
      <c r="B69" s="81"/>
      <c r="C69" s="75" t="s">
        <v>37</v>
      </c>
      <c r="D69" s="260"/>
      <c r="E69" s="257"/>
      <c r="F69" s="200"/>
      <c r="G69" s="201"/>
      <c r="H69" s="201"/>
      <c r="I69" s="201"/>
      <c r="J69" s="201"/>
      <c r="K69" s="201"/>
      <c r="L69" s="201"/>
      <c r="M69" s="201"/>
      <c r="N69" s="201"/>
      <c r="O69" s="202"/>
      <c r="P69" s="156"/>
      <c r="Q69" s="260"/>
      <c r="R69" s="103">
        <v>0</v>
      </c>
      <c r="S69" s="260"/>
      <c r="T69" s="168"/>
      <c r="U69" s="266"/>
      <c r="V69" s="267"/>
      <c r="W69" s="267"/>
      <c r="X69" s="267"/>
      <c r="Y69" s="267"/>
      <c r="Z69" s="267"/>
      <c r="AA69" s="267"/>
      <c r="AB69" s="267"/>
      <c r="AC69" s="267"/>
      <c r="AD69" s="268"/>
      <c r="AE69" s="31"/>
    </row>
    <row r="70" spans="2:31" ht="15.75" customHeight="1" x14ac:dyDescent="0.25">
      <c r="B70" s="81"/>
      <c r="C70" s="75" t="s">
        <v>103</v>
      </c>
      <c r="D70" s="261"/>
      <c r="E70" s="258"/>
      <c r="F70" s="200"/>
      <c r="G70" s="201"/>
      <c r="H70" s="201"/>
      <c r="I70" s="201"/>
      <c r="J70" s="201"/>
      <c r="K70" s="201"/>
      <c r="L70" s="201"/>
      <c r="M70" s="201"/>
      <c r="N70" s="201"/>
      <c r="O70" s="202"/>
      <c r="P70" s="156"/>
      <c r="Q70" s="261"/>
      <c r="R70" s="132">
        <f>SUM(R64:R69)</f>
        <v>74</v>
      </c>
      <c r="S70" s="261"/>
      <c r="T70" s="168"/>
      <c r="U70" s="269"/>
      <c r="V70" s="270"/>
      <c r="W70" s="270"/>
      <c r="X70" s="270"/>
      <c r="Y70" s="270"/>
      <c r="Z70" s="270"/>
      <c r="AA70" s="270"/>
      <c r="AB70" s="270"/>
      <c r="AC70" s="270"/>
      <c r="AD70" s="271"/>
      <c r="AE70" s="31"/>
    </row>
    <row r="71" spans="2:31" ht="15.75" customHeight="1" x14ac:dyDescent="0.25">
      <c r="B71" s="81"/>
      <c r="C71" s="53" t="s">
        <v>92</v>
      </c>
      <c r="D71" s="82"/>
      <c r="E71" s="53"/>
      <c r="F71" s="205"/>
      <c r="G71" s="178"/>
      <c r="H71" s="178"/>
      <c r="I71" s="178"/>
      <c r="J71" s="178"/>
      <c r="K71" s="178"/>
      <c r="L71" s="178"/>
      <c r="M71" s="178"/>
      <c r="N71" s="178"/>
      <c r="O71" s="179"/>
      <c r="P71" s="32"/>
      <c r="Q71" s="255"/>
      <c r="R71" s="255"/>
      <c r="S71" s="255"/>
      <c r="T71" s="255"/>
      <c r="U71" s="255"/>
      <c r="V71" s="255"/>
      <c r="W71" s="255"/>
      <c r="X71" s="255"/>
      <c r="Y71" s="255"/>
      <c r="Z71" s="255"/>
      <c r="AA71" s="255"/>
      <c r="AB71" s="255"/>
      <c r="AC71" s="255"/>
      <c r="AD71" s="255"/>
      <c r="AE71" s="31"/>
    </row>
    <row r="72" spans="2:31" ht="15.75" customHeight="1" x14ac:dyDescent="0.25">
      <c r="B72" s="81"/>
      <c r="C72" s="75" t="s">
        <v>111</v>
      </c>
      <c r="D72" s="132">
        <f>'Overview IB'!D87</f>
        <v>0</v>
      </c>
      <c r="E72" s="132">
        <f>'Overview IB'!E87</f>
        <v>0</v>
      </c>
      <c r="F72" s="205"/>
      <c r="G72" s="178"/>
      <c r="H72" s="178"/>
      <c r="I72" s="178"/>
      <c r="J72" s="178"/>
      <c r="K72" s="178"/>
      <c r="L72" s="178"/>
      <c r="M72" s="178"/>
      <c r="N72" s="178"/>
      <c r="O72" s="179"/>
      <c r="P72" s="156"/>
      <c r="Q72" s="259"/>
      <c r="R72" s="103">
        <v>0</v>
      </c>
      <c r="S72" s="157">
        <f t="shared" ref="S72:S77" si="4">IF(R72="",0,IF(D72=0,0,IF(E72=0,IF(R72=0,Q72/D72,R72/D72),IF(R72=0,Q72/E72,R72/E72))))</f>
        <v>0</v>
      </c>
      <c r="T72" s="168"/>
      <c r="U72" s="263" t="s">
        <v>151</v>
      </c>
      <c r="V72" s="264"/>
      <c r="W72" s="264"/>
      <c r="X72" s="264"/>
      <c r="Y72" s="264"/>
      <c r="Z72" s="264"/>
      <c r="AA72" s="264"/>
      <c r="AB72" s="264"/>
      <c r="AC72" s="264"/>
      <c r="AD72" s="265"/>
      <c r="AE72" s="31"/>
    </row>
    <row r="73" spans="2:31" ht="15.75" customHeight="1" x14ac:dyDescent="0.25">
      <c r="B73" s="81"/>
      <c r="C73" s="75" t="s">
        <v>112</v>
      </c>
      <c r="D73" s="132">
        <f>'Overview IB'!D88</f>
        <v>0</v>
      </c>
      <c r="E73" s="132">
        <f>'Overview IB'!E88</f>
        <v>0</v>
      </c>
      <c r="F73" s="205"/>
      <c r="G73" s="178"/>
      <c r="H73" s="178"/>
      <c r="I73" s="178"/>
      <c r="J73" s="178"/>
      <c r="K73" s="178"/>
      <c r="L73" s="178"/>
      <c r="M73" s="178"/>
      <c r="N73" s="178"/>
      <c r="O73" s="179"/>
      <c r="P73" s="156"/>
      <c r="Q73" s="260"/>
      <c r="R73" s="103">
        <v>0</v>
      </c>
      <c r="S73" s="157">
        <f t="shared" si="4"/>
        <v>0</v>
      </c>
      <c r="T73" s="168"/>
      <c r="U73" s="266"/>
      <c r="V73" s="267"/>
      <c r="W73" s="267"/>
      <c r="X73" s="267"/>
      <c r="Y73" s="267"/>
      <c r="Z73" s="267"/>
      <c r="AA73" s="267"/>
      <c r="AB73" s="267"/>
      <c r="AC73" s="267"/>
      <c r="AD73" s="268"/>
      <c r="AE73" s="31"/>
    </row>
    <row r="74" spans="2:31" ht="15.75" customHeight="1" x14ac:dyDescent="0.25">
      <c r="B74" s="81"/>
      <c r="C74" s="75" t="s">
        <v>113</v>
      </c>
      <c r="D74" s="132">
        <f>'Overview IB'!D89</f>
        <v>0</v>
      </c>
      <c r="E74" s="132">
        <f>'Overview IB'!E89</f>
        <v>0</v>
      </c>
      <c r="F74" s="205"/>
      <c r="G74" s="178"/>
      <c r="H74" s="178"/>
      <c r="I74" s="178"/>
      <c r="J74" s="178"/>
      <c r="K74" s="178"/>
      <c r="L74" s="178"/>
      <c r="M74" s="178"/>
      <c r="N74" s="178"/>
      <c r="O74" s="179"/>
      <c r="P74" s="156"/>
      <c r="Q74" s="260"/>
      <c r="R74" s="103">
        <v>0</v>
      </c>
      <c r="S74" s="157">
        <f t="shared" si="4"/>
        <v>0</v>
      </c>
      <c r="T74" s="168"/>
      <c r="U74" s="266"/>
      <c r="V74" s="267"/>
      <c r="W74" s="267"/>
      <c r="X74" s="267"/>
      <c r="Y74" s="267"/>
      <c r="Z74" s="267"/>
      <c r="AA74" s="267"/>
      <c r="AB74" s="267"/>
      <c r="AC74" s="267"/>
      <c r="AD74" s="268"/>
      <c r="AE74" s="31"/>
    </row>
    <row r="75" spans="2:31" ht="15.75" customHeight="1" x14ac:dyDescent="0.25">
      <c r="B75" s="81"/>
      <c r="C75" s="75" t="s">
        <v>114</v>
      </c>
      <c r="D75" s="132">
        <f>'Overview IB'!D90</f>
        <v>0</v>
      </c>
      <c r="E75" s="132">
        <f>'Overview IB'!E90</f>
        <v>0</v>
      </c>
      <c r="F75" s="205"/>
      <c r="G75" s="178"/>
      <c r="H75" s="178"/>
      <c r="I75" s="178"/>
      <c r="J75" s="178"/>
      <c r="K75" s="178"/>
      <c r="L75" s="178"/>
      <c r="M75" s="178"/>
      <c r="N75" s="178"/>
      <c r="O75" s="179"/>
      <c r="P75" s="156"/>
      <c r="Q75" s="260"/>
      <c r="R75" s="103">
        <v>9</v>
      </c>
      <c r="S75" s="157">
        <f t="shared" si="4"/>
        <v>0</v>
      </c>
      <c r="T75" s="168"/>
      <c r="U75" s="266"/>
      <c r="V75" s="267"/>
      <c r="W75" s="267"/>
      <c r="X75" s="267"/>
      <c r="Y75" s="267"/>
      <c r="Z75" s="267"/>
      <c r="AA75" s="267"/>
      <c r="AB75" s="267"/>
      <c r="AC75" s="267"/>
      <c r="AD75" s="268"/>
      <c r="AE75" s="31"/>
    </row>
    <row r="76" spans="2:31" ht="15.75" customHeight="1" x14ac:dyDescent="0.25">
      <c r="B76" s="81"/>
      <c r="C76" s="75" t="s">
        <v>115</v>
      </c>
      <c r="D76" s="132">
        <f>'Overview IB'!D91</f>
        <v>0</v>
      </c>
      <c r="E76" s="132">
        <f>'Overview IB'!E91</f>
        <v>0</v>
      </c>
      <c r="F76" s="205"/>
      <c r="G76" s="178"/>
      <c r="H76" s="178"/>
      <c r="I76" s="178"/>
      <c r="J76" s="178"/>
      <c r="K76" s="178"/>
      <c r="L76" s="178"/>
      <c r="M76" s="178"/>
      <c r="N76" s="178"/>
      <c r="O76" s="179"/>
      <c r="P76" s="156"/>
      <c r="Q76" s="260"/>
      <c r="R76" s="103">
        <v>40</v>
      </c>
      <c r="S76" s="157">
        <f t="shared" si="4"/>
        <v>0</v>
      </c>
      <c r="T76" s="168"/>
      <c r="U76" s="266"/>
      <c r="V76" s="267"/>
      <c r="W76" s="267"/>
      <c r="X76" s="267"/>
      <c r="Y76" s="267"/>
      <c r="Z76" s="267"/>
      <c r="AA76" s="267"/>
      <c r="AB76" s="267"/>
      <c r="AC76" s="267"/>
      <c r="AD76" s="268"/>
      <c r="AE76" s="31"/>
    </row>
    <row r="77" spans="2:31" ht="15.75" customHeight="1" x14ac:dyDescent="0.25">
      <c r="B77" s="81"/>
      <c r="C77" s="75" t="s">
        <v>82</v>
      </c>
      <c r="D77" s="132">
        <f>'Overview IB'!D92</f>
        <v>0</v>
      </c>
      <c r="E77" s="132">
        <f>'Overview IB'!E92</f>
        <v>0</v>
      </c>
      <c r="F77" s="205"/>
      <c r="G77" s="178"/>
      <c r="H77" s="178"/>
      <c r="I77" s="178"/>
      <c r="J77" s="178"/>
      <c r="K77" s="178"/>
      <c r="L77" s="178"/>
      <c r="M77" s="178"/>
      <c r="N77" s="178"/>
      <c r="O77" s="179"/>
      <c r="P77" s="156"/>
      <c r="Q77" s="260"/>
      <c r="R77" s="103">
        <v>25</v>
      </c>
      <c r="S77" s="157">
        <f t="shared" si="4"/>
        <v>0</v>
      </c>
      <c r="T77" s="168"/>
      <c r="U77" s="266"/>
      <c r="V77" s="267"/>
      <c r="W77" s="267"/>
      <c r="X77" s="267"/>
      <c r="Y77" s="267"/>
      <c r="Z77" s="267"/>
      <c r="AA77" s="267"/>
      <c r="AB77" s="267"/>
      <c r="AC77" s="267"/>
      <c r="AD77" s="268"/>
      <c r="AE77" s="31"/>
    </row>
    <row r="78" spans="2:31" ht="15.75" customHeight="1" x14ac:dyDescent="0.25">
      <c r="B78" s="81"/>
      <c r="C78" s="75" t="s">
        <v>103</v>
      </c>
      <c r="D78" s="132">
        <f>'Overview IB'!D93</f>
        <v>0</v>
      </c>
      <c r="E78" s="132">
        <f>'Overview IB'!E93</f>
        <v>0</v>
      </c>
      <c r="F78" s="205"/>
      <c r="G78" s="178"/>
      <c r="H78" s="178"/>
      <c r="I78" s="178"/>
      <c r="J78" s="178"/>
      <c r="K78" s="178"/>
      <c r="L78" s="178"/>
      <c r="M78" s="178"/>
      <c r="N78" s="178"/>
      <c r="O78" s="179"/>
      <c r="P78" s="156"/>
      <c r="Q78" s="261"/>
      <c r="R78" s="132">
        <f>SUM(R72:R77)</f>
        <v>74</v>
      </c>
      <c r="S78" s="157">
        <f t="shared" ref="S78:S88" si="5">IF(D78=0,0,IF(E78=0,IF(R78=0,Q78/D78,R78/D78),IF(R78=0,Q78/E78,R78/E78)))</f>
        <v>0</v>
      </c>
      <c r="T78" s="168"/>
      <c r="U78" s="269"/>
      <c r="V78" s="270"/>
      <c r="W78" s="270"/>
      <c r="X78" s="270"/>
      <c r="Y78" s="270"/>
      <c r="Z78" s="270"/>
      <c r="AA78" s="270"/>
      <c r="AB78" s="270"/>
      <c r="AC78" s="270"/>
      <c r="AD78" s="271"/>
      <c r="AE78" s="31"/>
    </row>
    <row r="79" spans="2:31" ht="15.75" customHeight="1" x14ac:dyDescent="0.25">
      <c r="B79" s="81"/>
      <c r="C79" s="53" t="s">
        <v>93</v>
      </c>
      <c r="D79" s="82"/>
      <c r="E79" s="53"/>
      <c r="F79" s="205"/>
      <c r="G79" s="178"/>
      <c r="H79" s="178"/>
      <c r="I79" s="178"/>
      <c r="J79" s="178"/>
      <c r="K79" s="178"/>
      <c r="L79" s="178"/>
      <c r="M79" s="178"/>
      <c r="N79" s="178"/>
      <c r="O79" s="179"/>
      <c r="P79" s="32"/>
      <c r="Q79" s="255"/>
      <c r="R79" s="255"/>
      <c r="S79" s="255"/>
      <c r="T79" s="255"/>
      <c r="U79" s="255"/>
      <c r="V79" s="255"/>
      <c r="W79" s="255"/>
      <c r="X79" s="255"/>
      <c r="Y79" s="255"/>
      <c r="Z79" s="255"/>
      <c r="AA79" s="255"/>
      <c r="AB79" s="255"/>
      <c r="AC79" s="255"/>
      <c r="AD79" s="255"/>
      <c r="AE79" s="31"/>
    </row>
    <row r="80" spans="2:31" ht="15.75" customHeight="1" x14ac:dyDescent="0.25">
      <c r="B80" s="81"/>
      <c r="C80" s="75" t="s">
        <v>32</v>
      </c>
      <c r="D80" s="132">
        <f>'Overview IB'!D95</f>
        <v>0</v>
      </c>
      <c r="E80" s="132">
        <f>'Overview IB'!E95</f>
        <v>0</v>
      </c>
      <c r="F80" s="205"/>
      <c r="G80" s="178"/>
      <c r="H80" s="178"/>
      <c r="I80" s="178"/>
      <c r="J80" s="178"/>
      <c r="K80" s="178"/>
      <c r="L80" s="178"/>
      <c r="M80" s="178"/>
      <c r="N80" s="178"/>
      <c r="O80" s="179"/>
      <c r="P80" s="156"/>
      <c r="Q80" s="259"/>
      <c r="R80" s="103">
        <v>44</v>
      </c>
      <c r="S80" s="157">
        <f t="shared" ref="S80:S86" si="6">IF(R80="",0,IF(D80=0,0,IF(E80=0,IF(R80=0,Q80/D80,R80/D80),IF(R80=0,Q80/E80,R80/E80))))</f>
        <v>0</v>
      </c>
      <c r="T80" s="168"/>
      <c r="U80" s="263" t="s">
        <v>151</v>
      </c>
      <c r="V80" s="264"/>
      <c r="W80" s="264"/>
      <c r="X80" s="264"/>
      <c r="Y80" s="264"/>
      <c r="Z80" s="264"/>
      <c r="AA80" s="264"/>
      <c r="AB80" s="264"/>
      <c r="AC80" s="264"/>
      <c r="AD80" s="265"/>
      <c r="AE80" s="31"/>
    </row>
    <row r="81" spans="2:35" ht="15.75" customHeight="1" x14ac:dyDescent="0.25">
      <c r="B81" s="81"/>
      <c r="C81" s="75" t="s">
        <v>33</v>
      </c>
      <c r="D81" s="132">
        <f>'Overview IB'!D96</f>
        <v>0</v>
      </c>
      <c r="E81" s="132">
        <f>'Overview IB'!E96</f>
        <v>0</v>
      </c>
      <c r="F81" s="205"/>
      <c r="G81" s="178"/>
      <c r="H81" s="178"/>
      <c r="I81" s="178"/>
      <c r="J81" s="178"/>
      <c r="K81" s="178"/>
      <c r="L81" s="178"/>
      <c r="M81" s="178"/>
      <c r="N81" s="178"/>
      <c r="O81" s="179"/>
      <c r="P81" s="156"/>
      <c r="Q81" s="260"/>
      <c r="R81" s="103">
        <v>30</v>
      </c>
      <c r="S81" s="157">
        <f t="shared" si="6"/>
        <v>0</v>
      </c>
      <c r="T81" s="168"/>
      <c r="U81" s="266"/>
      <c r="V81" s="267"/>
      <c r="W81" s="267"/>
      <c r="X81" s="267"/>
      <c r="Y81" s="267"/>
      <c r="Z81" s="267"/>
      <c r="AA81" s="267"/>
      <c r="AB81" s="267"/>
      <c r="AC81" s="267"/>
      <c r="AD81" s="268"/>
      <c r="AE81" s="31"/>
    </row>
    <row r="82" spans="2:35" ht="15.75" customHeight="1" x14ac:dyDescent="0.25">
      <c r="B82" s="81"/>
      <c r="C82" s="75" t="s">
        <v>83</v>
      </c>
      <c r="D82" s="132">
        <f>'Overview IB'!D97</f>
        <v>0</v>
      </c>
      <c r="E82" s="132">
        <f>'Overview IB'!E97</f>
        <v>0</v>
      </c>
      <c r="F82" s="205"/>
      <c r="G82" s="178"/>
      <c r="H82" s="178"/>
      <c r="I82" s="178"/>
      <c r="J82" s="178"/>
      <c r="K82" s="178"/>
      <c r="L82" s="178"/>
      <c r="M82" s="178"/>
      <c r="N82" s="178"/>
      <c r="O82" s="179"/>
      <c r="P82" s="156"/>
      <c r="Q82" s="260"/>
      <c r="R82" s="103"/>
      <c r="S82" s="157">
        <f t="shared" si="6"/>
        <v>0</v>
      </c>
      <c r="T82" s="168"/>
      <c r="U82" s="266"/>
      <c r="V82" s="267"/>
      <c r="W82" s="267"/>
      <c r="X82" s="267"/>
      <c r="Y82" s="267"/>
      <c r="Z82" s="267"/>
      <c r="AA82" s="267"/>
      <c r="AB82" s="267"/>
      <c r="AC82" s="267"/>
      <c r="AD82" s="268"/>
      <c r="AE82" s="31"/>
    </row>
    <row r="83" spans="2:35" ht="15.75" customHeight="1" x14ac:dyDescent="0.25">
      <c r="B83" s="81"/>
      <c r="C83" s="75" t="s">
        <v>116</v>
      </c>
      <c r="D83" s="132">
        <f>'Overview IB'!D98</f>
        <v>0</v>
      </c>
      <c r="E83" s="132">
        <f>'Overview IB'!E98</f>
        <v>0</v>
      </c>
      <c r="F83" s="205"/>
      <c r="G83" s="178"/>
      <c r="H83" s="178"/>
      <c r="I83" s="178"/>
      <c r="J83" s="178"/>
      <c r="K83" s="178"/>
      <c r="L83" s="178"/>
      <c r="M83" s="178"/>
      <c r="N83" s="178"/>
      <c r="O83" s="179"/>
      <c r="P83" s="156"/>
      <c r="Q83" s="260"/>
      <c r="R83" s="103"/>
      <c r="S83" s="157">
        <f t="shared" si="6"/>
        <v>0</v>
      </c>
      <c r="T83" s="168"/>
      <c r="U83" s="266"/>
      <c r="V83" s="267"/>
      <c r="W83" s="267"/>
      <c r="X83" s="267"/>
      <c r="Y83" s="267"/>
      <c r="Z83" s="267"/>
      <c r="AA83" s="267"/>
      <c r="AB83" s="267"/>
      <c r="AC83" s="267"/>
      <c r="AD83" s="268"/>
      <c r="AE83" s="31"/>
    </row>
    <row r="84" spans="2:35" ht="15.75" customHeight="1" x14ac:dyDescent="0.25">
      <c r="B84" s="81"/>
      <c r="C84" s="75" t="s">
        <v>84</v>
      </c>
      <c r="D84" s="132">
        <f>'Overview IB'!D99</f>
        <v>0</v>
      </c>
      <c r="E84" s="132">
        <f>'Overview IB'!E99</f>
        <v>0</v>
      </c>
      <c r="F84" s="205"/>
      <c r="G84" s="178"/>
      <c r="H84" s="178"/>
      <c r="I84" s="178"/>
      <c r="J84" s="178"/>
      <c r="K84" s="178"/>
      <c r="L84" s="178"/>
      <c r="M84" s="178"/>
      <c r="N84" s="178"/>
      <c r="O84" s="179"/>
      <c r="P84" s="156"/>
      <c r="Q84" s="260"/>
      <c r="R84" s="103"/>
      <c r="S84" s="157">
        <f t="shared" si="6"/>
        <v>0</v>
      </c>
      <c r="T84" s="168"/>
      <c r="U84" s="266"/>
      <c r="V84" s="267"/>
      <c r="W84" s="267"/>
      <c r="X84" s="267"/>
      <c r="Y84" s="267"/>
      <c r="Z84" s="267"/>
      <c r="AA84" s="267"/>
      <c r="AB84" s="267"/>
      <c r="AC84" s="267"/>
      <c r="AD84" s="268"/>
      <c r="AE84" s="31"/>
    </row>
    <row r="85" spans="2:35" ht="15.75" customHeight="1" x14ac:dyDescent="0.25">
      <c r="B85" s="81"/>
      <c r="C85" s="75" t="s">
        <v>85</v>
      </c>
      <c r="D85" s="132">
        <f>'Overview IB'!D100</f>
        <v>0</v>
      </c>
      <c r="E85" s="132">
        <f>'Overview IB'!E100</f>
        <v>0</v>
      </c>
      <c r="F85" s="205"/>
      <c r="G85" s="178"/>
      <c r="H85" s="178"/>
      <c r="I85" s="178"/>
      <c r="J85" s="178"/>
      <c r="K85" s="178"/>
      <c r="L85" s="178"/>
      <c r="M85" s="178"/>
      <c r="N85" s="178"/>
      <c r="O85" s="179"/>
      <c r="P85" s="156"/>
      <c r="Q85" s="260"/>
      <c r="R85" s="103"/>
      <c r="S85" s="157">
        <f t="shared" si="6"/>
        <v>0</v>
      </c>
      <c r="T85" s="168"/>
      <c r="U85" s="266"/>
      <c r="V85" s="267"/>
      <c r="W85" s="267"/>
      <c r="X85" s="267"/>
      <c r="Y85" s="267"/>
      <c r="Z85" s="267"/>
      <c r="AA85" s="267"/>
      <c r="AB85" s="267"/>
      <c r="AC85" s="267"/>
      <c r="AD85" s="268"/>
      <c r="AE85" s="31"/>
    </row>
    <row r="86" spans="2:35" ht="18.75" customHeight="1" x14ac:dyDescent="0.25">
      <c r="B86" s="81"/>
      <c r="C86" s="75" t="s">
        <v>86</v>
      </c>
      <c r="D86" s="132">
        <f>'Overview IB'!D101</f>
        <v>0</v>
      </c>
      <c r="E86" s="132">
        <f>'Overview IB'!E101</f>
        <v>0</v>
      </c>
      <c r="F86" s="205"/>
      <c r="G86" s="178"/>
      <c r="H86" s="178"/>
      <c r="I86" s="178"/>
      <c r="J86" s="178"/>
      <c r="K86" s="178"/>
      <c r="L86" s="178"/>
      <c r="M86" s="178"/>
      <c r="N86" s="178"/>
      <c r="O86" s="179"/>
      <c r="P86" s="156"/>
      <c r="Q86" s="260"/>
      <c r="R86" s="103"/>
      <c r="S86" s="157">
        <f t="shared" si="6"/>
        <v>0</v>
      </c>
      <c r="T86" s="168"/>
      <c r="U86" s="266"/>
      <c r="V86" s="267"/>
      <c r="W86" s="267"/>
      <c r="X86" s="267"/>
      <c r="Y86" s="267"/>
      <c r="Z86" s="267"/>
      <c r="AA86" s="267"/>
      <c r="AB86" s="267"/>
      <c r="AC86" s="267"/>
      <c r="AD86" s="268"/>
      <c r="AE86" s="31"/>
    </row>
    <row r="87" spans="2:35" ht="18.75" customHeight="1" x14ac:dyDescent="0.25">
      <c r="B87" s="81"/>
      <c r="C87" s="75" t="s">
        <v>103</v>
      </c>
      <c r="D87" s="132">
        <f>'Overview IB'!D102</f>
        <v>0</v>
      </c>
      <c r="E87" s="132">
        <f>'Overview IB'!E102</f>
        <v>0</v>
      </c>
      <c r="F87" s="205"/>
      <c r="G87" s="178"/>
      <c r="H87" s="178"/>
      <c r="I87" s="178"/>
      <c r="J87" s="178"/>
      <c r="K87" s="178"/>
      <c r="L87" s="178"/>
      <c r="M87" s="178"/>
      <c r="N87" s="178"/>
      <c r="O87" s="179"/>
      <c r="P87" s="156"/>
      <c r="Q87" s="261"/>
      <c r="R87" s="132">
        <f>SUM(R80:R86)</f>
        <v>74</v>
      </c>
      <c r="S87" s="157">
        <f t="shared" si="5"/>
        <v>0</v>
      </c>
      <c r="T87" s="168"/>
      <c r="U87" s="269"/>
      <c r="V87" s="270"/>
      <c r="W87" s="270"/>
      <c r="X87" s="270"/>
      <c r="Y87" s="270"/>
      <c r="Z87" s="270"/>
      <c r="AA87" s="270"/>
      <c r="AB87" s="270"/>
      <c r="AC87" s="270"/>
      <c r="AD87" s="271"/>
      <c r="AE87" s="31"/>
    </row>
    <row r="88" spans="2:35" ht="15.75" customHeight="1" x14ac:dyDescent="0.25">
      <c r="B88" s="81"/>
      <c r="C88" s="53" t="s">
        <v>31</v>
      </c>
      <c r="D88" s="64">
        <f>'Overview IB'!D103</f>
        <v>0</v>
      </c>
      <c r="E88" s="64">
        <f>'Overview IB'!E103</f>
        <v>0</v>
      </c>
      <c r="F88" s="132">
        <f>'Overview IB'!I103</f>
        <v>0</v>
      </c>
      <c r="G88" s="132">
        <f>'Overview IB'!J103</f>
        <v>0</v>
      </c>
      <c r="H88" s="132">
        <f>'Overview IB'!K103</f>
        <v>0</v>
      </c>
      <c r="I88" s="132">
        <f>'Overview IB'!L103</f>
        <v>0</v>
      </c>
      <c r="J88" s="132">
        <f>'Overview IB'!M103</f>
        <v>0</v>
      </c>
      <c r="K88" s="132">
        <f>'Overview IB'!N103</f>
        <v>0</v>
      </c>
      <c r="L88" s="132">
        <f>'Overview IB'!O103</f>
        <v>0</v>
      </c>
      <c r="M88" s="132">
        <f>'Overview IB'!P103</f>
        <v>0</v>
      </c>
      <c r="N88" s="132">
        <f>'Overview IB'!Q103</f>
        <v>0</v>
      </c>
      <c r="O88" s="132">
        <f>'Overview IB'!R103</f>
        <v>0</v>
      </c>
      <c r="P88" s="32"/>
      <c r="Q88" s="64">
        <f t="shared" ref="Q88:Q98" si="7">SUM(U88:AD88)</f>
        <v>0</v>
      </c>
      <c r="R88" s="103">
        <v>61</v>
      </c>
      <c r="S88" s="157">
        <f t="shared" si="5"/>
        <v>0</v>
      </c>
      <c r="T88" s="168"/>
      <c r="U88" s="134"/>
      <c r="V88" s="134"/>
      <c r="W88" s="134"/>
      <c r="X88" s="134"/>
      <c r="Y88" s="134"/>
      <c r="Z88" s="134"/>
      <c r="AA88" s="134"/>
      <c r="AB88" s="134"/>
      <c r="AC88" s="134"/>
      <c r="AD88" s="134"/>
      <c r="AE88" s="31"/>
    </row>
    <row r="89" spans="2:35" ht="15.75" customHeight="1" x14ac:dyDescent="0.25">
      <c r="B89" s="253"/>
      <c r="C89" s="254"/>
      <c r="D89" s="105"/>
      <c r="E89" s="158"/>
      <c r="F89" s="106"/>
      <c r="G89" s="106"/>
      <c r="H89" s="106"/>
      <c r="I89" s="106"/>
      <c r="J89" s="106"/>
      <c r="K89" s="106"/>
      <c r="L89" s="106"/>
      <c r="M89" s="106"/>
      <c r="N89" s="106"/>
      <c r="O89" s="106"/>
      <c r="P89" s="91"/>
      <c r="Q89" s="107"/>
      <c r="R89" s="107"/>
      <c r="S89" s="108"/>
      <c r="T89" s="121"/>
      <c r="U89" s="106"/>
      <c r="V89" s="106"/>
      <c r="W89" s="106"/>
      <c r="X89" s="106"/>
      <c r="Y89" s="106"/>
      <c r="Z89" s="106"/>
      <c r="AA89" s="106"/>
      <c r="AB89" s="106"/>
      <c r="AC89" s="106"/>
      <c r="AD89" s="106"/>
      <c r="AE89" s="31"/>
    </row>
    <row r="90" spans="2:35" ht="45" x14ac:dyDescent="0.25">
      <c r="B90" s="81"/>
      <c r="C90" s="154" t="s">
        <v>38</v>
      </c>
      <c r="D90" s="152" t="s">
        <v>72</v>
      </c>
      <c r="E90" s="152" t="s">
        <v>125</v>
      </c>
      <c r="F90" s="86" t="s">
        <v>129</v>
      </c>
      <c r="G90" s="86" t="s">
        <v>130</v>
      </c>
      <c r="H90" s="86" t="s">
        <v>131</v>
      </c>
      <c r="I90" s="86" t="s">
        <v>132</v>
      </c>
      <c r="J90" s="86" t="s">
        <v>133</v>
      </c>
      <c r="K90" s="86" t="s">
        <v>134</v>
      </c>
      <c r="L90" s="86" t="s">
        <v>135</v>
      </c>
      <c r="M90" s="86" t="s">
        <v>136</v>
      </c>
      <c r="N90" s="86" t="s">
        <v>137</v>
      </c>
      <c r="O90" s="86" t="s">
        <v>138</v>
      </c>
      <c r="P90" s="32"/>
      <c r="Q90" s="85" t="s">
        <v>29</v>
      </c>
      <c r="R90" s="85" t="s">
        <v>124</v>
      </c>
      <c r="S90" s="76" t="s">
        <v>8</v>
      </c>
      <c r="T90" s="8" t="s">
        <v>61</v>
      </c>
      <c r="U90" s="86" t="s">
        <v>129</v>
      </c>
      <c r="V90" s="86" t="s">
        <v>130</v>
      </c>
      <c r="W90" s="86" t="s">
        <v>131</v>
      </c>
      <c r="X90" s="86" t="s">
        <v>132</v>
      </c>
      <c r="Y90" s="86" t="s">
        <v>133</v>
      </c>
      <c r="Z90" s="86" t="s">
        <v>134</v>
      </c>
      <c r="AA90" s="86" t="s">
        <v>135</v>
      </c>
      <c r="AB90" s="86" t="s">
        <v>136</v>
      </c>
      <c r="AC90" s="86" t="s">
        <v>137</v>
      </c>
      <c r="AD90" s="86" t="s">
        <v>138</v>
      </c>
      <c r="AE90" s="31"/>
    </row>
    <row r="91" spans="2:35" ht="36.75" customHeight="1" x14ac:dyDescent="0.25">
      <c r="B91" s="81"/>
      <c r="C91" s="53" t="s">
        <v>148</v>
      </c>
      <c r="D91" s="64">
        <f>'Overview IB'!D106</f>
        <v>0</v>
      </c>
      <c r="E91" s="64">
        <f>'Overview IB'!E106</f>
        <v>0</v>
      </c>
      <c r="F91" s="132">
        <f>'Overview IB'!I106</f>
        <v>0</v>
      </c>
      <c r="G91" s="132">
        <f>'Overview IB'!J106</f>
        <v>0</v>
      </c>
      <c r="H91" s="132">
        <f>'Overview IB'!K106</f>
        <v>0</v>
      </c>
      <c r="I91" s="132">
        <f>'Overview IB'!L106</f>
        <v>0</v>
      </c>
      <c r="J91" s="132">
        <f>'Overview IB'!M106</f>
        <v>0</v>
      </c>
      <c r="K91" s="132">
        <f>'Overview IB'!N106</f>
        <v>0</v>
      </c>
      <c r="L91" s="132">
        <f>'Overview IB'!O106</f>
        <v>0</v>
      </c>
      <c r="M91" s="132">
        <f>'Overview IB'!P106</f>
        <v>0</v>
      </c>
      <c r="N91" s="132">
        <f>'Overview IB'!Q106</f>
        <v>0</v>
      </c>
      <c r="O91" s="132">
        <f>'Overview IB'!R106</f>
        <v>0</v>
      </c>
      <c r="P91" s="32"/>
      <c r="Q91" s="64">
        <f t="shared" si="7"/>
        <v>0</v>
      </c>
      <c r="R91" s="103">
        <v>0</v>
      </c>
      <c r="S91" s="157">
        <f t="shared" ref="S91:S98" si="8">IF(D91=0,0,IF(E91=0,IF(R91=0,Q91/D91,R91/D91),IF(R91=0,Q91/E91,R91/E91)))</f>
        <v>0</v>
      </c>
      <c r="T91" s="177" t="s">
        <v>159</v>
      </c>
      <c r="U91" s="134"/>
      <c r="V91" s="134"/>
      <c r="W91" s="134"/>
      <c r="X91" s="134"/>
      <c r="Y91" s="134"/>
      <c r="Z91" s="134"/>
      <c r="AA91" s="134"/>
      <c r="AB91" s="134"/>
      <c r="AC91" s="134"/>
      <c r="AD91" s="134"/>
      <c r="AE91" s="31"/>
    </row>
    <row r="92" spans="2:35" ht="36.75" customHeight="1" x14ac:dyDescent="0.25">
      <c r="B92" s="81"/>
      <c r="C92" s="53" t="s">
        <v>80</v>
      </c>
      <c r="D92" s="64">
        <f>'Overview IB'!D107</f>
        <v>0</v>
      </c>
      <c r="E92" s="64">
        <f>'Overview IB'!E107</f>
        <v>0</v>
      </c>
      <c r="F92" s="132">
        <f>'Overview IB'!I107</f>
        <v>0</v>
      </c>
      <c r="G92" s="132">
        <f>'Overview IB'!J107</f>
        <v>0</v>
      </c>
      <c r="H92" s="132">
        <f>'Overview IB'!K107</f>
        <v>0</v>
      </c>
      <c r="I92" s="132">
        <f>'Overview IB'!L107</f>
        <v>0</v>
      </c>
      <c r="J92" s="132">
        <f>'Overview IB'!M107</f>
        <v>0</v>
      </c>
      <c r="K92" s="132">
        <f>'Overview IB'!N107</f>
        <v>0</v>
      </c>
      <c r="L92" s="132">
        <f>'Overview IB'!O107</f>
        <v>0</v>
      </c>
      <c r="M92" s="132">
        <f>'Overview IB'!P107</f>
        <v>0</v>
      </c>
      <c r="N92" s="132">
        <f>'Overview IB'!Q107</f>
        <v>0</v>
      </c>
      <c r="O92" s="132">
        <f>'Overview IB'!R107</f>
        <v>0</v>
      </c>
      <c r="P92" s="32"/>
      <c r="Q92" s="64">
        <f t="shared" si="7"/>
        <v>0</v>
      </c>
      <c r="R92" s="103">
        <v>12</v>
      </c>
      <c r="S92" s="157">
        <f t="shared" si="8"/>
        <v>0</v>
      </c>
      <c r="T92" s="177" t="s">
        <v>167</v>
      </c>
      <c r="U92" s="134"/>
      <c r="V92" s="134"/>
      <c r="W92" s="134"/>
      <c r="X92" s="134"/>
      <c r="Y92" s="134"/>
      <c r="Z92" s="134"/>
      <c r="AA92" s="134"/>
      <c r="AB92" s="134"/>
      <c r="AC92" s="134"/>
      <c r="AD92" s="134"/>
      <c r="AE92" s="31"/>
    </row>
    <row r="93" spans="2:35" ht="47.25" customHeight="1" x14ac:dyDescent="0.25">
      <c r="B93" s="81"/>
      <c r="C93" s="53" t="s">
        <v>77</v>
      </c>
      <c r="D93" s="64">
        <f>'Overview IB'!D108</f>
        <v>0</v>
      </c>
      <c r="E93" s="64">
        <f>'Overview IB'!E108</f>
        <v>0</v>
      </c>
      <c r="F93" s="132">
        <f>'Overview IB'!I108</f>
        <v>0</v>
      </c>
      <c r="G93" s="132">
        <f>'Overview IB'!J108</f>
        <v>0</v>
      </c>
      <c r="H93" s="132">
        <f>'Overview IB'!K108</f>
        <v>0</v>
      </c>
      <c r="I93" s="132">
        <f>'Overview IB'!L108</f>
        <v>0</v>
      </c>
      <c r="J93" s="132">
        <f>'Overview IB'!M108</f>
        <v>0</v>
      </c>
      <c r="K93" s="132">
        <f>'Overview IB'!N108</f>
        <v>0</v>
      </c>
      <c r="L93" s="132">
        <f>'Overview IB'!O108</f>
        <v>0</v>
      </c>
      <c r="M93" s="132">
        <f>'Overview IB'!P108</f>
        <v>0</v>
      </c>
      <c r="N93" s="132">
        <f>'Overview IB'!Q108</f>
        <v>0</v>
      </c>
      <c r="O93" s="132">
        <f>'Overview IB'!R108</f>
        <v>0</v>
      </c>
      <c r="P93" s="32"/>
      <c r="Q93" s="64">
        <f t="shared" si="7"/>
        <v>0</v>
      </c>
      <c r="R93" s="103">
        <v>6</v>
      </c>
      <c r="S93" s="157">
        <f t="shared" si="8"/>
        <v>0</v>
      </c>
      <c r="T93" s="177" t="s">
        <v>165</v>
      </c>
      <c r="U93" s="134"/>
      <c r="V93" s="134"/>
      <c r="W93" s="134"/>
      <c r="X93" s="134"/>
      <c r="Y93" s="134"/>
      <c r="Z93" s="134"/>
      <c r="AA93" s="134"/>
      <c r="AB93" s="134"/>
      <c r="AC93" s="134"/>
      <c r="AD93" s="134"/>
      <c r="AE93" s="31"/>
    </row>
    <row r="94" spans="2:35" ht="36.75" customHeight="1" x14ac:dyDescent="0.25">
      <c r="B94" s="81"/>
      <c r="C94" s="53" t="s">
        <v>153</v>
      </c>
      <c r="D94" s="64">
        <f>'Overview IB'!D109</f>
        <v>0</v>
      </c>
      <c r="E94" s="64">
        <f>'Overview IB'!E109</f>
        <v>0</v>
      </c>
      <c r="F94" s="132">
        <f>'Overview IB'!I109</f>
        <v>0</v>
      </c>
      <c r="G94" s="132">
        <f>'Overview IB'!J109</f>
        <v>0</v>
      </c>
      <c r="H94" s="132">
        <f>'Overview IB'!K109</f>
        <v>0</v>
      </c>
      <c r="I94" s="132">
        <f>'Overview IB'!L109</f>
        <v>0</v>
      </c>
      <c r="J94" s="132">
        <f>'Overview IB'!M109</f>
        <v>0</v>
      </c>
      <c r="K94" s="132">
        <f>'Overview IB'!N109</f>
        <v>0</v>
      </c>
      <c r="L94" s="132">
        <f>'Overview IB'!O109</f>
        <v>0</v>
      </c>
      <c r="M94" s="132">
        <f>'Overview IB'!P109</f>
        <v>0</v>
      </c>
      <c r="N94" s="132">
        <f>'Overview IB'!Q109</f>
        <v>0</v>
      </c>
      <c r="O94" s="132">
        <f>'Overview IB'!R109</f>
        <v>0</v>
      </c>
      <c r="P94" s="32"/>
      <c r="Q94" s="64">
        <f t="shared" si="7"/>
        <v>0</v>
      </c>
      <c r="R94" s="103">
        <v>0</v>
      </c>
      <c r="S94" s="157">
        <f t="shared" si="8"/>
        <v>0</v>
      </c>
      <c r="T94" s="177" t="s">
        <v>168</v>
      </c>
      <c r="U94" s="134"/>
      <c r="V94" s="134"/>
      <c r="W94" s="134"/>
      <c r="X94" s="134"/>
      <c r="Y94" s="134"/>
      <c r="Z94" s="134"/>
      <c r="AA94" s="134"/>
      <c r="AB94" s="134"/>
      <c r="AC94" s="134"/>
      <c r="AD94" s="134"/>
      <c r="AE94" s="31"/>
    </row>
    <row r="95" spans="2:35" s="109" customFormat="1" ht="36.75" customHeight="1" x14ac:dyDescent="0.25">
      <c r="B95" s="81"/>
      <c r="C95" s="53" t="s">
        <v>101</v>
      </c>
      <c r="D95" s="64">
        <f>'Overview IB'!D110</f>
        <v>0</v>
      </c>
      <c r="E95" s="64">
        <f>'Overview IB'!E110</f>
        <v>0</v>
      </c>
      <c r="F95" s="132">
        <f>'Overview IB'!I110</f>
        <v>0</v>
      </c>
      <c r="G95" s="132">
        <f>'Overview IB'!J110</f>
        <v>0</v>
      </c>
      <c r="H95" s="132">
        <f>'Overview IB'!K110</f>
        <v>0</v>
      </c>
      <c r="I95" s="132">
        <f>'Overview IB'!L110</f>
        <v>0</v>
      </c>
      <c r="J95" s="132">
        <f>'Overview IB'!M110</f>
        <v>0</v>
      </c>
      <c r="K95" s="132">
        <f>'Overview IB'!N110</f>
        <v>0</v>
      </c>
      <c r="L95" s="132">
        <f>'Overview IB'!O110</f>
        <v>0</v>
      </c>
      <c r="M95" s="132">
        <f>'Overview IB'!P110</f>
        <v>0</v>
      </c>
      <c r="N95" s="132">
        <f>'Overview IB'!Q110</f>
        <v>0</v>
      </c>
      <c r="O95" s="132">
        <f>'Overview IB'!R110</f>
        <v>0</v>
      </c>
      <c r="P95" s="32"/>
      <c r="Q95" s="64">
        <f t="shared" si="7"/>
        <v>0</v>
      </c>
      <c r="R95" s="103">
        <v>5</v>
      </c>
      <c r="S95" s="157">
        <f t="shared" si="8"/>
        <v>0</v>
      </c>
      <c r="T95" s="177" t="s">
        <v>166</v>
      </c>
      <c r="U95" s="134"/>
      <c r="V95" s="134"/>
      <c r="W95" s="134"/>
      <c r="X95" s="134"/>
      <c r="Y95" s="134"/>
      <c r="Z95" s="134"/>
      <c r="AA95" s="134"/>
      <c r="AB95" s="134"/>
      <c r="AC95" s="134"/>
      <c r="AD95" s="134"/>
      <c r="AE95" s="31"/>
      <c r="AF95" s="45"/>
      <c r="AG95" s="45"/>
      <c r="AH95" s="45"/>
      <c r="AI95" s="45"/>
    </row>
    <row r="96" spans="2:35" s="109" customFormat="1" ht="36.75" customHeight="1" x14ac:dyDescent="0.25">
      <c r="B96" s="81"/>
      <c r="C96" s="53" t="s">
        <v>79</v>
      </c>
      <c r="D96" s="64">
        <f>'Overview IB'!D111</f>
        <v>0</v>
      </c>
      <c r="E96" s="64">
        <f>'Overview IB'!E111</f>
        <v>0</v>
      </c>
      <c r="F96" s="132">
        <f>'Overview IB'!I111</f>
        <v>0</v>
      </c>
      <c r="G96" s="132">
        <f>'Overview IB'!J111</f>
        <v>0</v>
      </c>
      <c r="H96" s="132">
        <f>'Overview IB'!K111</f>
        <v>0</v>
      </c>
      <c r="I96" s="132">
        <f>'Overview IB'!L111</f>
        <v>0</v>
      </c>
      <c r="J96" s="132">
        <f>'Overview IB'!M111</f>
        <v>0</v>
      </c>
      <c r="K96" s="132">
        <f>'Overview IB'!N111</f>
        <v>0</v>
      </c>
      <c r="L96" s="132">
        <f>'Overview IB'!O111</f>
        <v>0</v>
      </c>
      <c r="M96" s="132">
        <f>'Overview IB'!P111</f>
        <v>0</v>
      </c>
      <c r="N96" s="132">
        <f>'Overview IB'!Q111</f>
        <v>0</v>
      </c>
      <c r="O96" s="132">
        <f>'Overview IB'!R111</f>
        <v>0</v>
      </c>
      <c r="P96" s="32"/>
      <c r="Q96" s="64">
        <f t="shared" si="7"/>
        <v>0</v>
      </c>
      <c r="R96" s="103">
        <v>7</v>
      </c>
      <c r="S96" s="157">
        <f t="shared" si="8"/>
        <v>0</v>
      </c>
      <c r="T96" s="177" t="s">
        <v>161</v>
      </c>
      <c r="U96" s="134"/>
      <c r="V96" s="134"/>
      <c r="W96" s="134"/>
      <c r="X96" s="134"/>
      <c r="Y96" s="134"/>
      <c r="Z96" s="134"/>
      <c r="AA96" s="134"/>
      <c r="AB96" s="134"/>
      <c r="AC96" s="134"/>
      <c r="AD96" s="134"/>
      <c r="AE96" s="31"/>
      <c r="AF96" s="45"/>
      <c r="AG96" s="45"/>
      <c r="AH96" s="45"/>
      <c r="AI96" s="45"/>
    </row>
    <row r="97" spans="2:35" s="109" customFormat="1" ht="36.75" customHeight="1" x14ac:dyDescent="0.25">
      <c r="B97" s="81"/>
      <c r="C97" s="53" t="s">
        <v>78</v>
      </c>
      <c r="D97" s="64">
        <f>'Overview IB'!D112</f>
        <v>0</v>
      </c>
      <c r="E97" s="64">
        <f>'Overview IB'!E112</f>
        <v>0</v>
      </c>
      <c r="F97" s="132">
        <f>'Overview IB'!I112</f>
        <v>0</v>
      </c>
      <c r="G97" s="132">
        <f>'Overview IB'!J112</f>
        <v>0</v>
      </c>
      <c r="H97" s="132">
        <f>'Overview IB'!K112</f>
        <v>0</v>
      </c>
      <c r="I97" s="132">
        <f>'Overview IB'!L112</f>
        <v>0</v>
      </c>
      <c r="J97" s="132">
        <f>'Overview IB'!M112</f>
        <v>0</v>
      </c>
      <c r="K97" s="132">
        <f>'Overview IB'!N112</f>
        <v>0</v>
      </c>
      <c r="L97" s="132">
        <f>'Overview IB'!O112</f>
        <v>0</v>
      </c>
      <c r="M97" s="132">
        <f>'Overview IB'!P112</f>
        <v>0</v>
      </c>
      <c r="N97" s="132">
        <f>'Overview IB'!Q112</f>
        <v>0</v>
      </c>
      <c r="O97" s="132">
        <f>'Overview IB'!R112</f>
        <v>0</v>
      </c>
      <c r="P97" s="32"/>
      <c r="Q97" s="64">
        <f t="shared" si="7"/>
        <v>0</v>
      </c>
      <c r="R97" s="103">
        <v>10</v>
      </c>
      <c r="S97" s="157">
        <f t="shared" si="8"/>
        <v>0</v>
      </c>
      <c r="T97" s="168" t="s">
        <v>162</v>
      </c>
      <c r="U97" s="134"/>
      <c r="V97" s="134"/>
      <c r="W97" s="134"/>
      <c r="X97" s="134"/>
      <c r="Y97" s="134"/>
      <c r="Z97" s="134"/>
      <c r="AA97" s="134"/>
      <c r="AB97" s="134"/>
      <c r="AC97" s="134"/>
      <c r="AD97" s="134"/>
      <c r="AE97" s="31"/>
      <c r="AF97" s="45"/>
      <c r="AG97" s="45"/>
      <c r="AH97" s="45"/>
      <c r="AI97" s="45"/>
    </row>
    <row r="98" spans="2:35" s="109" customFormat="1" ht="36.75" customHeight="1" x14ac:dyDescent="0.25">
      <c r="B98" s="81"/>
      <c r="C98" s="87" t="str">
        <f>'Overview IB'!C113</f>
        <v xml:space="preserve">Anzahl der Teilnehmenden, die Teilziele auf ihrem Weg zur LAP (gemäß individuellem Bildungsplan) erreicht haben. </v>
      </c>
      <c r="D98" s="64">
        <f>'Overview IB'!D113</f>
        <v>0</v>
      </c>
      <c r="E98" s="64">
        <f>'Overview IB'!E113</f>
        <v>0</v>
      </c>
      <c r="F98" s="132">
        <f>'Overview IB'!I113</f>
        <v>0</v>
      </c>
      <c r="G98" s="132">
        <f>'Overview IB'!J113</f>
        <v>0</v>
      </c>
      <c r="H98" s="132">
        <f>'Overview IB'!K113</f>
        <v>0</v>
      </c>
      <c r="I98" s="132">
        <f>'Overview IB'!L113</f>
        <v>0</v>
      </c>
      <c r="J98" s="132">
        <f>'Overview IB'!M113</f>
        <v>0</v>
      </c>
      <c r="K98" s="132">
        <f>'Overview IB'!N113</f>
        <v>0</v>
      </c>
      <c r="L98" s="132">
        <f>'Overview IB'!O113</f>
        <v>0</v>
      </c>
      <c r="M98" s="132">
        <f>'Overview IB'!P113</f>
        <v>0</v>
      </c>
      <c r="N98" s="132">
        <f>'Overview IB'!Q113</f>
        <v>0</v>
      </c>
      <c r="O98" s="132">
        <f>'Overview IB'!R113</f>
        <v>0</v>
      </c>
      <c r="P98" s="32"/>
      <c r="Q98" s="64">
        <f t="shared" si="7"/>
        <v>0</v>
      </c>
      <c r="R98" s="103">
        <v>29</v>
      </c>
      <c r="S98" s="157">
        <f t="shared" si="8"/>
        <v>0</v>
      </c>
      <c r="T98" s="177" t="s">
        <v>163</v>
      </c>
      <c r="U98" s="134"/>
      <c r="V98" s="134"/>
      <c r="W98" s="134"/>
      <c r="X98" s="134"/>
      <c r="Y98" s="134"/>
      <c r="Z98" s="134"/>
      <c r="AA98" s="134"/>
      <c r="AB98" s="134"/>
      <c r="AC98" s="134"/>
      <c r="AD98" s="134"/>
      <c r="AE98" s="31"/>
      <c r="AF98" s="45"/>
      <c r="AG98" s="45"/>
      <c r="AH98" s="45"/>
      <c r="AI98" s="45"/>
    </row>
    <row r="99" spans="2:35" s="109" customFormat="1" x14ac:dyDescent="0.25">
      <c r="B99" s="110"/>
      <c r="C99" s="34"/>
      <c r="D99" s="11"/>
      <c r="E99" s="11"/>
      <c r="F99" s="34"/>
      <c r="G99" s="34"/>
      <c r="H99" s="34"/>
      <c r="I99" s="34"/>
      <c r="J99" s="34"/>
      <c r="K99" s="34"/>
      <c r="L99" s="34"/>
      <c r="M99" s="34"/>
      <c r="N99" s="34"/>
      <c r="O99" s="34"/>
      <c r="P99" s="34"/>
      <c r="Q99" s="34"/>
      <c r="R99" s="34"/>
      <c r="S99" s="34"/>
      <c r="T99" s="122"/>
      <c r="U99" s="34"/>
      <c r="V99" s="34"/>
      <c r="W99" s="34"/>
      <c r="X99" s="34"/>
      <c r="Y99" s="34"/>
      <c r="Z99" s="34"/>
      <c r="AA99" s="34"/>
      <c r="AB99" s="34"/>
      <c r="AC99" s="34"/>
      <c r="AD99" s="34"/>
      <c r="AE99" s="111"/>
      <c r="AF99" s="45"/>
      <c r="AG99" s="45"/>
      <c r="AH99" s="45"/>
      <c r="AI99" s="45"/>
    </row>
    <row r="100" spans="2:35" s="109" customFormat="1" x14ac:dyDescent="0.25">
      <c r="D100" s="112"/>
      <c r="E100" s="112"/>
      <c r="F100" s="113"/>
      <c r="G100" s="113"/>
      <c r="H100" s="113"/>
      <c r="I100" s="113"/>
      <c r="J100" s="113"/>
      <c r="K100" s="113"/>
      <c r="L100" s="113"/>
      <c r="M100" s="113"/>
      <c r="N100" s="113"/>
      <c r="O100" s="113"/>
      <c r="P100" s="94"/>
      <c r="Q100" s="113"/>
      <c r="R100" s="113"/>
      <c r="S100" s="113"/>
      <c r="T100" s="123"/>
      <c r="U100" s="112"/>
      <c r="V100" s="112"/>
      <c r="W100" s="112"/>
      <c r="X100" s="112"/>
      <c r="Y100" s="112"/>
      <c r="Z100" s="112"/>
      <c r="AA100" s="112"/>
      <c r="AB100" s="112"/>
      <c r="AC100" s="112"/>
      <c r="AD100" s="112"/>
      <c r="AE100" s="45"/>
      <c r="AF100" s="45"/>
      <c r="AG100" s="45"/>
      <c r="AH100" s="45"/>
      <c r="AI100" s="45"/>
    </row>
    <row r="101" spans="2:35" s="109" customFormat="1" x14ac:dyDescent="0.25">
      <c r="D101" s="112"/>
      <c r="E101" s="112"/>
      <c r="F101" s="113"/>
      <c r="G101" s="113"/>
      <c r="H101" s="113"/>
      <c r="I101" s="113"/>
      <c r="J101" s="113"/>
      <c r="K101" s="113"/>
      <c r="L101" s="113"/>
      <c r="M101" s="113"/>
      <c r="N101" s="113"/>
      <c r="O101" s="113"/>
      <c r="P101" s="94"/>
      <c r="Q101" s="113"/>
      <c r="R101" s="113"/>
      <c r="S101" s="113"/>
      <c r="T101" s="123"/>
      <c r="U101" s="112"/>
      <c r="V101" s="112"/>
      <c r="W101" s="112"/>
      <c r="X101" s="112"/>
      <c r="Y101" s="112"/>
      <c r="Z101" s="112"/>
      <c r="AA101" s="112"/>
      <c r="AB101" s="112"/>
      <c r="AC101" s="112"/>
      <c r="AD101" s="112"/>
      <c r="AE101" s="45"/>
      <c r="AF101" s="45"/>
      <c r="AG101" s="45"/>
      <c r="AH101" s="45"/>
      <c r="AI101" s="45"/>
    </row>
    <row r="102" spans="2:35" s="109" customFormat="1" x14ac:dyDescent="0.25">
      <c r="D102" s="112"/>
      <c r="E102" s="112"/>
      <c r="F102" s="114"/>
      <c r="G102" s="114"/>
      <c r="H102" s="114"/>
      <c r="I102" s="114"/>
      <c r="J102" s="114"/>
      <c r="K102" s="114"/>
      <c r="L102" s="114"/>
      <c r="M102" s="114"/>
      <c r="N102" s="114"/>
      <c r="O102" s="114"/>
      <c r="P102" s="94"/>
      <c r="Q102" s="114"/>
      <c r="R102" s="114"/>
      <c r="S102" s="112"/>
      <c r="T102" s="112"/>
      <c r="U102" s="112"/>
      <c r="V102" s="112"/>
      <c r="W102" s="112"/>
      <c r="X102" s="112"/>
      <c r="Y102" s="112"/>
      <c r="Z102" s="112"/>
      <c r="AA102" s="112"/>
      <c r="AB102" s="112"/>
      <c r="AC102" s="112"/>
      <c r="AD102" s="112"/>
      <c r="AE102" s="45"/>
      <c r="AF102" s="45"/>
      <c r="AG102" s="45"/>
      <c r="AH102" s="45"/>
      <c r="AI102" s="45"/>
    </row>
    <row r="103" spans="2:35" s="109" customFormat="1" x14ac:dyDescent="0.25">
      <c r="D103" s="112"/>
      <c r="E103" s="112"/>
      <c r="F103" s="115"/>
      <c r="G103" s="115"/>
      <c r="H103" s="115"/>
      <c r="I103" s="115"/>
      <c r="J103" s="115"/>
      <c r="K103" s="115"/>
      <c r="L103" s="115"/>
      <c r="M103" s="115"/>
      <c r="N103" s="115"/>
      <c r="O103" s="115"/>
      <c r="P103" s="94"/>
      <c r="Q103" s="115"/>
      <c r="R103" s="115"/>
      <c r="S103" s="112"/>
      <c r="T103" s="112"/>
      <c r="U103" s="112"/>
      <c r="V103" s="112"/>
      <c r="W103" s="112"/>
      <c r="X103" s="112"/>
      <c r="Y103" s="112"/>
      <c r="Z103" s="112"/>
      <c r="AB103" s="112"/>
      <c r="AC103" s="112"/>
      <c r="AD103" s="112"/>
      <c r="AE103" s="45"/>
      <c r="AF103" s="45"/>
      <c r="AG103" s="45"/>
      <c r="AH103" s="45"/>
      <c r="AI103" s="45"/>
    </row>
    <row r="104" spans="2:35" s="109" customFormat="1" x14ac:dyDescent="0.25">
      <c r="D104" s="112"/>
      <c r="E104" s="112"/>
      <c r="F104" s="115"/>
      <c r="G104" s="115"/>
      <c r="H104" s="115"/>
      <c r="I104" s="115"/>
      <c r="J104" s="115"/>
      <c r="K104" s="115"/>
      <c r="L104" s="115"/>
      <c r="M104" s="115"/>
      <c r="N104" s="115"/>
      <c r="O104" s="115"/>
      <c r="P104" s="94"/>
      <c r="Q104" s="115"/>
      <c r="R104" s="115"/>
      <c r="S104" s="112"/>
      <c r="T104" s="112"/>
      <c r="U104" s="112"/>
      <c r="V104" s="112"/>
      <c r="W104" s="112"/>
      <c r="X104" s="112"/>
      <c r="Y104" s="112"/>
      <c r="Z104" s="112"/>
      <c r="AA104" s="112"/>
      <c r="AB104" s="112"/>
      <c r="AC104" s="112"/>
      <c r="AD104" s="112"/>
      <c r="AE104" s="45"/>
      <c r="AF104" s="45"/>
      <c r="AG104" s="45"/>
      <c r="AH104" s="45"/>
      <c r="AI104" s="45"/>
    </row>
    <row r="105" spans="2:35" s="109" customFormat="1" x14ac:dyDescent="0.25">
      <c r="D105" s="112"/>
      <c r="E105" s="112"/>
      <c r="F105" s="115"/>
      <c r="G105" s="115"/>
      <c r="H105" s="115"/>
      <c r="I105" s="115"/>
      <c r="J105" s="115"/>
      <c r="K105" s="115"/>
      <c r="L105" s="115"/>
      <c r="M105" s="115"/>
      <c r="N105" s="115"/>
      <c r="O105" s="115"/>
      <c r="P105" s="94"/>
      <c r="Q105" s="115"/>
      <c r="R105" s="115"/>
      <c r="S105" s="112"/>
      <c r="T105" s="112"/>
      <c r="U105" s="112"/>
      <c r="V105" s="112"/>
      <c r="W105" s="112"/>
      <c r="X105" s="112"/>
      <c r="Y105" s="112"/>
      <c r="Z105" s="112"/>
      <c r="AA105" s="112"/>
      <c r="AB105" s="112"/>
      <c r="AC105" s="112"/>
      <c r="AD105" s="112"/>
      <c r="AE105" s="45"/>
      <c r="AF105" s="45"/>
      <c r="AG105" s="45"/>
      <c r="AH105" s="45"/>
      <c r="AI105" s="45"/>
    </row>
    <row r="106" spans="2:35" x14ac:dyDescent="0.25">
      <c r="C106" s="109"/>
      <c r="D106" s="112"/>
      <c r="E106" s="112"/>
      <c r="F106" s="113"/>
      <c r="G106" s="113"/>
      <c r="H106" s="113"/>
      <c r="I106" s="113"/>
      <c r="J106" s="113"/>
      <c r="K106" s="113"/>
      <c r="L106" s="113"/>
      <c r="M106" s="113"/>
      <c r="N106" s="113"/>
      <c r="O106" s="113"/>
      <c r="Q106" s="113"/>
      <c r="R106" s="113"/>
      <c r="S106" s="112"/>
      <c r="T106" s="112"/>
      <c r="U106" s="112"/>
      <c r="V106" s="112"/>
      <c r="W106" s="112"/>
      <c r="X106" s="112"/>
      <c r="Y106" s="112"/>
      <c r="Z106" s="112"/>
      <c r="AA106" s="112"/>
      <c r="AB106" s="112"/>
      <c r="AC106" s="112"/>
      <c r="AD106" s="112"/>
    </row>
    <row r="107" spans="2:35" x14ac:dyDescent="0.25">
      <c r="S107" s="112"/>
      <c r="T107" s="112"/>
      <c r="U107" s="112"/>
      <c r="V107" s="112"/>
      <c r="W107" s="112"/>
      <c r="X107" s="112"/>
      <c r="Y107" s="112"/>
      <c r="Z107" s="112"/>
      <c r="AA107" s="112"/>
      <c r="AB107" s="112"/>
      <c r="AC107" s="112"/>
      <c r="AD107" s="112"/>
    </row>
    <row r="108" spans="2:35" x14ac:dyDescent="0.25">
      <c r="S108" s="112"/>
      <c r="T108" s="112"/>
      <c r="U108" s="112"/>
      <c r="V108" s="112"/>
      <c r="W108" s="112"/>
      <c r="X108" s="112"/>
      <c r="Y108" s="112"/>
      <c r="Z108" s="112"/>
      <c r="AA108" s="112"/>
      <c r="AB108" s="112"/>
      <c r="AC108" s="112"/>
      <c r="AD108" s="112"/>
    </row>
    <row r="109" spans="2:35" x14ac:dyDescent="0.25">
      <c r="S109" s="112"/>
      <c r="T109" s="112"/>
      <c r="U109" s="112"/>
      <c r="V109" s="112"/>
      <c r="W109" s="112"/>
      <c r="X109" s="112"/>
      <c r="Y109" s="112"/>
      <c r="Z109" s="112"/>
      <c r="AA109" s="112"/>
      <c r="AB109" s="112"/>
      <c r="AC109" s="112"/>
      <c r="AD109" s="112"/>
    </row>
    <row r="110" spans="2:35" x14ac:dyDescent="0.25">
      <c r="S110" s="112"/>
      <c r="T110" s="112"/>
      <c r="U110" s="112"/>
      <c r="V110" s="112"/>
      <c r="W110" s="112"/>
      <c r="X110" s="112"/>
      <c r="Y110" s="112"/>
      <c r="Z110" s="112"/>
      <c r="AA110" s="112"/>
      <c r="AB110" s="112"/>
      <c r="AC110" s="112"/>
      <c r="AD110" s="112"/>
    </row>
    <row r="111" spans="2:35" x14ac:dyDescent="0.25">
      <c r="S111" s="112"/>
      <c r="T111" s="112"/>
      <c r="U111" s="112"/>
      <c r="V111" s="112"/>
      <c r="W111" s="112"/>
      <c r="X111" s="112"/>
      <c r="Y111" s="112"/>
      <c r="Z111" s="112"/>
      <c r="AA111" s="112"/>
      <c r="AB111" s="112"/>
      <c r="AC111" s="112"/>
      <c r="AD111" s="112"/>
    </row>
    <row r="112" spans="2:35" x14ac:dyDescent="0.25">
      <c r="S112" s="112"/>
      <c r="T112" s="112"/>
      <c r="U112" s="112"/>
      <c r="V112" s="112"/>
      <c r="W112" s="112"/>
      <c r="X112" s="112"/>
      <c r="Y112" s="112"/>
      <c r="Z112" s="112"/>
      <c r="AA112" s="112"/>
      <c r="AB112" s="112"/>
      <c r="AC112" s="112"/>
      <c r="AD112" s="112"/>
    </row>
    <row r="113" spans="19:30" x14ac:dyDescent="0.25">
      <c r="S113" s="112"/>
      <c r="T113" s="112"/>
      <c r="U113" s="112"/>
      <c r="V113" s="112"/>
      <c r="W113" s="112"/>
      <c r="X113" s="112"/>
      <c r="Y113" s="112"/>
      <c r="Z113" s="112"/>
      <c r="AA113" s="112"/>
      <c r="AB113" s="112"/>
      <c r="AC113" s="112"/>
      <c r="AD113" s="112"/>
    </row>
    <row r="114" spans="19:30" x14ac:dyDescent="0.25">
      <c r="S114" s="112"/>
      <c r="T114" s="112"/>
      <c r="U114" s="112"/>
      <c r="V114" s="112"/>
      <c r="W114" s="112"/>
      <c r="X114" s="112"/>
      <c r="Y114" s="112"/>
      <c r="Z114" s="112"/>
      <c r="AA114" s="112"/>
      <c r="AB114" s="112"/>
      <c r="AC114" s="112"/>
      <c r="AD114" s="112"/>
    </row>
    <row r="115" spans="19:30" x14ac:dyDescent="0.25">
      <c r="S115" s="112"/>
      <c r="T115" s="112"/>
      <c r="U115" s="112"/>
      <c r="V115" s="112"/>
      <c r="W115" s="112"/>
      <c r="X115" s="112"/>
      <c r="Y115" s="112"/>
      <c r="Z115" s="112"/>
      <c r="AA115" s="112"/>
      <c r="AB115" s="112"/>
      <c r="AC115" s="112"/>
      <c r="AD115" s="112"/>
    </row>
    <row r="116" spans="19:30" x14ac:dyDescent="0.25">
      <c r="S116" s="112"/>
      <c r="T116" s="112"/>
      <c r="U116" s="112"/>
      <c r="V116" s="112"/>
      <c r="W116" s="112"/>
      <c r="X116" s="112"/>
      <c r="Y116" s="112"/>
      <c r="Z116" s="112"/>
      <c r="AA116" s="112"/>
      <c r="AB116" s="112"/>
      <c r="AC116" s="112"/>
      <c r="AD116" s="112"/>
    </row>
    <row r="117" spans="19:30" x14ac:dyDescent="0.25">
      <c r="S117" s="112"/>
      <c r="T117" s="112"/>
      <c r="U117" s="112"/>
      <c r="V117" s="112"/>
      <c r="W117" s="112"/>
      <c r="X117" s="112"/>
      <c r="Y117" s="112"/>
      <c r="Z117" s="112"/>
      <c r="AA117" s="112"/>
      <c r="AB117" s="112"/>
      <c r="AC117" s="112"/>
      <c r="AD117" s="112"/>
    </row>
    <row r="118" spans="19:30" x14ac:dyDescent="0.25">
      <c r="T118" s="118"/>
      <c r="V118" s="93"/>
      <c r="Y118" s="93"/>
    </row>
    <row r="119" spans="19:30" x14ac:dyDescent="0.25">
      <c r="T119" s="118"/>
      <c r="V119" s="93"/>
      <c r="Y119" s="93"/>
    </row>
    <row r="120" spans="19:30" x14ac:dyDescent="0.25">
      <c r="T120" s="118"/>
      <c r="V120" s="93"/>
      <c r="Y120" s="93"/>
    </row>
    <row r="121" spans="19:30" x14ac:dyDescent="0.25">
      <c r="T121" s="118"/>
      <c r="V121" s="93"/>
      <c r="Y121" s="93"/>
    </row>
    <row r="122" spans="19:30" x14ac:dyDescent="0.25">
      <c r="T122" s="118"/>
      <c r="V122" s="93"/>
      <c r="Y122" s="93"/>
    </row>
    <row r="123" spans="19:30" x14ac:dyDescent="0.25">
      <c r="T123" s="118"/>
      <c r="V123" s="93"/>
      <c r="Y123" s="93"/>
    </row>
    <row r="124" spans="19:30" x14ac:dyDescent="0.25">
      <c r="T124" s="118"/>
      <c r="V124" s="93"/>
      <c r="Y124" s="93"/>
    </row>
    <row r="125" spans="19:30" x14ac:dyDescent="0.25">
      <c r="T125" s="118"/>
      <c r="V125" s="93"/>
      <c r="Y125" s="93"/>
    </row>
    <row r="126" spans="19:30" x14ac:dyDescent="0.25">
      <c r="T126" s="118"/>
      <c r="V126" s="93"/>
      <c r="Y126" s="93"/>
    </row>
    <row r="127" spans="19:30" x14ac:dyDescent="0.25">
      <c r="T127" s="118"/>
      <c r="V127" s="93"/>
      <c r="Y127" s="93"/>
    </row>
    <row r="128" spans="19:30" x14ac:dyDescent="0.25">
      <c r="T128" s="118"/>
      <c r="V128" s="93"/>
      <c r="Y128" s="93"/>
    </row>
    <row r="129" spans="20:25" x14ac:dyDescent="0.25">
      <c r="T129" s="118"/>
      <c r="V129" s="93"/>
      <c r="Y129" s="93"/>
    </row>
    <row r="130" spans="20:25" x14ac:dyDescent="0.25">
      <c r="T130" s="118"/>
      <c r="V130" s="93"/>
      <c r="Y130" s="93"/>
    </row>
    <row r="131" spans="20:25" x14ac:dyDescent="0.25">
      <c r="T131" s="118"/>
      <c r="V131" s="93"/>
      <c r="Y131" s="93"/>
    </row>
    <row r="132" spans="20:25" x14ac:dyDescent="0.25">
      <c r="T132" s="118"/>
      <c r="V132" s="93"/>
      <c r="Y132" s="93"/>
    </row>
    <row r="133" spans="20:25" x14ac:dyDescent="0.25">
      <c r="T133" s="118"/>
      <c r="V133" s="93"/>
      <c r="Y133" s="93"/>
    </row>
    <row r="134" spans="20:25" x14ac:dyDescent="0.25">
      <c r="T134" s="118"/>
      <c r="V134" s="93"/>
      <c r="Y134" s="93"/>
    </row>
    <row r="135" spans="20:25" x14ac:dyDescent="0.25">
      <c r="T135" s="118"/>
      <c r="V135" s="93"/>
      <c r="Y135" s="93"/>
    </row>
    <row r="136" spans="20:25" x14ac:dyDescent="0.25">
      <c r="T136" s="118"/>
      <c r="V136" s="93"/>
      <c r="Y136" s="93"/>
    </row>
    <row r="137" spans="20:25" x14ac:dyDescent="0.25">
      <c r="T137" s="118"/>
      <c r="V137" s="93"/>
      <c r="Y137" s="93"/>
    </row>
    <row r="138" spans="20:25" x14ac:dyDescent="0.25">
      <c r="T138" s="118"/>
      <c r="V138" s="93"/>
      <c r="Y138" s="93"/>
    </row>
    <row r="139" spans="20:25" x14ac:dyDescent="0.25">
      <c r="T139" s="118"/>
      <c r="V139" s="93"/>
      <c r="Y139" s="93"/>
    </row>
    <row r="140" spans="20:25" x14ac:dyDescent="0.25">
      <c r="T140" s="118"/>
      <c r="V140" s="93"/>
      <c r="Y140" s="93"/>
    </row>
    <row r="141" spans="20:25" x14ac:dyDescent="0.25">
      <c r="T141" s="118"/>
      <c r="V141" s="93"/>
      <c r="Y141" s="93"/>
    </row>
    <row r="142" spans="20:25" x14ac:dyDescent="0.25">
      <c r="T142" s="118"/>
      <c r="V142" s="93"/>
      <c r="Y142" s="93"/>
    </row>
    <row r="143" spans="20:25" x14ac:dyDescent="0.25">
      <c r="T143" s="118"/>
      <c r="V143" s="93"/>
      <c r="Y143" s="93"/>
    </row>
    <row r="144" spans="20:25" x14ac:dyDescent="0.25">
      <c r="T144" s="118"/>
      <c r="V144" s="93"/>
      <c r="Y144" s="93"/>
    </row>
    <row r="145" spans="20:25" x14ac:dyDescent="0.25">
      <c r="T145" s="118"/>
      <c r="V145" s="93"/>
      <c r="Y145" s="93"/>
    </row>
    <row r="146" spans="20:25" x14ac:dyDescent="0.25">
      <c r="T146" s="118"/>
      <c r="V146" s="93"/>
      <c r="Y146" s="93"/>
    </row>
    <row r="147" spans="20:25" x14ac:dyDescent="0.25">
      <c r="T147" s="118"/>
      <c r="V147" s="93"/>
      <c r="Y147" s="93"/>
    </row>
    <row r="148" spans="20:25" x14ac:dyDescent="0.25">
      <c r="T148" s="118"/>
      <c r="V148" s="93"/>
      <c r="Y148" s="93"/>
    </row>
    <row r="149" spans="20:25" x14ac:dyDescent="0.25">
      <c r="T149" s="118"/>
      <c r="V149" s="93"/>
      <c r="Y149" s="93"/>
    </row>
    <row r="150" spans="20:25" x14ac:dyDescent="0.25">
      <c r="T150" s="118"/>
      <c r="V150" s="93"/>
      <c r="Y150" s="93"/>
    </row>
    <row r="151" spans="20:25" x14ac:dyDescent="0.25">
      <c r="T151" s="118"/>
      <c r="V151" s="93"/>
      <c r="Y151" s="93"/>
    </row>
    <row r="152" spans="20:25" x14ac:dyDescent="0.25">
      <c r="T152" s="118"/>
      <c r="V152" s="93"/>
      <c r="Y152" s="93"/>
    </row>
    <row r="153" spans="20:25" x14ac:dyDescent="0.25">
      <c r="T153" s="118"/>
      <c r="V153" s="93"/>
      <c r="Y153" s="93"/>
    </row>
    <row r="154" spans="20:25" x14ac:dyDescent="0.25">
      <c r="T154" s="118"/>
      <c r="V154" s="93"/>
      <c r="Y154" s="93"/>
    </row>
    <row r="155" spans="20:25" x14ac:dyDescent="0.25">
      <c r="T155" s="118"/>
      <c r="V155" s="93"/>
      <c r="Y155" s="93"/>
    </row>
    <row r="156" spans="20:25" x14ac:dyDescent="0.25">
      <c r="T156" s="118"/>
      <c r="V156" s="93"/>
      <c r="Y156" s="93"/>
    </row>
    <row r="157" spans="20:25" x14ac:dyDescent="0.25">
      <c r="T157" s="118"/>
      <c r="V157" s="93"/>
      <c r="Y157" s="93"/>
    </row>
    <row r="158" spans="20:25" x14ac:dyDescent="0.25">
      <c r="T158" s="118"/>
      <c r="V158" s="93"/>
      <c r="Y158" s="93"/>
    </row>
    <row r="159" spans="20:25" x14ac:dyDescent="0.25">
      <c r="T159" s="118"/>
      <c r="V159" s="93"/>
      <c r="Y159" s="93"/>
    </row>
    <row r="160" spans="20:25" x14ac:dyDescent="0.25">
      <c r="T160" s="118"/>
      <c r="V160" s="93"/>
      <c r="Y160" s="93"/>
    </row>
    <row r="161" spans="20:25" x14ac:dyDescent="0.25">
      <c r="T161" s="118"/>
      <c r="V161" s="93"/>
      <c r="Y161" s="93"/>
    </row>
    <row r="162" spans="20:25" x14ac:dyDescent="0.25">
      <c r="T162" s="118"/>
      <c r="V162" s="93"/>
      <c r="Y162" s="93"/>
    </row>
    <row r="163" spans="20:25" x14ac:dyDescent="0.25">
      <c r="T163" s="118"/>
      <c r="V163" s="93"/>
      <c r="Y163" s="93"/>
    </row>
    <row r="164" spans="20:25" x14ac:dyDescent="0.25">
      <c r="T164" s="118"/>
      <c r="V164" s="93"/>
      <c r="Y164" s="93"/>
    </row>
    <row r="165" spans="20:25" x14ac:dyDescent="0.25">
      <c r="T165" s="118"/>
      <c r="V165" s="93"/>
      <c r="Y165" s="93"/>
    </row>
    <row r="166" spans="20:25" x14ac:dyDescent="0.25">
      <c r="T166" s="118"/>
      <c r="V166" s="93"/>
      <c r="Y166" s="93"/>
    </row>
    <row r="167" spans="20:25" x14ac:dyDescent="0.25">
      <c r="T167" s="118"/>
      <c r="V167" s="93"/>
      <c r="Y167" s="93"/>
    </row>
    <row r="168" spans="20:25" x14ac:dyDescent="0.25">
      <c r="T168" s="118"/>
      <c r="V168" s="93"/>
      <c r="Y168" s="93"/>
    </row>
    <row r="169" spans="20:25" x14ac:dyDescent="0.25">
      <c r="T169" s="118"/>
      <c r="V169" s="93"/>
      <c r="Y169" s="93"/>
    </row>
    <row r="170" spans="20:25" x14ac:dyDescent="0.25">
      <c r="T170" s="118"/>
      <c r="V170" s="93"/>
      <c r="Y170" s="93"/>
    </row>
    <row r="171" spans="20:25" x14ac:dyDescent="0.25">
      <c r="T171" s="118"/>
      <c r="V171" s="93"/>
      <c r="Y171" s="93"/>
    </row>
    <row r="172" spans="20:25" x14ac:dyDescent="0.25">
      <c r="T172" s="118"/>
      <c r="V172" s="93"/>
      <c r="Y172" s="93"/>
    </row>
    <row r="173" spans="20:25" x14ac:dyDescent="0.25">
      <c r="T173" s="118"/>
      <c r="V173" s="93"/>
      <c r="Y173" s="93"/>
    </row>
    <row r="174" spans="20:25" x14ac:dyDescent="0.25">
      <c r="T174" s="118"/>
      <c r="V174" s="93"/>
      <c r="Y174" s="93"/>
    </row>
    <row r="175" spans="20:25" x14ac:dyDescent="0.25">
      <c r="T175" s="118"/>
      <c r="V175" s="93"/>
      <c r="Y175" s="93"/>
    </row>
    <row r="176" spans="20:25" x14ac:dyDescent="0.25">
      <c r="T176" s="118"/>
      <c r="V176" s="93"/>
      <c r="Y176" s="93"/>
    </row>
    <row r="177" spans="20:25" x14ac:dyDescent="0.25">
      <c r="T177" s="118"/>
      <c r="V177" s="93"/>
      <c r="Y177" s="93"/>
    </row>
    <row r="178" spans="20:25" x14ac:dyDescent="0.25">
      <c r="T178" s="118"/>
      <c r="V178" s="93"/>
      <c r="Y178" s="93"/>
    </row>
    <row r="179" spans="20:25" x14ac:dyDescent="0.25">
      <c r="T179" s="118"/>
      <c r="V179" s="93"/>
      <c r="Y179" s="93"/>
    </row>
    <row r="180" spans="20:25" x14ac:dyDescent="0.25">
      <c r="T180" s="118"/>
      <c r="V180" s="93"/>
      <c r="Y180" s="93"/>
    </row>
    <row r="181" spans="20:25" x14ac:dyDescent="0.25">
      <c r="T181" s="118"/>
      <c r="V181" s="93"/>
      <c r="Y181" s="93"/>
    </row>
    <row r="182" spans="20:25" x14ac:dyDescent="0.25">
      <c r="T182" s="118"/>
      <c r="V182" s="93"/>
      <c r="Y182" s="93"/>
    </row>
    <row r="183" spans="20:25" x14ac:dyDescent="0.25">
      <c r="T183" s="118"/>
      <c r="V183" s="93"/>
      <c r="Y183" s="93"/>
    </row>
    <row r="184" spans="20:25" x14ac:dyDescent="0.25">
      <c r="T184" s="118"/>
      <c r="V184" s="93"/>
      <c r="Y184" s="93"/>
    </row>
    <row r="185" spans="20:25" x14ac:dyDescent="0.25">
      <c r="T185" s="118"/>
      <c r="V185" s="93"/>
      <c r="Y185" s="93"/>
    </row>
    <row r="186" spans="20:25" x14ac:dyDescent="0.25">
      <c r="T186" s="118"/>
      <c r="V186" s="93"/>
      <c r="Y186" s="93"/>
    </row>
    <row r="187" spans="20:25" x14ac:dyDescent="0.25">
      <c r="T187" s="118"/>
      <c r="V187" s="93"/>
      <c r="Y187" s="93"/>
    </row>
    <row r="188" spans="20:25" x14ac:dyDescent="0.25">
      <c r="T188" s="118"/>
      <c r="V188" s="93"/>
      <c r="Y188" s="93"/>
    </row>
    <row r="189" spans="20:25" x14ac:dyDescent="0.25">
      <c r="T189" s="118"/>
      <c r="V189" s="93"/>
      <c r="Y189" s="93"/>
    </row>
    <row r="190" spans="20:25" x14ac:dyDescent="0.25">
      <c r="T190" s="118"/>
      <c r="V190" s="93"/>
      <c r="Y190" s="93"/>
    </row>
    <row r="191" spans="20:25" x14ac:dyDescent="0.25">
      <c r="T191" s="118"/>
      <c r="V191" s="93"/>
      <c r="Y191" s="93"/>
    </row>
    <row r="192" spans="20:25" x14ac:dyDescent="0.25">
      <c r="T192" s="118"/>
      <c r="V192" s="93"/>
      <c r="Y192" s="93"/>
    </row>
    <row r="193" spans="20:25" x14ac:dyDescent="0.25">
      <c r="T193" s="118"/>
      <c r="V193" s="93"/>
      <c r="Y193" s="93"/>
    </row>
    <row r="194" spans="20:25" x14ac:dyDescent="0.25">
      <c r="T194" s="118"/>
      <c r="V194" s="93"/>
      <c r="Y194" s="93"/>
    </row>
    <row r="195" spans="20:25" x14ac:dyDescent="0.25">
      <c r="T195" s="118"/>
      <c r="V195" s="93"/>
      <c r="Y195" s="93"/>
    </row>
    <row r="196" spans="20:25" x14ac:dyDescent="0.25">
      <c r="T196" s="118"/>
      <c r="V196" s="93"/>
      <c r="Y196" s="93"/>
    </row>
    <row r="197" spans="20:25" x14ac:dyDescent="0.25">
      <c r="T197" s="118"/>
      <c r="V197" s="93"/>
      <c r="Y197" s="93"/>
    </row>
    <row r="198" spans="20:25" x14ac:dyDescent="0.25">
      <c r="T198" s="118"/>
      <c r="V198" s="93"/>
      <c r="Y198" s="93"/>
    </row>
    <row r="199" spans="20:25" x14ac:dyDescent="0.25">
      <c r="T199" s="118"/>
      <c r="V199" s="93"/>
      <c r="Y199" s="93"/>
    </row>
    <row r="200" spans="20:25" x14ac:dyDescent="0.25">
      <c r="T200" s="118"/>
      <c r="V200" s="93"/>
      <c r="Y200" s="93"/>
    </row>
    <row r="201" spans="20:25" x14ac:dyDescent="0.25">
      <c r="T201" s="118"/>
      <c r="V201" s="93"/>
      <c r="Y201" s="93"/>
    </row>
    <row r="202" spans="20:25" x14ac:dyDescent="0.25">
      <c r="T202" s="118"/>
      <c r="V202" s="93"/>
      <c r="Y202" s="93"/>
    </row>
    <row r="203" spans="20:25" x14ac:dyDescent="0.25">
      <c r="T203" s="118"/>
      <c r="V203" s="93"/>
      <c r="Y203" s="93"/>
    </row>
    <row r="204" spans="20:25" x14ac:dyDescent="0.25">
      <c r="T204" s="118"/>
      <c r="V204" s="93"/>
      <c r="Y204" s="93"/>
    </row>
    <row r="205" spans="20:25" x14ac:dyDescent="0.25">
      <c r="T205" s="118"/>
      <c r="V205" s="93"/>
      <c r="Y205" s="93"/>
    </row>
    <row r="206" spans="20:25" x14ac:dyDescent="0.25">
      <c r="T206" s="118"/>
      <c r="V206" s="93"/>
      <c r="Y206" s="93"/>
    </row>
    <row r="207" spans="20:25" x14ac:dyDescent="0.25">
      <c r="T207" s="118"/>
      <c r="V207" s="93"/>
      <c r="Y207" s="93"/>
    </row>
    <row r="208" spans="20:25" x14ac:dyDescent="0.25">
      <c r="T208" s="118"/>
      <c r="V208" s="93"/>
      <c r="Y208" s="93"/>
    </row>
    <row r="209" spans="20:25" x14ac:dyDescent="0.25">
      <c r="T209" s="118"/>
      <c r="V209" s="93"/>
      <c r="Y209" s="93"/>
    </row>
    <row r="210" spans="20:25" x14ac:dyDescent="0.25">
      <c r="T210" s="118"/>
      <c r="V210" s="93"/>
      <c r="Y210" s="93"/>
    </row>
    <row r="211" spans="20:25" x14ac:dyDescent="0.25">
      <c r="T211" s="118"/>
      <c r="V211" s="93"/>
      <c r="Y211" s="93"/>
    </row>
    <row r="212" spans="20:25" x14ac:dyDescent="0.25">
      <c r="T212" s="118"/>
      <c r="V212" s="93"/>
      <c r="Y212" s="93"/>
    </row>
    <row r="213" spans="20:25" x14ac:dyDescent="0.25">
      <c r="T213" s="118"/>
      <c r="V213" s="93"/>
      <c r="Y213" s="93"/>
    </row>
    <row r="214" spans="20:25" x14ac:dyDescent="0.25">
      <c r="T214" s="118"/>
      <c r="V214" s="93"/>
      <c r="Y214" s="93"/>
    </row>
    <row r="215" spans="20:25" x14ac:dyDescent="0.25">
      <c r="T215" s="118"/>
      <c r="V215" s="93"/>
      <c r="Y215" s="93"/>
    </row>
    <row r="216" spans="20:25" x14ac:dyDescent="0.25">
      <c r="T216" s="118"/>
      <c r="V216" s="93"/>
      <c r="Y216" s="93"/>
    </row>
    <row r="217" spans="20:25" x14ac:dyDescent="0.25">
      <c r="T217" s="118"/>
      <c r="V217" s="93"/>
      <c r="Y217" s="93"/>
    </row>
    <row r="218" spans="20:25" x14ac:dyDescent="0.25">
      <c r="T218" s="118"/>
      <c r="V218" s="93"/>
      <c r="Y218" s="93"/>
    </row>
    <row r="219" spans="20:25" x14ac:dyDescent="0.25">
      <c r="T219" s="118"/>
      <c r="V219" s="93"/>
      <c r="Y219" s="93"/>
    </row>
    <row r="220" spans="20:25" x14ac:dyDescent="0.25">
      <c r="T220" s="118"/>
      <c r="V220" s="93"/>
      <c r="Y220" s="93"/>
    </row>
    <row r="221" spans="20:25" x14ac:dyDescent="0.25">
      <c r="T221" s="118"/>
      <c r="V221" s="93"/>
      <c r="Y221" s="93"/>
    </row>
    <row r="222" spans="20:25" x14ac:dyDescent="0.25">
      <c r="T222" s="118"/>
      <c r="V222" s="93"/>
      <c r="Y222" s="93"/>
    </row>
    <row r="223" spans="20:25" x14ac:dyDescent="0.25">
      <c r="T223" s="118"/>
      <c r="V223" s="93"/>
      <c r="Y223" s="93"/>
    </row>
    <row r="224" spans="20:25" x14ac:dyDescent="0.25">
      <c r="T224" s="118"/>
      <c r="V224" s="93"/>
      <c r="Y224" s="93"/>
    </row>
    <row r="225" spans="20:25" x14ac:dyDescent="0.25">
      <c r="T225" s="118"/>
      <c r="V225" s="93"/>
      <c r="Y225" s="93"/>
    </row>
    <row r="226" spans="20:25" x14ac:dyDescent="0.25">
      <c r="T226" s="118"/>
      <c r="V226" s="93"/>
      <c r="Y226" s="93"/>
    </row>
    <row r="227" spans="20:25" x14ac:dyDescent="0.25">
      <c r="T227" s="118"/>
      <c r="V227" s="93"/>
      <c r="Y227" s="93"/>
    </row>
    <row r="228" spans="20:25" x14ac:dyDescent="0.25">
      <c r="T228" s="118"/>
      <c r="V228" s="93"/>
      <c r="Y228" s="93"/>
    </row>
    <row r="229" spans="20:25" x14ac:dyDescent="0.25">
      <c r="T229" s="118"/>
      <c r="V229" s="93"/>
      <c r="Y229" s="93"/>
    </row>
    <row r="230" spans="20:25" x14ac:dyDescent="0.25">
      <c r="T230" s="118"/>
      <c r="V230" s="93"/>
      <c r="Y230" s="93"/>
    </row>
    <row r="231" spans="20:25" x14ac:dyDescent="0.25">
      <c r="T231" s="118"/>
      <c r="V231" s="93"/>
      <c r="Y231" s="93"/>
    </row>
    <row r="232" spans="20:25" x14ac:dyDescent="0.25">
      <c r="T232" s="118"/>
      <c r="V232" s="93"/>
      <c r="Y232" s="93"/>
    </row>
    <row r="233" spans="20:25" x14ac:dyDescent="0.25">
      <c r="T233" s="118"/>
      <c r="V233" s="93"/>
      <c r="Y233" s="93"/>
    </row>
    <row r="234" spans="20:25" x14ac:dyDescent="0.25">
      <c r="T234" s="118"/>
      <c r="V234" s="93"/>
      <c r="Y234" s="93"/>
    </row>
    <row r="235" spans="20:25" x14ac:dyDescent="0.25">
      <c r="T235" s="118"/>
      <c r="V235" s="93"/>
      <c r="Y235" s="93"/>
    </row>
    <row r="236" spans="20:25" x14ac:dyDescent="0.25">
      <c r="T236" s="118"/>
      <c r="V236" s="93"/>
      <c r="Y236" s="93"/>
    </row>
    <row r="237" spans="20:25" x14ac:dyDescent="0.25">
      <c r="T237" s="118"/>
      <c r="V237" s="93"/>
      <c r="Y237" s="93"/>
    </row>
    <row r="238" spans="20:25" x14ac:dyDescent="0.25">
      <c r="T238" s="118"/>
      <c r="V238" s="93"/>
      <c r="Y238" s="93"/>
    </row>
    <row r="239" spans="20:25" x14ac:dyDescent="0.25">
      <c r="T239" s="118"/>
      <c r="V239" s="93"/>
      <c r="Y239" s="93"/>
    </row>
    <row r="240" spans="20:25" x14ac:dyDescent="0.25">
      <c r="T240" s="118"/>
      <c r="V240" s="93"/>
      <c r="Y240" s="93"/>
    </row>
    <row r="241" spans="20:25" x14ac:dyDescent="0.25">
      <c r="T241" s="118"/>
      <c r="V241" s="93"/>
      <c r="Y241" s="93"/>
    </row>
    <row r="242" spans="20:25" x14ac:dyDescent="0.25">
      <c r="T242" s="118"/>
      <c r="V242" s="93"/>
      <c r="Y242" s="93"/>
    </row>
    <row r="243" spans="20:25" x14ac:dyDescent="0.25">
      <c r="T243" s="118"/>
      <c r="V243" s="93"/>
      <c r="Y243" s="93"/>
    </row>
    <row r="244" spans="20:25" x14ac:dyDescent="0.25">
      <c r="T244" s="118"/>
      <c r="V244" s="93"/>
      <c r="Y244" s="93"/>
    </row>
    <row r="245" spans="20:25" x14ac:dyDescent="0.25">
      <c r="T245" s="118"/>
      <c r="V245" s="93"/>
      <c r="Y245" s="93"/>
    </row>
    <row r="246" spans="20:25" x14ac:dyDescent="0.25">
      <c r="T246" s="118"/>
      <c r="V246" s="93"/>
      <c r="Y246" s="93"/>
    </row>
    <row r="247" spans="20:25" x14ac:dyDescent="0.25">
      <c r="T247" s="118"/>
      <c r="V247" s="93"/>
      <c r="Y247" s="93"/>
    </row>
    <row r="248" spans="20:25" x14ac:dyDescent="0.25">
      <c r="T248" s="118"/>
      <c r="V248" s="93"/>
      <c r="Y248" s="93"/>
    </row>
    <row r="249" spans="20:25" x14ac:dyDescent="0.25">
      <c r="T249" s="118"/>
      <c r="V249" s="93"/>
      <c r="Y249" s="93"/>
    </row>
    <row r="250" spans="20:25" x14ac:dyDescent="0.25">
      <c r="T250" s="118"/>
      <c r="V250" s="93"/>
      <c r="Y250" s="93"/>
    </row>
    <row r="251" spans="20:25" x14ac:dyDescent="0.25">
      <c r="T251" s="118"/>
      <c r="V251" s="93"/>
      <c r="Y251" s="93"/>
    </row>
    <row r="252" spans="20:25" x14ac:dyDescent="0.25">
      <c r="T252" s="118"/>
      <c r="V252" s="93"/>
      <c r="Y252" s="93"/>
    </row>
    <row r="253" spans="20:25" x14ac:dyDescent="0.25">
      <c r="T253" s="118"/>
      <c r="V253" s="93"/>
      <c r="Y253" s="93"/>
    </row>
    <row r="254" spans="20:25" x14ac:dyDescent="0.25">
      <c r="T254" s="118"/>
      <c r="V254" s="93"/>
      <c r="Y254" s="93"/>
    </row>
    <row r="255" spans="20:25" x14ac:dyDescent="0.25">
      <c r="T255" s="118"/>
      <c r="V255" s="93"/>
      <c r="Y255" s="93"/>
    </row>
    <row r="256" spans="20:25" x14ac:dyDescent="0.25">
      <c r="T256" s="118"/>
      <c r="V256" s="93"/>
      <c r="Y256" s="93"/>
    </row>
    <row r="257" spans="20:25" x14ac:dyDescent="0.25">
      <c r="T257" s="118"/>
      <c r="V257" s="93"/>
      <c r="Y257" s="93"/>
    </row>
    <row r="258" spans="20:25" x14ac:dyDescent="0.25">
      <c r="T258" s="118"/>
      <c r="V258" s="93"/>
      <c r="Y258" s="93"/>
    </row>
    <row r="259" spans="20:25" x14ac:dyDescent="0.25">
      <c r="T259" s="118"/>
      <c r="V259" s="93"/>
      <c r="Y259" s="93"/>
    </row>
    <row r="260" spans="20:25" x14ac:dyDescent="0.25">
      <c r="T260" s="118"/>
      <c r="V260" s="93"/>
      <c r="Y260" s="93"/>
    </row>
    <row r="261" spans="20:25" x14ac:dyDescent="0.25">
      <c r="T261" s="118"/>
      <c r="V261" s="93"/>
      <c r="Y261" s="93"/>
    </row>
    <row r="262" spans="20:25" x14ac:dyDescent="0.25">
      <c r="T262" s="118"/>
      <c r="V262" s="93"/>
      <c r="Y262" s="93"/>
    </row>
    <row r="263" spans="20:25" x14ac:dyDescent="0.25">
      <c r="T263" s="118"/>
      <c r="V263" s="93"/>
      <c r="Y263" s="93"/>
    </row>
    <row r="264" spans="20:25" x14ac:dyDescent="0.25">
      <c r="T264" s="118"/>
      <c r="V264" s="93"/>
      <c r="Y264" s="93"/>
    </row>
    <row r="265" spans="20:25" x14ac:dyDescent="0.25">
      <c r="T265" s="118"/>
      <c r="V265" s="93"/>
      <c r="Y265" s="93"/>
    </row>
    <row r="266" spans="20:25" x14ac:dyDescent="0.25">
      <c r="T266" s="118"/>
      <c r="V266" s="93"/>
      <c r="Y266" s="93"/>
    </row>
    <row r="267" spans="20:25" x14ac:dyDescent="0.25">
      <c r="T267" s="118"/>
      <c r="V267" s="93"/>
      <c r="Y267" s="93"/>
    </row>
    <row r="268" spans="20:25" x14ac:dyDescent="0.25">
      <c r="T268" s="118"/>
      <c r="V268" s="93"/>
      <c r="Y268" s="93"/>
    </row>
    <row r="269" spans="20:25" x14ac:dyDescent="0.25">
      <c r="T269" s="118"/>
      <c r="V269" s="93"/>
      <c r="Y269" s="93"/>
    </row>
    <row r="270" spans="20:25" x14ac:dyDescent="0.25">
      <c r="T270" s="118"/>
      <c r="V270" s="93"/>
      <c r="Y270" s="93"/>
    </row>
    <row r="271" spans="20:25" x14ac:dyDescent="0.25">
      <c r="T271" s="118"/>
      <c r="V271" s="93"/>
      <c r="Y271" s="93"/>
    </row>
    <row r="272" spans="20:25" x14ac:dyDescent="0.25">
      <c r="T272" s="118"/>
      <c r="V272" s="93"/>
      <c r="Y272" s="93"/>
    </row>
    <row r="273" spans="20:25" x14ac:dyDescent="0.25">
      <c r="T273" s="118"/>
      <c r="V273" s="93"/>
      <c r="Y273" s="93"/>
    </row>
    <row r="274" spans="20:25" x14ac:dyDescent="0.25">
      <c r="T274" s="118"/>
      <c r="V274" s="93"/>
      <c r="Y274" s="93"/>
    </row>
    <row r="275" spans="20:25" x14ac:dyDescent="0.25">
      <c r="T275" s="118"/>
      <c r="V275" s="93"/>
      <c r="Y275" s="93"/>
    </row>
    <row r="276" spans="20:25" x14ac:dyDescent="0.25">
      <c r="T276" s="118"/>
      <c r="V276" s="93"/>
      <c r="Y276" s="93"/>
    </row>
    <row r="277" spans="20:25" x14ac:dyDescent="0.25">
      <c r="T277" s="118"/>
      <c r="V277" s="93"/>
      <c r="Y277" s="93"/>
    </row>
    <row r="278" spans="20:25" x14ac:dyDescent="0.25">
      <c r="T278" s="118"/>
      <c r="V278" s="93"/>
      <c r="Y278" s="93"/>
    </row>
    <row r="279" spans="20:25" x14ac:dyDescent="0.25">
      <c r="T279" s="118"/>
      <c r="V279" s="93"/>
      <c r="Y279" s="93"/>
    </row>
    <row r="280" spans="20:25" x14ac:dyDescent="0.25">
      <c r="T280" s="118"/>
      <c r="V280" s="93"/>
      <c r="Y280" s="93"/>
    </row>
    <row r="281" spans="20:25" x14ac:dyDescent="0.25">
      <c r="T281" s="118"/>
      <c r="V281" s="93"/>
      <c r="Y281" s="93"/>
    </row>
    <row r="282" spans="20:25" x14ac:dyDescent="0.25">
      <c r="T282" s="118"/>
      <c r="V282" s="93"/>
      <c r="Y282" s="93"/>
    </row>
    <row r="283" spans="20:25" x14ac:dyDescent="0.25">
      <c r="T283" s="118"/>
      <c r="V283" s="93"/>
      <c r="Y283" s="93"/>
    </row>
    <row r="284" spans="20:25" x14ac:dyDescent="0.25">
      <c r="T284" s="118"/>
      <c r="V284" s="93"/>
      <c r="Y284" s="93"/>
    </row>
    <row r="285" spans="20:25" x14ac:dyDescent="0.25">
      <c r="T285" s="118"/>
      <c r="V285" s="93"/>
      <c r="Y285" s="93"/>
    </row>
    <row r="286" spans="20:25" x14ac:dyDescent="0.25">
      <c r="T286" s="118"/>
      <c r="V286" s="93"/>
      <c r="Y286" s="93"/>
    </row>
    <row r="287" spans="20:25" x14ac:dyDescent="0.25">
      <c r="T287" s="118"/>
      <c r="V287" s="93"/>
      <c r="Y287" s="93"/>
    </row>
    <row r="288" spans="20:25" x14ac:dyDescent="0.25">
      <c r="T288" s="118"/>
      <c r="V288" s="93"/>
      <c r="Y288" s="93"/>
    </row>
    <row r="289" spans="20:25" x14ac:dyDescent="0.25">
      <c r="T289" s="118"/>
      <c r="V289" s="93"/>
      <c r="Y289" s="93"/>
    </row>
    <row r="290" spans="20:25" x14ac:dyDescent="0.25">
      <c r="T290" s="118"/>
      <c r="V290" s="93"/>
      <c r="Y290" s="93"/>
    </row>
    <row r="291" spans="20:25" x14ac:dyDescent="0.25">
      <c r="T291" s="118"/>
      <c r="V291" s="93"/>
      <c r="Y291" s="93"/>
    </row>
    <row r="292" spans="20:25" x14ac:dyDescent="0.25">
      <c r="T292" s="118"/>
      <c r="V292" s="93"/>
      <c r="Y292" s="93"/>
    </row>
    <row r="293" spans="20:25" x14ac:dyDescent="0.25">
      <c r="T293" s="118"/>
      <c r="V293" s="93"/>
      <c r="Y293" s="93"/>
    </row>
    <row r="294" spans="20:25" x14ac:dyDescent="0.25">
      <c r="T294" s="118"/>
      <c r="V294" s="93"/>
      <c r="Y294" s="93"/>
    </row>
    <row r="295" spans="20:25" x14ac:dyDescent="0.25">
      <c r="T295" s="118"/>
      <c r="V295" s="93"/>
      <c r="Y295" s="93"/>
    </row>
    <row r="296" spans="20:25" x14ac:dyDescent="0.25">
      <c r="T296" s="118"/>
      <c r="V296" s="93"/>
      <c r="Y296" s="93"/>
    </row>
    <row r="297" spans="20:25" x14ac:dyDescent="0.25">
      <c r="T297" s="118"/>
      <c r="V297" s="93"/>
      <c r="Y297" s="93"/>
    </row>
    <row r="298" spans="20:25" x14ac:dyDescent="0.25">
      <c r="T298" s="118"/>
      <c r="V298" s="93"/>
      <c r="Y298" s="93"/>
    </row>
    <row r="299" spans="20:25" x14ac:dyDescent="0.25">
      <c r="T299" s="118"/>
      <c r="V299" s="93"/>
      <c r="Y299" s="93"/>
    </row>
    <row r="300" spans="20:25" x14ac:dyDescent="0.25">
      <c r="T300" s="118"/>
      <c r="V300" s="93"/>
      <c r="Y300" s="93"/>
    </row>
    <row r="301" spans="20:25" x14ac:dyDescent="0.25">
      <c r="T301" s="118"/>
      <c r="V301" s="93"/>
      <c r="Y301" s="93"/>
    </row>
    <row r="302" spans="20:25" x14ac:dyDescent="0.25">
      <c r="T302" s="118"/>
      <c r="V302" s="93"/>
      <c r="Y302" s="93"/>
    </row>
    <row r="303" spans="20:25" x14ac:dyDescent="0.25">
      <c r="T303" s="118"/>
      <c r="V303" s="93"/>
      <c r="Y303" s="93"/>
    </row>
    <row r="304" spans="20:25" x14ac:dyDescent="0.25">
      <c r="T304" s="118"/>
      <c r="V304" s="93"/>
      <c r="Y304" s="93"/>
    </row>
    <row r="305" spans="20:25" x14ac:dyDescent="0.25">
      <c r="T305" s="118"/>
      <c r="V305" s="93"/>
      <c r="Y305" s="93"/>
    </row>
    <row r="306" spans="20:25" x14ac:dyDescent="0.25">
      <c r="T306" s="118"/>
      <c r="V306" s="93"/>
      <c r="Y306" s="93"/>
    </row>
    <row r="307" spans="20:25" x14ac:dyDescent="0.25">
      <c r="T307" s="118"/>
      <c r="V307" s="93"/>
      <c r="Y307" s="93"/>
    </row>
    <row r="308" spans="20:25" x14ac:dyDescent="0.25">
      <c r="T308" s="118"/>
      <c r="V308" s="93"/>
      <c r="Y308" s="93"/>
    </row>
    <row r="309" spans="20:25" x14ac:dyDescent="0.25">
      <c r="T309" s="118"/>
      <c r="V309" s="93"/>
      <c r="Y309" s="93"/>
    </row>
    <row r="310" spans="20:25" x14ac:dyDescent="0.25">
      <c r="T310" s="118"/>
      <c r="V310" s="93"/>
      <c r="Y310" s="93"/>
    </row>
    <row r="311" spans="20:25" x14ac:dyDescent="0.25">
      <c r="T311" s="118"/>
      <c r="V311" s="93"/>
      <c r="Y311" s="93"/>
    </row>
    <row r="312" spans="20:25" x14ac:dyDescent="0.25">
      <c r="T312" s="118"/>
      <c r="V312" s="93"/>
      <c r="Y312" s="93"/>
    </row>
    <row r="313" spans="20:25" x14ac:dyDescent="0.25">
      <c r="T313" s="118"/>
      <c r="V313" s="93"/>
      <c r="Y313" s="93"/>
    </row>
    <row r="314" spans="20:25" x14ac:dyDescent="0.25">
      <c r="T314" s="118"/>
      <c r="V314" s="93"/>
      <c r="Y314" s="93"/>
    </row>
    <row r="315" spans="20:25" x14ac:dyDescent="0.25">
      <c r="T315" s="118"/>
      <c r="V315" s="93"/>
      <c r="Y315" s="93"/>
    </row>
    <row r="316" spans="20:25" x14ac:dyDescent="0.25">
      <c r="T316" s="118"/>
      <c r="V316" s="93"/>
      <c r="Y316" s="93"/>
    </row>
    <row r="317" spans="20:25" x14ac:dyDescent="0.25">
      <c r="T317" s="118"/>
      <c r="V317" s="93"/>
      <c r="Y317" s="93"/>
    </row>
    <row r="318" spans="20:25" x14ac:dyDescent="0.25">
      <c r="T318" s="118"/>
      <c r="V318" s="93"/>
      <c r="Y318" s="93"/>
    </row>
    <row r="319" spans="20:25" x14ac:dyDescent="0.25">
      <c r="T319" s="118"/>
      <c r="V319" s="93"/>
      <c r="Y319" s="93"/>
    </row>
    <row r="320" spans="20:25" x14ac:dyDescent="0.25">
      <c r="T320" s="118"/>
      <c r="V320" s="93"/>
      <c r="Y320" s="93"/>
    </row>
    <row r="321" spans="20:25" x14ac:dyDescent="0.25">
      <c r="T321" s="118"/>
      <c r="V321" s="93"/>
      <c r="Y321" s="93"/>
    </row>
    <row r="322" spans="20:25" x14ac:dyDescent="0.25">
      <c r="T322" s="118"/>
      <c r="V322" s="93"/>
      <c r="Y322" s="93"/>
    </row>
    <row r="323" spans="20:25" x14ac:dyDescent="0.25">
      <c r="T323" s="118"/>
      <c r="V323" s="93"/>
      <c r="Y323" s="93"/>
    </row>
    <row r="324" spans="20:25" x14ac:dyDescent="0.25">
      <c r="T324" s="118"/>
      <c r="V324" s="93"/>
      <c r="Y324" s="93"/>
    </row>
    <row r="325" spans="20:25" x14ac:dyDescent="0.25">
      <c r="T325" s="118"/>
      <c r="V325" s="93"/>
      <c r="Y325" s="93"/>
    </row>
    <row r="326" spans="20:25" x14ac:dyDescent="0.25">
      <c r="T326" s="118"/>
      <c r="V326" s="93"/>
      <c r="Y326" s="93"/>
    </row>
    <row r="327" spans="20:25" x14ac:dyDescent="0.25">
      <c r="T327" s="118"/>
      <c r="V327" s="93"/>
      <c r="Y327" s="93"/>
    </row>
    <row r="328" spans="20:25" x14ac:dyDescent="0.25">
      <c r="T328" s="118"/>
      <c r="V328" s="93"/>
      <c r="Y328" s="93"/>
    </row>
    <row r="329" spans="20:25" x14ac:dyDescent="0.25">
      <c r="T329" s="118"/>
      <c r="V329" s="93"/>
      <c r="Y329" s="93"/>
    </row>
    <row r="330" spans="20:25" x14ac:dyDescent="0.25">
      <c r="T330" s="118"/>
      <c r="V330" s="93"/>
      <c r="Y330" s="93"/>
    </row>
    <row r="331" spans="20:25" x14ac:dyDescent="0.25">
      <c r="T331" s="118"/>
      <c r="V331" s="93"/>
      <c r="Y331" s="93"/>
    </row>
    <row r="332" spans="20:25" x14ac:dyDescent="0.25">
      <c r="T332" s="118"/>
      <c r="V332" s="93"/>
      <c r="Y332" s="93"/>
    </row>
    <row r="333" spans="20:25" x14ac:dyDescent="0.25">
      <c r="T333" s="118"/>
      <c r="V333" s="93"/>
      <c r="Y333" s="93"/>
    </row>
    <row r="334" spans="20:25" x14ac:dyDescent="0.25">
      <c r="T334" s="118"/>
      <c r="V334" s="93"/>
      <c r="Y334" s="93"/>
    </row>
    <row r="335" spans="20:25" x14ac:dyDescent="0.25">
      <c r="T335" s="118"/>
      <c r="V335" s="93"/>
      <c r="Y335" s="93"/>
    </row>
    <row r="336" spans="20:25" x14ac:dyDescent="0.25">
      <c r="T336" s="118"/>
      <c r="V336" s="93"/>
      <c r="Y336" s="93"/>
    </row>
    <row r="337" spans="20:25" x14ac:dyDescent="0.25">
      <c r="T337" s="118"/>
      <c r="V337" s="93"/>
      <c r="Y337" s="93"/>
    </row>
    <row r="338" spans="20:25" x14ac:dyDescent="0.25">
      <c r="T338" s="118"/>
      <c r="V338" s="93"/>
      <c r="Y338" s="93"/>
    </row>
    <row r="339" spans="20:25" x14ac:dyDescent="0.25">
      <c r="T339" s="118"/>
      <c r="V339" s="93"/>
      <c r="Y339" s="93"/>
    </row>
    <row r="340" spans="20:25" x14ac:dyDescent="0.25">
      <c r="T340" s="118"/>
      <c r="V340" s="93"/>
      <c r="Y340" s="93"/>
    </row>
    <row r="341" spans="20:25" x14ac:dyDescent="0.25">
      <c r="T341" s="118"/>
      <c r="V341" s="93"/>
      <c r="Y341" s="93"/>
    </row>
    <row r="342" spans="20:25" x14ac:dyDescent="0.25">
      <c r="T342" s="118"/>
      <c r="V342" s="93"/>
      <c r="Y342" s="93"/>
    </row>
    <row r="343" spans="20:25" x14ac:dyDescent="0.25">
      <c r="T343" s="118"/>
      <c r="V343" s="93"/>
      <c r="Y343" s="93"/>
    </row>
    <row r="344" spans="20:25" x14ac:dyDescent="0.25">
      <c r="T344" s="118"/>
      <c r="V344" s="93"/>
      <c r="Y344" s="93"/>
    </row>
    <row r="345" spans="20:25" x14ac:dyDescent="0.25">
      <c r="T345" s="118"/>
      <c r="V345" s="93"/>
      <c r="Y345" s="93"/>
    </row>
    <row r="346" spans="20:25" x14ac:dyDescent="0.25">
      <c r="T346" s="118"/>
      <c r="V346" s="93"/>
      <c r="Y346" s="93"/>
    </row>
    <row r="347" spans="20:25" x14ac:dyDescent="0.25">
      <c r="T347" s="118"/>
      <c r="V347" s="93"/>
      <c r="Y347" s="93"/>
    </row>
    <row r="348" spans="20:25" x14ac:dyDescent="0.25">
      <c r="T348" s="118"/>
      <c r="V348" s="93"/>
      <c r="Y348" s="93"/>
    </row>
    <row r="349" spans="20:25" x14ac:dyDescent="0.25">
      <c r="T349" s="118"/>
      <c r="V349" s="93"/>
      <c r="Y349" s="93"/>
    </row>
    <row r="350" spans="20:25" x14ac:dyDescent="0.25">
      <c r="T350" s="118"/>
      <c r="V350" s="93"/>
      <c r="Y350" s="93"/>
    </row>
    <row r="351" spans="20:25" x14ac:dyDescent="0.25">
      <c r="T351" s="118"/>
      <c r="V351" s="93"/>
      <c r="Y351" s="93"/>
    </row>
    <row r="352" spans="20:25" x14ac:dyDescent="0.25">
      <c r="T352" s="118"/>
      <c r="V352" s="93"/>
      <c r="Y352" s="93"/>
    </row>
    <row r="353" spans="20:25" x14ac:dyDescent="0.25">
      <c r="T353" s="118"/>
      <c r="V353" s="93"/>
      <c r="Y353" s="93"/>
    </row>
    <row r="354" spans="20:25" x14ac:dyDescent="0.25">
      <c r="T354" s="118"/>
      <c r="V354" s="93"/>
      <c r="Y354" s="93"/>
    </row>
    <row r="355" spans="20:25" x14ac:dyDescent="0.25">
      <c r="T355" s="118"/>
      <c r="V355" s="93"/>
      <c r="Y355" s="93"/>
    </row>
    <row r="356" spans="20:25" x14ac:dyDescent="0.25">
      <c r="T356" s="118"/>
      <c r="V356" s="93"/>
      <c r="Y356" s="93"/>
    </row>
    <row r="357" spans="20:25" x14ac:dyDescent="0.25">
      <c r="T357" s="118"/>
      <c r="V357" s="93"/>
      <c r="Y357" s="93"/>
    </row>
    <row r="358" spans="20:25" x14ac:dyDescent="0.25">
      <c r="T358" s="118"/>
      <c r="V358" s="93"/>
      <c r="Y358" s="93"/>
    </row>
    <row r="359" spans="20:25" x14ac:dyDescent="0.25">
      <c r="T359" s="118"/>
      <c r="V359" s="93"/>
      <c r="Y359" s="93"/>
    </row>
    <row r="360" spans="20:25" x14ac:dyDescent="0.25">
      <c r="T360" s="118"/>
      <c r="V360" s="93"/>
      <c r="Y360" s="93"/>
    </row>
    <row r="361" spans="20:25" x14ac:dyDescent="0.25">
      <c r="T361" s="118"/>
      <c r="V361" s="93"/>
      <c r="Y361" s="93"/>
    </row>
    <row r="362" spans="20:25" x14ac:dyDescent="0.25">
      <c r="T362" s="118"/>
      <c r="V362" s="93"/>
      <c r="Y362" s="93"/>
    </row>
    <row r="363" spans="20:25" x14ac:dyDescent="0.25">
      <c r="T363" s="118"/>
      <c r="V363" s="93"/>
      <c r="Y363" s="93"/>
    </row>
    <row r="364" spans="20:25" x14ac:dyDescent="0.25">
      <c r="T364" s="118"/>
      <c r="V364" s="93"/>
      <c r="Y364" s="93"/>
    </row>
    <row r="365" spans="20:25" x14ac:dyDescent="0.25">
      <c r="T365" s="118"/>
      <c r="V365" s="93"/>
      <c r="Y365" s="93"/>
    </row>
    <row r="366" spans="20:25" x14ac:dyDescent="0.25">
      <c r="T366" s="118"/>
      <c r="V366" s="93"/>
      <c r="Y366" s="93"/>
    </row>
    <row r="367" spans="20:25" x14ac:dyDescent="0.25">
      <c r="T367" s="118"/>
      <c r="V367" s="93"/>
      <c r="Y367" s="93"/>
    </row>
    <row r="368" spans="20:25" x14ac:dyDescent="0.25">
      <c r="T368" s="118"/>
      <c r="V368" s="93"/>
      <c r="Y368" s="93"/>
    </row>
    <row r="369" spans="20:25" x14ac:dyDescent="0.25">
      <c r="T369" s="118"/>
      <c r="V369" s="93"/>
      <c r="Y369" s="93"/>
    </row>
    <row r="370" spans="20:25" x14ac:dyDescent="0.25">
      <c r="T370" s="118"/>
      <c r="V370" s="93"/>
      <c r="Y370" s="93"/>
    </row>
    <row r="371" spans="20:25" x14ac:dyDescent="0.25">
      <c r="T371" s="118"/>
      <c r="V371" s="93"/>
      <c r="Y371" s="93"/>
    </row>
    <row r="372" spans="20:25" x14ac:dyDescent="0.25">
      <c r="T372" s="118"/>
      <c r="V372" s="93"/>
      <c r="Y372" s="93"/>
    </row>
    <row r="373" spans="20:25" x14ac:dyDescent="0.25">
      <c r="T373" s="118"/>
      <c r="V373" s="93"/>
      <c r="Y373" s="93"/>
    </row>
    <row r="374" spans="20:25" x14ac:dyDescent="0.25">
      <c r="T374" s="118"/>
      <c r="V374" s="93"/>
      <c r="Y374" s="93"/>
    </row>
    <row r="375" spans="20:25" x14ac:dyDescent="0.25">
      <c r="T375" s="118"/>
      <c r="V375" s="93"/>
      <c r="Y375" s="93"/>
    </row>
    <row r="376" spans="20:25" x14ac:dyDescent="0.25">
      <c r="T376" s="118"/>
      <c r="V376" s="93"/>
      <c r="Y376" s="93"/>
    </row>
    <row r="377" spans="20:25" x14ac:dyDescent="0.25">
      <c r="T377" s="118"/>
      <c r="V377" s="93"/>
      <c r="Y377" s="93"/>
    </row>
    <row r="378" spans="20:25" x14ac:dyDescent="0.25">
      <c r="T378" s="118"/>
      <c r="V378" s="93"/>
      <c r="Y378" s="93"/>
    </row>
    <row r="379" spans="20:25" x14ac:dyDescent="0.25">
      <c r="T379" s="118"/>
      <c r="V379" s="93"/>
      <c r="Y379" s="93"/>
    </row>
    <row r="380" spans="20:25" x14ac:dyDescent="0.25">
      <c r="T380" s="118"/>
      <c r="V380" s="93"/>
      <c r="Y380" s="93"/>
    </row>
    <row r="381" spans="20:25" x14ac:dyDescent="0.25">
      <c r="T381" s="118"/>
      <c r="V381" s="93"/>
      <c r="Y381" s="93"/>
    </row>
    <row r="382" spans="20:25" x14ac:dyDescent="0.25">
      <c r="T382" s="118"/>
      <c r="V382" s="93"/>
      <c r="Y382" s="93"/>
    </row>
    <row r="383" spans="20:25" x14ac:dyDescent="0.25">
      <c r="T383" s="118"/>
      <c r="V383" s="93"/>
      <c r="Y383" s="93"/>
    </row>
    <row r="384" spans="20:25" x14ac:dyDescent="0.25">
      <c r="T384" s="118"/>
      <c r="V384" s="93"/>
      <c r="Y384" s="93"/>
    </row>
    <row r="385" spans="20:25" x14ac:dyDescent="0.25">
      <c r="T385" s="118"/>
      <c r="V385" s="93"/>
      <c r="Y385" s="93"/>
    </row>
    <row r="386" spans="20:25" x14ac:dyDescent="0.25">
      <c r="T386" s="118"/>
      <c r="V386" s="93"/>
      <c r="Y386" s="93"/>
    </row>
    <row r="387" spans="20:25" x14ac:dyDescent="0.25">
      <c r="T387" s="118"/>
      <c r="V387" s="93"/>
      <c r="Y387" s="93"/>
    </row>
    <row r="388" spans="20:25" x14ac:dyDescent="0.25">
      <c r="T388" s="118"/>
      <c r="V388" s="93"/>
      <c r="Y388" s="93"/>
    </row>
    <row r="389" spans="20:25" x14ac:dyDescent="0.25">
      <c r="T389" s="118"/>
      <c r="V389" s="93"/>
      <c r="Y389" s="93"/>
    </row>
    <row r="390" spans="20:25" x14ac:dyDescent="0.25">
      <c r="T390" s="118"/>
      <c r="V390" s="93"/>
      <c r="Y390" s="93"/>
    </row>
    <row r="391" spans="20:25" x14ac:dyDescent="0.25">
      <c r="T391" s="118"/>
      <c r="V391" s="93"/>
      <c r="Y391" s="93"/>
    </row>
    <row r="392" spans="20:25" x14ac:dyDescent="0.25">
      <c r="T392" s="118"/>
      <c r="V392" s="93"/>
      <c r="Y392" s="93"/>
    </row>
    <row r="393" spans="20:25" x14ac:dyDescent="0.25">
      <c r="T393" s="118"/>
      <c r="V393" s="93"/>
      <c r="Y393" s="93"/>
    </row>
    <row r="394" spans="20:25" x14ac:dyDescent="0.25">
      <c r="T394" s="118"/>
      <c r="V394" s="93"/>
      <c r="Y394" s="93"/>
    </row>
    <row r="395" spans="20:25" x14ac:dyDescent="0.25">
      <c r="T395" s="118"/>
      <c r="V395" s="93"/>
      <c r="Y395" s="93"/>
    </row>
    <row r="396" spans="20:25" x14ac:dyDescent="0.25">
      <c r="T396" s="118"/>
      <c r="V396" s="93"/>
      <c r="Y396" s="93"/>
    </row>
    <row r="397" spans="20:25" x14ac:dyDescent="0.25">
      <c r="T397" s="118"/>
      <c r="V397" s="93"/>
      <c r="Y397" s="93"/>
    </row>
    <row r="398" spans="20:25" x14ac:dyDescent="0.25">
      <c r="T398" s="118"/>
      <c r="V398" s="93"/>
      <c r="Y398" s="93"/>
    </row>
    <row r="399" spans="20:25" x14ac:dyDescent="0.25">
      <c r="T399" s="118"/>
      <c r="V399" s="93"/>
      <c r="Y399" s="93"/>
    </row>
    <row r="400" spans="20:25" x14ac:dyDescent="0.25">
      <c r="T400" s="118"/>
      <c r="V400" s="93"/>
      <c r="Y400" s="93"/>
    </row>
    <row r="401" spans="20:25" x14ac:dyDescent="0.25">
      <c r="T401" s="118"/>
      <c r="V401" s="93"/>
      <c r="Y401" s="93"/>
    </row>
    <row r="402" spans="20:25" x14ac:dyDescent="0.25">
      <c r="T402" s="118"/>
      <c r="V402" s="93"/>
      <c r="Y402" s="93"/>
    </row>
    <row r="403" spans="20:25" x14ac:dyDescent="0.25">
      <c r="T403" s="118"/>
      <c r="V403" s="93"/>
      <c r="Y403" s="93"/>
    </row>
    <row r="404" spans="20:25" x14ac:dyDescent="0.25">
      <c r="T404" s="118"/>
      <c r="V404" s="93"/>
      <c r="Y404" s="93"/>
    </row>
    <row r="405" spans="20:25" x14ac:dyDescent="0.25">
      <c r="T405" s="118"/>
      <c r="V405" s="93"/>
      <c r="Y405" s="93"/>
    </row>
    <row r="406" spans="20:25" x14ac:dyDescent="0.25">
      <c r="T406" s="118"/>
      <c r="V406" s="93"/>
      <c r="Y406" s="93"/>
    </row>
    <row r="407" spans="20:25" x14ac:dyDescent="0.25">
      <c r="T407" s="118"/>
      <c r="V407" s="93"/>
      <c r="Y407" s="93"/>
    </row>
    <row r="408" spans="20:25" x14ac:dyDescent="0.25">
      <c r="T408" s="118"/>
      <c r="V408" s="93"/>
      <c r="Y408" s="93"/>
    </row>
    <row r="409" spans="20:25" x14ac:dyDescent="0.25">
      <c r="T409" s="118"/>
      <c r="V409" s="93"/>
      <c r="Y409" s="93"/>
    </row>
    <row r="410" spans="20:25" x14ac:dyDescent="0.25">
      <c r="T410" s="118"/>
      <c r="V410" s="93"/>
      <c r="Y410" s="93"/>
    </row>
    <row r="411" spans="20:25" x14ac:dyDescent="0.25">
      <c r="T411" s="118"/>
      <c r="V411" s="93"/>
      <c r="Y411" s="93"/>
    </row>
    <row r="412" spans="20:25" x14ac:dyDescent="0.25">
      <c r="T412" s="118"/>
      <c r="V412" s="93"/>
      <c r="Y412" s="93"/>
    </row>
    <row r="413" spans="20:25" x14ac:dyDescent="0.25">
      <c r="T413" s="118"/>
      <c r="V413" s="93"/>
      <c r="Y413" s="93"/>
    </row>
    <row r="414" spans="20:25" x14ac:dyDescent="0.25">
      <c r="T414" s="118"/>
      <c r="V414" s="93"/>
      <c r="Y414" s="93"/>
    </row>
    <row r="415" spans="20:25" x14ac:dyDescent="0.25">
      <c r="T415" s="118"/>
      <c r="V415" s="93"/>
      <c r="Y415" s="93"/>
    </row>
    <row r="416" spans="20:25" x14ac:dyDescent="0.25">
      <c r="T416" s="118"/>
      <c r="V416" s="93"/>
      <c r="Y416" s="93"/>
    </row>
    <row r="417" spans="20:25" x14ac:dyDescent="0.25">
      <c r="T417" s="118"/>
      <c r="V417" s="93"/>
      <c r="Y417" s="93"/>
    </row>
    <row r="418" spans="20:25" x14ac:dyDescent="0.25">
      <c r="T418" s="118"/>
      <c r="V418" s="93"/>
      <c r="Y418" s="93"/>
    </row>
    <row r="419" spans="20:25" x14ac:dyDescent="0.25">
      <c r="T419" s="118"/>
      <c r="V419" s="93"/>
      <c r="Y419" s="93"/>
    </row>
    <row r="420" spans="20:25" x14ac:dyDescent="0.25">
      <c r="T420" s="118"/>
      <c r="V420" s="93"/>
      <c r="Y420" s="93"/>
    </row>
    <row r="421" spans="20:25" x14ac:dyDescent="0.25">
      <c r="T421" s="118"/>
      <c r="V421" s="93"/>
      <c r="Y421" s="93"/>
    </row>
    <row r="422" spans="20:25" x14ac:dyDescent="0.25">
      <c r="T422" s="118"/>
      <c r="V422" s="93"/>
      <c r="Y422" s="93"/>
    </row>
    <row r="423" spans="20:25" x14ac:dyDescent="0.25">
      <c r="T423" s="118"/>
      <c r="V423" s="93"/>
      <c r="Y423" s="93"/>
    </row>
    <row r="424" spans="20:25" x14ac:dyDescent="0.25">
      <c r="T424" s="118"/>
      <c r="V424" s="93"/>
      <c r="Y424" s="93"/>
    </row>
    <row r="425" spans="20:25" x14ac:dyDescent="0.25">
      <c r="T425" s="118"/>
      <c r="V425" s="93"/>
      <c r="Y425" s="93"/>
    </row>
    <row r="426" spans="20:25" x14ac:dyDescent="0.25">
      <c r="T426" s="118"/>
      <c r="V426" s="93"/>
      <c r="Y426" s="93"/>
    </row>
    <row r="427" spans="20:25" x14ac:dyDescent="0.25">
      <c r="T427" s="118"/>
      <c r="V427" s="93"/>
      <c r="Y427" s="93"/>
    </row>
    <row r="428" spans="20:25" x14ac:dyDescent="0.25">
      <c r="T428" s="118"/>
      <c r="V428" s="93"/>
      <c r="Y428" s="93"/>
    </row>
    <row r="429" spans="20:25" x14ac:dyDescent="0.25">
      <c r="T429" s="118"/>
      <c r="V429" s="93"/>
      <c r="Y429" s="93"/>
    </row>
    <row r="430" spans="20:25" x14ac:dyDescent="0.25">
      <c r="T430" s="118"/>
      <c r="V430" s="93"/>
      <c r="Y430" s="93"/>
    </row>
    <row r="431" spans="20:25" x14ac:dyDescent="0.25">
      <c r="T431" s="118"/>
      <c r="V431" s="93"/>
      <c r="Y431" s="93"/>
    </row>
    <row r="432" spans="20:25" x14ac:dyDescent="0.25">
      <c r="T432" s="118"/>
      <c r="V432" s="93"/>
      <c r="Y432" s="93"/>
    </row>
    <row r="433" spans="20:25" x14ac:dyDescent="0.25">
      <c r="T433" s="118"/>
      <c r="V433" s="93"/>
      <c r="Y433" s="93"/>
    </row>
    <row r="434" spans="20:25" x14ac:dyDescent="0.25">
      <c r="T434" s="118"/>
      <c r="V434" s="93"/>
      <c r="Y434" s="93"/>
    </row>
    <row r="435" spans="20:25" x14ac:dyDescent="0.25">
      <c r="T435" s="118"/>
      <c r="V435" s="93"/>
      <c r="Y435" s="93"/>
    </row>
    <row r="436" spans="20:25" x14ac:dyDescent="0.25">
      <c r="T436" s="118"/>
      <c r="V436" s="93"/>
      <c r="Y436" s="93"/>
    </row>
    <row r="437" spans="20:25" x14ac:dyDescent="0.25">
      <c r="T437" s="118"/>
      <c r="V437" s="93"/>
      <c r="Y437" s="93"/>
    </row>
    <row r="438" spans="20:25" x14ac:dyDescent="0.25">
      <c r="T438" s="118"/>
      <c r="V438" s="93"/>
      <c r="Y438" s="93"/>
    </row>
    <row r="439" spans="20:25" x14ac:dyDescent="0.25">
      <c r="T439" s="118"/>
      <c r="V439" s="93"/>
      <c r="Y439" s="93"/>
    </row>
    <row r="440" spans="20:25" x14ac:dyDescent="0.25">
      <c r="T440" s="118"/>
      <c r="V440" s="93"/>
      <c r="Y440" s="93"/>
    </row>
    <row r="441" spans="20:25" x14ac:dyDescent="0.25">
      <c r="T441" s="118"/>
      <c r="V441" s="93"/>
      <c r="Y441" s="93"/>
    </row>
    <row r="442" spans="20:25" x14ac:dyDescent="0.25">
      <c r="T442" s="118"/>
      <c r="V442" s="93"/>
      <c r="Y442" s="93"/>
    </row>
    <row r="443" spans="20:25" x14ac:dyDescent="0.25">
      <c r="T443" s="118"/>
      <c r="V443" s="93"/>
      <c r="Y443" s="93"/>
    </row>
    <row r="444" spans="20:25" x14ac:dyDescent="0.25">
      <c r="T444" s="118"/>
      <c r="V444" s="93"/>
      <c r="Y444" s="93"/>
    </row>
    <row r="445" spans="20:25" x14ac:dyDescent="0.25">
      <c r="T445" s="118"/>
      <c r="V445" s="93"/>
      <c r="Y445" s="93"/>
    </row>
    <row r="446" spans="20:25" x14ac:dyDescent="0.25">
      <c r="T446" s="118"/>
      <c r="V446" s="93"/>
      <c r="Y446" s="93"/>
    </row>
    <row r="447" spans="20:25" x14ac:dyDescent="0.25">
      <c r="T447" s="118"/>
      <c r="V447" s="93"/>
      <c r="Y447" s="93"/>
    </row>
    <row r="448" spans="20:25" x14ac:dyDescent="0.25">
      <c r="T448" s="118"/>
      <c r="V448" s="93"/>
      <c r="Y448" s="93"/>
    </row>
    <row r="449" spans="20:25" x14ac:dyDescent="0.25">
      <c r="T449" s="118"/>
      <c r="V449" s="93"/>
      <c r="Y449" s="93"/>
    </row>
    <row r="450" spans="20:25" x14ac:dyDescent="0.25">
      <c r="T450" s="118"/>
      <c r="V450" s="93"/>
      <c r="Y450" s="93"/>
    </row>
    <row r="451" spans="20:25" x14ac:dyDescent="0.25">
      <c r="T451" s="118"/>
      <c r="V451" s="93"/>
      <c r="Y451" s="93"/>
    </row>
    <row r="452" spans="20:25" x14ac:dyDescent="0.25">
      <c r="T452" s="118"/>
      <c r="V452" s="93"/>
      <c r="Y452" s="93"/>
    </row>
    <row r="453" spans="20:25" x14ac:dyDescent="0.25">
      <c r="T453" s="118"/>
      <c r="V453" s="93"/>
      <c r="Y453" s="93"/>
    </row>
    <row r="454" spans="20:25" x14ac:dyDescent="0.25">
      <c r="T454" s="118"/>
      <c r="V454" s="93"/>
      <c r="Y454" s="93"/>
    </row>
    <row r="455" spans="20:25" x14ac:dyDescent="0.25">
      <c r="T455" s="118"/>
      <c r="V455" s="93"/>
      <c r="Y455" s="93"/>
    </row>
    <row r="456" spans="20:25" x14ac:dyDescent="0.25">
      <c r="T456" s="118"/>
      <c r="V456" s="93"/>
      <c r="Y456" s="93"/>
    </row>
    <row r="457" spans="20:25" x14ac:dyDescent="0.25">
      <c r="T457" s="118"/>
      <c r="V457" s="93"/>
      <c r="Y457" s="93"/>
    </row>
    <row r="458" spans="20:25" x14ac:dyDescent="0.25">
      <c r="T458" s="118"/>
      <c r="V458" s="93"/>
      <c r="Y458" s="93"/>
    </row>
    <row r="459" spans="20:25" x14ac:dyDescent="0.25">
      <c r="T459" s="118"/>
      <c r="V459" s="93"/>
      <c r="Y459" s="93"/>
    </row>
    <row r="460" spans="20:25" x14ac:dyDescent="0.25">
      <c r="T460" s="118"/>
      <c r="V460" s="93"/>
      <c r="Y460" s="93"/>
    </row>
    <row r="461" spans="20:25" x14ac:dyDescent="0.25">
      <c r="T461" s="118"/>
      <c r="V461" s="93"/>
      <c r="Y461" s="93"/>
    </row>
    <row r="462" spans="20:25" x14ac:dyDescent="0.25">
      <c r="T462" s="118"/>
      <c r="V462" s="93"/>
      <c r="Y462" s="93"/>
    </row>
    <row r="463" spans="20:25" x14ac:dyDescent="0.25">
      <c r="T463" s="118"/>
      <c r="V463" s="93"/>
      <c r="Y463" s="93"/>
    </row>
    <row r="464" spans="20:25" x14ac:dyDescent="0.25">
      <c r="T464" s="118"/>
      <c r="V464" s="93"/>
      <c r="Y464" s="93"/>
    </row>
    <row r="465" spans="20:25" x14ac:dyDescent="0.25">
      <c r="T465" s="118"/>
      <c r="V465" s="93"/>
      <c r="Y465" s="93"/>
    </row>
    <row r="466" spans="20:25" x14ac:dyDescent="0.25">
      <c r="T466" s="118"/>
      <c r="V466" s="93"/>
      <c r="Y466" s="93"/>
    </row>
    <row r="467" spans="20:25" x14ac:dyDescent="0.25">
      <c r="T467" s="118"/>
      <c r="V467" s="93"/>
      <c r="Y467" s="93"/>
    </row>
    <row r="468" spans="20:25" x14ac:dyDescent="0.25">
      <c r="T468" s="118"/>
      <c r="V468" s="93"/>
      <c r="Y468" s="93"/>
    </row>
    <row r="469" spans="20:25" x14ac:dyDescent="0.25">
      <c r="T469" s="118"/>
      <c r="V469" s="93"/>
      <c r="Y469" s="93"/>
    </row>
    <row r="470" spans="20:25" x14ac:dyDescent="0.25">
      <c r="T470" s="118"/>
      <c r="V470" s="93"/>
      <c r="Y470" s="93"/>
    </row>
    <row r="471" spans="20:25" x14ac:dyDescent="0.25">
      <c r="T471" s="118"/>
      <c r="V471" s="93"/>
      <c r="Y471" s="93"/>
    </row>
    <row r="472" spans="20:25" x14ac:dyDescent="0.25">
      <c r="T472" s="118"/>
      <c r="V472" s="93"/>
      <c r="Y472" s="93"/>
    </row>
    <row r="473" spans="20:25" x14ac:dyDescent="0.25">
      <c r="T473" s="118"/>
      <c r="V473" s="93"/>
      <c r="Y473" s="93"/>
    </row>
    <row r="474" spans="20:25" x14ac:dyDescent="0.25">
      <c r="T474" s="118"/>
      <c r="V474" s="93"/>
      <c r="Y474" s="93"/>
    </row>
    <row r="475" spans="20:25" x14ac:dyDescent="0.25">
      <c r="T475" s="118"/>
      <c r="V475" s="93"/>
      <c r="Y475" s="93"/>
    </row>
    <row r="476" spans="20:25" x14ac:dyDescent="0.25">
      <c r="T476" s="118"/>
      <c r="V476" s="93"/>
      <c r="Y476" s="93"/>
    </row>
    <row r="477" spans="20:25" x14ac:dyDescent="0.25">
      <c r="T477" s="118"/>
      <c r="V477" s="93"/>
      <c r="Y477" s="93"/>
    </row>
    <row r="478" spans="20:25" x14ac:dyDescent="0.25">
      <c r="T478" s="118"/>
      <c r="V478" s="93"/>
      <c r="Y478" s="93"/>
    </row>
    <row r="479" spans="20:25" x14ac:dyDescent="0.25">
      <c r="T479" s="118"/>
      <c r="V479" s="93"/>
      <c r="Y479" s="93"/>
    </row>
    <row r="480" spans="20:25" x14ac:dyDescent="0.25">
      <c r="T480" s="118"/>
      <c r="V480" s="93"/>
      <c r="Y480" s="93"/>
    </row>
    <row r="481" spans="20:25" x14ac:dyDescent="0.25">
      <c r="T481" s="118"/>
      <c r="V481" s="93"/>
      <c r="Y481" s="93"/>
    </row>
    <row r="482" spans="20:25" x14ac:dyDescent="0.25">
      <c r="T482" s="118"/>
      <c r="V482" s="93"/>
      <c r="Y482" s="93"/>
    </row>
    <row r="483" spans="20:25" x14ac:dyDescent="0.25">
      <c r="T483" s="118"/>
      <c r="V483" s="93"/>
      <c r="Y483" s="93"/>
    </row>
    <row r="484" spans="20:25" x14ac:dyDescent="0.25">
      <c r="T484" s="118"/>
      <c r="V484" s="93"/>
      <c r="Y484" s="93"/>
    </row>
    <row r="485" spans="20:25" x14ac:dyDescent="0.25">
      <c r="T485" s="118"/>
      <c r="V485" s="93"/>
      <c r="Y485" s="93"/>
    </row>
    <row r="486" spans="20:25" x14ac:dyDescent="0.25">
      <c r="T486" s="118"/>
      <c r="V486" s="93"/>
      <c r="Y486" s="93"/>
    </row>
    <row r="487" spans="20:25" x14ac:dyDescent="0.25">
      <c r="T487" s="118"/>
      <c r="V487" s="93"/>
      <c r="Y487" s="93"/>
    </row>
    <row r="488" spans="20:25" x14ac:dyDescent="0.25">
      <c r="T488" s="118"/>
      <c r="V488" s="93"/>
      <c r="Y488" s="93"/>
    </row>
    <row r="489" spans="20:25" x14ac:dyDescent="0.25">
      <c r="T489" s="118"/>
      <c r="V489" s="93"/>
      <c r="Y489" s="93"/>
    </row>
    <row r="490" spans="20:25" x14ac:dyDescent="0.25">
      <c r="T490" s="118"/>
      <c r="V490" s="93"/>
      <c r="Y490" s="93"/>
    </row>
    <row r="491" spans="20:25" x14ac:dyDescent="0.25">
      <c r="T491" s="118"/>
      <c r="V491" s="93"/>
      <c r="Y491" s="93"/>
    </row>
    <row r="492" spans="20:25" x14ac:dyDescent="0.25">
      <c r="T492" s="118"/>
      <c r="V492" s="93"/>
      <c r="Y492" s="93"/>
    </row>
    <row r="493" spans="20:25" x14ac:dyDescent="0.25">
      <c r="T493" s="118"/>
      <c r="V493" s="93"/>
      <c r="Y493" s="93"/>
    </row>
    <row r="494" spans="20:25" x14ac:dyDescent="0.25">
      <c r="T494" s="118"/>
      <c r="V494" s="93"/>
      <c r="Y494" s="93"/>
    </row>
    <row r="495" spans="20:25" x14ac:dyDescent="0.25">
      <c r="T495" s="118"/>
      <c r="V495" s="93"/>
      <c r="Y495" s="93"/>
    </row>
    <row r="496" spans="20:25" x14ac:dyDescent="0.25">
      <c r="T496" s="118"/>
      <c r="V496" s="93"/>
      <c r="Y496" s="93"/>
    </row>
    <row r="497" spans="20:25" x14ac:dyDescent="0.25">
      <c r="T497" s="118"/>
      <c r="V497" s="93"/>
      <c r="Y497" s="93"/>
    </row>
    <row r="498" spans="20:25" x14ac:dyDescent="0.25">
      <c r="T498" s="118"/>
      <c r="V498" s="93"/>
      <c r="Y498" s="93"/>
    </row>
    <row r="499" spans="20:25" x14ac:dyDescent="0.25">
      <c r="T499" s="118"/>
      <c r="V499" s="93"/>
      <c r="Y499" s="93"/>
    </row>
    <row r="500" spans="20:25" x14ac:dyDescent="0.25">
      <c r="T500" s="118"/>
      <c r="V500" s="93"/>
      <c r="Y500" s="93"/>
    </row>
    <row r="501" spans="20:25" x14ac:dyDescent="0.25">
      <c r="T501" s="118"/>
      <c r="V501" s="93"/>
      <c r="Y501" s="93"/>
    </row>
    <row r="502" spans="20:25" x14ac:dyDescent="0.25">
      <c r="T502" s="118"/>
      <c r="V502" s="93"/>
      <c r="Y502" s="93"/>
    </row>
    <row r="503" spans="20:25" x14ac:dyDescent="0.25">
      <c r="T503" s="118"/>
      <c r="V503" s="93"/>
      <c r="Y503" s="93"/>
    </row>
    <row r="504" spans="20:25" x14ac:dyDescent="0.25">
      <c r="T504" s="118"/>
      <c r="V504" s="93"/>
      <c r="Y504" s="93"/>
    </row>
    <row r="505" spans="20:25" x14ac:dyDescent="0.25">
      <c r="T505" s="118"/>
      <c r="V505" s="93"/>
      <c r="Y505" s="93"/>
    </row>
    <row r="506" spans="20:25" x14ac:dyDescent="0.25">
      <c r="T506" s="118"/>
      <c r="V506" s="93"/>
      <c r="Y506" s="93"/>
    </row>
    <row r="507" spans="20:25" x14ac:dyDescent="0.25">
      <c r="T507" s="118"/>
      <c r="V507" s="93"/>
      <c r="Y507" s="93"/>
    </row>
    <row r="508" spans="20:25" x14ac:dyDescent="0.25">
      <c r="T508" s="118"/>
      <c r="V508" s="93"/>
      <c r="Y508" s="93"/>
    </row>
    <row r="509" spans="20:25" x14ac:dyDescent="0.25">
      <c r="T509" s="118"/>
      <c r="V509" s="93"/>
      <c r="Y509" s="93"/>
    </row>
    <row r="510" spans="20:25" x14ac:dyDescent="0.25">
      <c r="T510" s="118"/>
      <c r="V510" s="93"/>
      <c r="Y510" s="93"/>
    </row>
    <row r="511" spans="20:25" x14ac:dyDescent="0.25">
      <c r="T511" s="118"/>
      <c r="V511" s="93"/>
      <c r="Y511" s="93"/>
    </row>
    <row r="512" spans="20:25" x14ac:dyDescent="0.25">
      <c r="T512" s="118"/>
      <c r="V512" s="93"/>
      <c r="Y512" s="93"/>
    </row>
    <row r="513" spans="20:25" x14ac:dyDescent="0.25">
      <c r="T513" s="118"/>
      <c r="V513" s="93"/>
      <c r="Y513" s="93"/>
    </row>
    <row r="514" spans="20:25" x14ac:dyDescent="0.25">
      <c r="T514" s="118"/>
      <c r="V514" s="93"/>
      <c r="Y514" s="93"/>
    </row>
    <row r="515" spans="20:25" x14ac:dyDescent="0.25">
      <c r="T515" s="118"/>
      <c r="V515" s="93"/>
      <c r="Y515" s="93"/>
    </row>
    <row r="516" spans="20:25" x14ac:dyDescent="0.25">
      <c r="T516" s="118"/>
      <c r="V516" s="93"/>
      <c r="Y516" s="93"/>
    </row>
    <row r="517" spans="20:25" x14ac:dyDescent="0.25">
      <c r="T517" s="118"/>
      <c r="V517" s="93"/>
      <c r="Y517" s="93"/>
    </row>
    <row r="518" spans="20:25" x14ac:dyDescent="0.25">
      <c r="T518" s="118"/>
      <c r="V518" s="93"/>
      <c r="Y518" s="93"/>
    </row>
    <row r="519" spans="20:25" x14ac:dyDescent="0.25">
      <c r="T519" s="118"/>
      <c r="V519" s="93"/>
      <c r="Y519" s="93"/>
    </row>
    <row r="520" spans="20:25" x14ac:dyDescent="0.25">
      <c r="T520" s="118"/>
      <c r="V520" s="93"/>
      <c r="Y520" s="93"/>
    </row>
    <row r="521" spans="20:25" x14ac:dyDescent="0.25">
      <c r="T521" s="118"/>
      <c r="V521" s="93"/>
      <c r="Y521" s="93"/>
    </row>
    <row r="522" spans="20:25" x14ac:dyDescent="0.25">
      <c r="T522" s="118"/>
      <c r="V522" s="93"/>
      <c r="Y522" s="93"/>
    </row>
    <row r="523" spans="20:25" x14ac:dyDescent="0.25">
      <c r="T523" s="118"/>
      <c r="V523" s="93"/>
      <c r="Y523" s="93"/>
    </row>
    <row r="524" spans="20:25" x14ac:dyDescent="0.25">
      <c r="T524" s="118"/>
      <c r="V524" s="93"/>
      <c r="Y524" s="93"/>
    </row>
    <row r="525" spans="20:25" x14ac:dyDescent="0.25">
      <c r="T525" s="118"/>
      <c r="V525" s="93"/>
      <c r="Y525" s="93"/>
    </row>
    <row r="526" spans="20:25" x14ac:dyDescent="0.25">
      <c r="T526" s="118"/>
      <c r="V526" s="93"/>
      <c r="Y526" s="93"/>
    </row>
    <row r="527" spans="20:25" x14ac:dyDescent="0.25">
      <c r="T527" s="118"/>
      <c r="V527" s="93"/>
      <c r="Y527" s="93"/>
    </row>
    <row r="528" spans="20:25" x14ac:dyDescent="0.25">
      <c r="T528" s="118"/>
      <c r="V528" s="93"/>
      <c r="Y528" s="93"/>
    </row>
    <row r="529" spans="20:25" x14ac:dyDescent="0.25">
      <c r="T529" s="118"/>
      <c r="V529" s="93"/>
      <c r="Y529" s="93"/>
    </row>
    <row r="530" spans="20:25" x14ac:dyDescent="0.25">
      <c r="T530" s="118"/>
      <c r="V530" s="93"/>
      <c r="Y530" s="93"/>
    </row>
    <row r="531" spans="20:25" x14ac:dyDescent="0.25">
      <c r="T531" s="118"/>
      <c r="V531" s="93"/>
      <c r="Y531" s="93"/>
    </row>
    <row r="532" spans="20:25" x14ac:dyDescent="0.25">
      <c r="T532" s="118"/>
      <c r="V532" s="93"/>
      <c r="Y532" s="93"/>
    </row>
    <row r="533" spans="20:25" x14ac:dyDescent="0.25">
      <c r="T533" s="118"/>
      <c r="V533" s="93"/>
      <c r="Y533" s="93"/>
    </row>
    <row r="534" spans="20:25" x14ac:dyDescent="0.25">
      <c r="T534" s="118"/>
      <c r="V534" s="93"/>
      <c r="Y534" s="93"/>
    </row>
    <row r="535" spans="20:25" x14ac:dyDescent="0.25">
      <c r="T535" s="118"/>
      <c r="V535" s="93"/>
      <c r="Y535" s="93"/>
    </row>
    <row r="536" spans="20:25" x14ac:dyDescent="0.25">
      <c r="T536" s="118"/>
      <c r="V536" s="93"/>
      <c r="Y536" s="93"/>
    </row>
    <row r="537" spans="20:25" x14ac:dyDescent="0.25">
      <c r="T537" s="118"/>
      <c r="V537" s="93"/>
      <c r="Y537" s="93"/>
    </row>
    <row r="538" spans="20:25" x14ac:dyDescent="0.25">
      <c r="T538" s="118"/>
      <c r="V538" s="93"/>
      <c r="Y538" s="93"/>
    </row>
    <row r="539" spans="20:25" x14ac:dyDescent="0.25">
      <c r="T539" s="118"/>
      <c r="V539" s="93"/>
      <c r="Y539" s="93"/>
    </row>
    <row r="540" spans="20:25" x14ac:dyDescent="0.25">
      <c r="T540" s="118"/>
      <c r="V540" s="93"/>
      <c r="Y540" s="93"/>
    </row>
    <row r="541" spans="20:25" x14ac:dyDescent="0.25">
      <c r="T541" s="118"/>
      <c r="V541" s="93"/>
      <c r="Y541" s="93"/>
    </row>
    <row r="542" spans="20:25" x14ac:dyDescent="0.25">
      <c r="T542" s="118"/>
      <c r="V542" s="93"/>
      <c r="Y542" s="93"/>
    </row>
    <row r="543" spans="20:25" x14ac:dyDescent="0.25">
      <c r="T543" s="118"/>
      <c r="V543" s="93"/>
      <c r="Y543" s="93"/>
    </row>
    <row r="544" spans="20:25" x14ac:dyDescent="0.25">
      <c r="T544" s="118"/>
      <c r="V544" s="93"/>
      <c r="Y544" s="93"/>
    </row>
    <row r="545" spans="20:25" x14ac:dyDescent="0.25">
      <c r="T545" s="118"/>
      <c r="V545" s="93"/>
      <c r="Y545" s="93"/>
    </row>
    <row r="546" spans="20:25" x14ac:dyDescent="0.25">
      <c r="T546" s="118"/>
      <c r="V546" s="93"/>
      <c r="Y546" s="93"/>
    </row>
    <row r="547" spans="20:25" x14ac:dyDescent="0.25">
      <c r="T547" s="118"/>
      <c r="V547" s="93"/>
      <c r="Y547" s="93"/>
    </row>
    <row r="548" spans="20:25" x14ac:dyDescent="0.25">
      <c r="T548" s="118"/>
      <c r="V548" s="93"/>
      <c r="Y548" s="93"/>
    </row>
    <row r="549" spans="20:25" x14ac:dyDescent="0.25">
      <c r="T549" s="118"/>
      <c r="V549" s="93"/>
      <c r="Y549" s="93"/>
    </row>
    <row r="550" spans="20:25" x14ac:dyDescent="0.25">
      <c r="T550" s="118"/>
      <c r="V550" s="93"/>
      <c r="Y550" s="93"/>
    </row>
    <row r="551" spans="20:25" x14ac:dyDescent="0.25">
      <c r="T551" s="118"/>
      <c r="V551" s="93"/>
      <c r="Y551" s="93"/>
    </row>
    <row r="552" spans="20:25" x14ac:dyDescent="0.25">
      <c r="T552" s="118"/>
      <c r="V552" s="93"/>
      <c r="Y552" s="93"/>
    </row>
    <row r="553" spans="20:25" x14ac:dyDescent="0.25">
      <c r="T553" s="118"/>
      <c r="V553" s="93"/>
      <c r="Y553" s="93"/>
    </row>
    <row r="554" spans="20:25" x14ac:dyDescent="0.25">
      <c r="T554" s="118"/>
      <c r="V554" s="93"/>
      <c r="Y554" s="93"/>
    </row>
    <row r="555" spans="20:25" x14ac:dyDescent="0.25">
      <c r="T555" s="118"/>
      <c r="V555" s="93"/>
      <c r="Y555" s="93"/>
    </row>
    <row r="556" spans="20:25" x14ac:dyDescent="0.25">
      <c r="T556" s="118"/>
      <c r="V556" s="93"/>
      <c r="Y556" s="93"/>
    </row>
    <row r="557" spans="20:25" x14ac:dyDescent="0.25">
      <c r="T557" s="118"/>
      <c r="V557" s="93"/>
      <c r="Y557" s="93"/>
    </row>
    <row r="558" spans="20:25" x14ac:dyDescent="0.25">
      <c r="T558" s="118"/>
      <c r="V558" s="93"/>
      <c r="Y558" s="93"/>
    </row>
    <row r="559" spans="20:25" x14ac:dyDescent="0.25">
      <c r="T559" s="118"/>
      <c r="V559" s="93"/>
      <c r="Y559" s="93"/>
    </row>
    <row r="560" spans="20:25" x14ac:dyDescent="0.25">
      <c r="T560" s="118"/>
      <c r="V560" s="93"/>
      <c r="Y560" s="93"/>
    </row>
    <row r="561" spans="20:25" x14ac:dyDescent="0.25">
      <c r="T561" s="118"/>
      <c r="V561" s="93"/>
      <c r="Y561" s="93"/>
    </row>
    <row r="562" spans="20:25" x14ac:dyDescent="0.25">
      <c r="T562" s="118"/>
      <c r="V562" s="93"/>
      <c r="Y562" s="93"/>
    </row>
    <row r="563" spans="20:25" x14ac:dyDescent="0.25">
      <c r="T563" s="118"/>
      <c r="V563" s="93"/>
      <c r="Y563" s="93"/>
    </row>
    <row r="564" spans="20:25" x14ac:dyDescent="0.25">
      <c r="T564" s="118"/>
      <c r="V564" s="93"/>
      <c r="Y564" s="93"/>
    </row>
    <row r="565" spans="20:25" x14ac:dyDescent="0.25">
      <c r="T565" s="118"/>
      <c r="V565" s="93"/>
      <c r="Y565" s="93"/>
    </row>
    <row r="566" spans="20:25" x14ac:dyDescent="0.25">
      <c r="T566" s="118"/>
      <c r="V566" s="93"/>
      <c r="Y566" s="93"/>
    </row>
    <row r="567" spans="20:25" x14ac:dyDescent="0.25">
      <c r="T567" s="118"/>
      <c r="V567" s="93"/>
      <c r="Y567" s="93"/>
    </row>
    <row r="568" spans="20:25" x14ac:dyDescent="0.25">
      <c r="T568" s="118"/>
      <c r="V568" s="93"/>
      <c r="Y568" s="93"/>
    </row>
    <row r="569" spans="20:25" x14ac:dyDescent="0.25">
      <c r="T569" s="118"/>
      <c r="V569" s="93"/>
      <c r="Y569" s="93"/>
    </row>
    <row r="570" spans="20:25" x14ac:dyDescent="0.25">
      <c r="T570" s="118"/>
      <c r="V570" s="93"/>
      <c r="Y570" s="93"/>
    </row>
  </sheetData>
  <sheetProtection password="FFFD" sheet="1" formatCells="0" formatColumns="0" formatRows="0" insertColumns="0" insertRows="0" insertHyperlinks="0" deleteColumns="0" deleteRows="0" selectLockedCells="1"/>
  <mergeCells count="61">
    <mergeCell ref="C9:C10"/>
    <mergeCell ref="D9:D10"/>
    <mergeCell ref="Q80:Q87"/>
    <mergeCell ref="Q9:Q10"/>
    <mergeCell ref="R9:R10"/>
    <mergeCell ref="E9:E10"/>
    <mergeCell ref="F9:O9"/>
    <mergeCell ref="F63:O63"/>
    <mergeCell ref="Q63:AD63"/>
    <mergeCell ref="F64:O64"/>
    <mergeCell ref="S64:S70"/>
    <mergeCell ref="U9:AD9"/>
    <mergeCell ref="S9:S10"/>
    <mergeCell ref="T9:T10"/>
    <mergeCell ref="B61:C61"/>
    <mergeCell ref="D64:D70"/>
    <mergeCell ref="C4:H4"/>
    <mergeCell ref="I4:O4"/>
    <mergeCell ref="P4:AD4"/>
    <mergeCell ref="D5:H5"/>
    <mergeCell ref="I5:K5"/>
    <mergeCell ref="L5:O5"/>
    <mergeCell ref="P5:AD7"/>
    <mergeCell ref="D6:H6"/>
    <mergeCell ref="I6:K6"/>
    <mergeCell ref="L6:O6"/>
    <mergeCell ref="D7:H7"/>
    <mergeCell ref="I7:K7"/>
    <mergeCell ref="L7:O7"/>
    <mergeCell ref="E64:E70"/>
    <mergeCell ref="Q64:Q70"/>
    <mergeCell ref="F69:O69"/>
    <mergeCell ref="F70:O70"/>
    <mergeCell ref="F71:O71"/>
    <mergeCell ref="Q71:AD71"/>
    <mergeCell ref="U64:AD70"/>
    <mergeCell ref="F66:O66"/>
    <mergeCell ref="F67:O67"/>
    <mergeCell ref="F68:O68"/>
    <mergeCell ref="F65:O65"/>
    <mergeCell ref="U80:AD87"/>
    <mergeCell ref="F81:O81"/>
    <mergeCell ref="F82:O82"/>
    <mergeCell ref="F83:O83"/>
    <mergeCell ref="F78:O78"/>
    <mergeCell ref="F79:O79"/>
    <mergeCell ref="Q79:AD79"/>
    <mergeCell ref="F80:O80"/>
    <mergeCell ref="U72:AD78"/>
    <mergeCell ref="F75:O75"/>
    <mergeCell ref="F76:O76"/>
    <mergeCell ref="F77:O77"/>
    <mergeCell ref="F72:O72"/>
    <mergeCell ref="F73:O73"/>
    <mergeCell ref="F74:O74"/>
    <mergeCell ref="Q72:Q78"/>
    <mergeCell ref="F87:O87"/>
    <mergeCell ref="B89:C89"/>
    <mergeCell ref="F84:O84"/>
    <mergeCell ref="F85:O85"/>
    <mergeCell ref="F86:O86"/>
  </mergeCells>
  <conditionalFormatting sqref="R34">
    <cfRule type="expression" dxfId="19" priority="4">
      <formula>$R$34=0</formula>
    </cfRule>
  </conditionalFormatting>
  <conditionalFormatting sqref="S11:S13">
    <cfRule type="cellIs" dxfId="18" priority="14" stopIfTrue="1" operator="notBetween">
      <formula>0</formula>
      <formula>999999999</formula>
    </cfRule>
  </conditionalFormatting>
  <conditionalFormatting sqref="S15:S19">
    <cfRule type="cellIs" dxfId="17" priority="13" stopIfTrue="1" operator="notBetween">
      <formula>0</formula>
      <formula>999999999</formula>
    </cfRule>
  </conditionalFormatting>
  <conditionalFormatting sqref="S21:S32">
    <cfRule type="cellIs" dxfId="16" priority="12" stopIfTrue="1" operator="notBetween">
      <formula>0</formula>
      <formula>999999999</formula>
    </cfRule>
  </conditionalFormatting>
  <conditionalFormatting sqref="S34:S47">
    <cfRule type="cellIs" dxfId="15" priority="5" stopIfTrue="1" operator="notBetween">
      <formula>0</formula>
      <formula>999999999</formula>
    </cfRule>
  </conditionalFormatting>
  <conditionalFormatting sqref="S49:S60">
    <cfRule type="cellIs" dxfId="14" priority="10" stopIfTrue="1" operator="notBetween">
      <formula>0</formula>
      <formula>999999999</formula>
    </cfRule>
  </conditionalFormatting>
  <conditionalFormatting sqref="S72:S78">
    <cfRule type="cellIs" dxfId="13" priority="2" stopIfTrue="1" operator="notBetween">
      <formula>0</formula>
      <formula>999999999</formula>
    </cfRule>
  </conditionalFormatting>
  <conditionalFormatting sqref="S80:S88">
    <cfRule type="cellIs" dxfId="12" priority="1" stopIfTrue="1" operator="notBetween">
      <formula>0</formula>
      <formula>999999999</formula>
    </cfRule>
  </conditionalFormatting>
  <conditionalFormatting sqref="S91:S98">
    <cfRule type="cellIs" dxfId="11" priority="7" stopIfTrue="1" operator="notBetween">
      <formula>0</formula>
      <formula>999999999</formula>
    </cfRule>
  </conditionalFormatting>
  <conditionalFormatting sqref="U34:AD34">
    <cfRule type="expression" dxfId="10" priority="3">
      <formula>U$34=0</formula>
    </cfRule>
  </conditionalFormatting>
  <pageMargins left="0.7" right="0.7" top="0.78740157499999996" bottom="0.78740157499999996"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570"/>
  <sheetViews>
    <sheetView topLeftCell="A2" zoomScale="85" zoomScaleNormal="85" workbookViewId="0">
      <pane xSplit="3" topLeftCell="F1" activePane="topRight" state="frozen"/>
      <selection activeCell="A67" sqref="A67"/>
      <selection pane="topRight" activeCell="V25" sqref="V25"/>
    </sheetView>
  </sheetViews>
  <sheetFormatPr baseColWidth="10" defaultColWidth="11.42578125" defaultRowHeight="15" x14ac:dyDescent="0.25"/>
  <cols>
    <col min="1" max="2" width="3.7109375" style="45" customWidth="1"/>
    <col min="3" max="3" width="58.7109375" style="45" customWidth="1"/>
    <col min="4" max="5" width="10.42578125" style="92" customWidth="1"/>
    <col min="6" max="15" width="8.85546875" style="93" customWidth="1"/>
    <col min="16" max="16" width="2.28515625" style="94" customWidth="1"/>
    <col min="17" max="19" width="10.42578125" style="93" customWidth="1"/>
    <col min="20" max="20" width="28.85546875" style="124" customWidth="1"/>
    <col min="21" max="21" width="9" style="93" customWidth="1"/>
    <col min="22" max="22" width="9" style="116" customWidth="1"/>
    <col min="23" max="24" width="9" style="93" customWidth="1"/>
    <col min="25" max="25" width="9" style="116" customWidth="1"/>
    <col min="26" max="27" width="9" style="93" customWidth="1"/>
    <col min="28" max="30" width="9" style="45" customWidth="1"/>
    <col min="31" max="31" width="2.42578125" style="45" customWidth="1"/>
    <col min="32" max="32" width="40.7109375" style="45" customWidth="1"/>
    <col min="33" max="33" width="48.28515625" style="45" customWidth="1"/>
    <col min="34" max="34" width="3.7109375" style="45" customWidth="1"/>
    <col min="35" max="16384" width="11.42578125" style="45"/>
  </cols>
  <sheetData>
    <row r="1" spans="1:35" ht="13.15" hidden="1" customHeight="1" x14ac:dyDescent="0.25">
      <c r="T1" s="118"/>
      <c r="V1" s="93"/>
      <c r="Y1" s="93"/>
    </row>
    <row r="2" spans="1:35" ht="13.15" customHeight="1" x14ac:dyDescent="0.25">
      <c r="F2" s="92"/>
      <c r="G2" s="92"/>
      <c r="H2" s="92"/>
      <c r="I2" s="92"/>
      <c r="J2" s="92"/>
      <c r="K2" s="92"/>
      <c r="L2" s="92"/>
      <c r="M2" s="92"/>
      <c r="N2" s="92"/>
      <c r="O2" s="92"/>
      <c r="P2" s="92"/>
      <c r="Q2" s="92"/>
      <c r="R2" s="92"/>
      <c r="T2" s="118"/>
      <c r="V2" s="93"/>
      <c r="Y2" s="93"/>
    </row>
    <row r="3" spans="1:35" ht="13.15" customHeight="1" x14ac:dyDescent="0.25">
      <c r="B3" s="95"/>
      <c r="C3" s="96"/>
      <c r="D3" s="97"/>
      <c r="E3" s="97"/>
      <c r="F3" s="98"/>
      <c r="G3" s="98"/>
      <c r="H3" s="98"/>
      <c r="I3" s="98"/>
      <c r="J3" s="98"/>
      <c r="K3" s="98"/>
      <c r="L3" s="98"/>
      <c r="M3" s="98"/>
      <c r="N3" s="98"/>
      <c r="O3" s="98"/>
      <c r="P3" s="98"/>
      <c r="Q3" s="98"/>
      <c r="R3" s="98"/>
      <c r="S3" s="98"/>
      <c r="T3" s="119"/>
      <c r="U3" s="98"/>
      <c r="V3" s="98"/>
      <c r="W3" s="98"/>
      <c r="X3" s="98"/>
      <c r="Y3" s="98"/>
      <c r="Z3" s="98"/>
      <c r="AA3" s="98"/>
      <c r="AB3" s="98"/>
      <c r="AC3" s="98"/>
      <c r="AD3" s="98"/>
      <c r="AE3" s="99"/>
    </row>
    <row r="4" spans="1:35" ht="24.75" customHeight="1" x14ac:dyDescent="0.25">
      <c r="B4" s="89"/>
      <c r="C4" s="262" t="s">
        <v>89</v>
      </c>
      <c r="D4" s="262"/>
      <c r="E4" s="262"/>
      <c r="F4" s="262"/>
      <c r="G4" s="262"/>
      <c r="H4" s="262"/>
      <c r="I4" s="262" t="s">
        <v>94</v>
      </c>
      <c r="J4" s="262"/>
      <c r="K4" s="262"/>
      <c r="L4" s="262"/>
      <c r="M4" s="262"/>
      <c r="N4" s="262"/>
      <c r="O4" s="262"/>
      <c r="P4" s="180"/>
      <c r="Q4" s="180"/>
      <c r="R4" s="180"/>
      <c r="S4" s="180"/>
      <c r="T4" s="180"/>
      <c r="U4" s="180"/>
      <c r="V4" s="180"/>
      <c r="W4" s="180"/>
      <c r="X4" s="180"/>
      <c r="Y4" s="180"/>
      <c r="Z4" s="180"/>
      <c r="AA4" s="180"/>
      <c r="AB4" s="180"/>
      <c r="AC4" s="180"/>
      <c r="AD4" s="180"/>
      <c r="AE4" s="31"/>
    </row>
    <row r="5" spans="1:35" s="117" customFormat="1" ht="23.25" customHeight="1" x14ac:dyDescent="0.25">
      <c r="B5" s="89"/>
      <c r="C5" s="58" t="s">
        <v>90</v>
      </c>
      <c r="D5" s="282">
        <f>L5</f>
        <v>45292</v>
      </c>
      <c r="E5" s="283"/>
      <c r="F5" s="283"/>
      <c r="G5" s="283"/>
      <c r="H5" s="284"/>
      <c r="I5" s="287" t="s">
        <v>12</v>
      </c>
      <c r="J5" s="287"/>
      <c r="K5" s="287"/>
      <c r="L5" s="288">
        <f>IF('Overview IB'!D9="","",'Overview IB'!D9)</f>
        <v>45292</v>
      </c>
      <c r="M5" s="288"/>
      <c r="N5" s="288"/>
      <c r="O5" s="288"/>
      <c r="P5" s="280"/>
      <c r="Q5" s="280"/>
      <c r="R5" s="280"/>
      <c r="S5" s="280"/>
      <c r="T5" s="280"/>
      <c r="U5" s="280"/>
      <c r="V5" s="280"/>
      <c r="W5" s="280"/>
      <c r="X5" s="280"/>
      <c r="Y5" s="280"/>
      <c r="Z5" s="280"/>
      <c r="AA5" s="280"/>
      <c r="AB5" s="280"/>
      <c r="AC5" s="280"/>
      <c r="AD5" s="280"/>
      <c r="AE5" s="31"/>
      <c r="AF5" s="45"/>
      <c r="AG5" s="45"/>
      <c r="AH5" s="45"/>
      <c r="AI5" s="45"/>
    </row>
    <row r="6" spans="1:35" s="117" customFormat="1" ht="18.75" customHeight="1" x14ac:dyDescent="0.25">
      <c r="B6" s="89"/>
      <c r="C6" s="58" t="s">
        <v>91</v>
      </c>
      <c r="D6" s="285"/>
      <c r="E6" s="285"/>
      <c r="F6" s="285"/>
      <c r="G6" s="285"/>
      <c r="H6" s="285"/>
      <c r="I6" s="287" t="s">
        <v>13</v>
      </c>
      <c r="J6" s="287"/>
      <c r="K6" s="287"/>
      <c r="L6" s="288">
        <f>IF('Overview IB'!D10="","",'Overview IB'!D10)</f>
        <v>46022</v>
      </c>
      <c r="M6" s="288"/>
      <c r="N6" s="288"/>
      <c r="O6" s="288"/>
      <c r="P6" s="280"/>
      <c r="Q6" s="280"/>
      <c r="R6" s="280"/>
      <c r="S6" s="280"/>
      <c r="T6" s="280"/>
      <c r="U6" s="280"/>
      <c r="V6" s="280"/>
      <c r="W6" s="280"/>
      <c r="X6" s="280"/>
      <c r="Y6" s="280"/>
      <c r="Z6" s="280"/>
      <c r="AA6" s="280"/>
      <c r="AB6" s="280"/>
      <c r="AC6" s="280"/>
      <c r="AD6" s="280"/>
      <c r="AE6" s="31"/>
      <c r="AF6" s="45"/>
      <c r="AG6" s="45"/>
      <c r="AH6" s="45"/>
      <c r="AI6" s="45"/>
    </row>
    <row r="7" spans="1:35" s="117" customFormat="1" ht="18.75" customHeight="1" x14ac:dyDescent="0.25">
      <c r="B7" s="89"/>
      <c r="C7" s="58" t="s">
        <v>28</v>
      </c>
      <c r="D7" s="286">
        <f>IF(OR(D5="",L7="befüllt sich automatisch"),0,((D6-D5)/30)/L7)</f>
        <v>-62.043835616438358</v>
      </c>
      <c r="E7" s="286"/>
      <c r="F7" s="286"/>
      <c r="G7" s="286"/>
      <c r="H7" s="286"/>
      <c r="I7" s="287" t="s">
        <v>60</v>
      </c>
      <c r="J7" s="287"/>
      <c r="K7" s="287"/>
      <c r="L7" s="289">
        <f>IF(IF(OR(L6="",L5=""),"",(L6-L5)/30)="","befüllt sich automatisch",IF(OR(L6="",L5=""),"",(L6-L5)/30))</f>
        <v>24.333333333333332</v>
      </c>
      <c r="M7" s="289"/>
      <c r="N7" s="289"/>
      <c r="O7" s="289"/>
      <c r="P7" s="280"/>
      <c r="Q7" s="280"/>
      <c r="R7" s="280"/>
      <c r="S7" s="280"/>
      <c r="T7" s="280"/>
      <c r="U7" s="280"/>
      <c r="V7" s="280"/>
      <c r="W7" s="280"/>
      <c r="X7" s="280"/>
      <c r="Y7" s="280"/>
      <c r="Z7" s="280"/>
      <c r="AA7" s="280"/>
      <c r="AB7" s="280"/>
      <c r="AC7" s="280"/>
      <c r="AD7" s="280"/>
      <c r="AE7" s="31"/>
      <c r="AF7" s="45"/>
      <c r="AG7" s="45"/>
      <c r="AH7" s="45"/>
      <c r="AI7" s="45"/>
    </row>
    <row r="8" spans="1:35" ht="12" customHeight="1" x14ac:dyDescent="0.25">
      <c r="A8" s="88"/>
      <c r="B8" s="89"/>
      <c r="C8" s="100"/>
      <c r="D8" s="120"/>
      <c r="E8" s="120"/>
      <c r="F8" s="101"/>
      <c r="G8" s="101"/>
      <c r="H8" s="101"/>
      <c r="I8" s="90"/>
      <c r="J8" s="90"/>
      <c r="K8" s="90"/>
      <c r="L8" s="90"/>
      <c r="M8" s="90"/>
      <c r="N8" s="90"/>
      <c r="O8" s="90"/>
      <c r="P8" s="90"/>
      <c r="Q8" s="90"/>
      <c r="R8" s="90"/>
      <c r="S8" s="90"/>
      <c r="T8" s="120"/>
      <c r="U8" s="100"/>
      <c r="V8" s="100"/>
      <c r="W8" s="100"/>
      <c r="X8" s="100"/>
      <c r="Y8" s="100"/>
      <c r="Z8" s="100"/>
      <c r="AA8" s="100"/>
      <c r="AB8" s="100"/>
      <c r="AC8" s="100"/>
      <c r="AD8" s="100"/>
      <c r="AE8" s="102"/>
    </row>
    <row r="9" spans="1:35" ht="28.5" customHeight="1" x14ac:dyDescent="0.25">
      <c r="A9" s="88"/>
      <c r="B9" s="89"/>
      <c r="C9" s="262" t="s">
        <v>34</v>
      </c>
      <c r="D9" s="180" t="s">
        <v>108</v>
      </c>
      <c r="E9" s="180" t="s">
        <v>126</v>
      </c>
      <c r="F9" s="183" t="s">
        <v>119</v>
      </c>
      <c r="G9" s="184"/>
      <c r="H9" s="184"/>
      <c r="I9" s="184"/>
      <c r="J9" s="184"/>
      <c r="K9" s="184"/>
      <c r="L9" s="184"/>
      <c r="M9" s="184"/>
      <c r="N9" s="184"/>
      <c r="O9" s="185"/>
      <c r="P9" s="90"/>
      <c r="Q9" s="180" t="s">
        <v>120</v>
      </c>
      <c r="R9" s="180" t="s">
        <v>123</v>
      </c>
      <c r="S9" s="180" t="s">
        <v>8</v>
      </c>
      <c r="T9" s="180" t="s">
        <v>122</v>
      </c>
      <c r="U9" s="281" t="s">
        <v>121</v>
      </c>
      <c r="V9" s="281"/>
      <c r="W9" s="281"/>
      <c r="X9" s="281"/>
      <c r="Y9" s="281"/>
      <c r="Z9" s="281"/>
      <c r="AA9" s="281"/>
      <c r="AB9" s="281"/>
      <c r="AC9" s="281"/>
      <c r="AD9" s="281"/>
      <c r="AE9" s="31"/>
    </row>
    <row r="10" spans="1:35" s="88" customFormat="1" ht="33" customHeight="1" x14ac:dyDescent="0.25">
      <c r="B10" s="89"/>
      <c r="C10" s="262"/>
      <c r="D10" s="180"/>
      <c r="E10" s="180"/>
      <c r="F10" s="86" t="s">
        <v>129</v>
      </c>
      <c r="G10" s="86" t="s">
        <v>130</v>
      </c>
      <c r="H10" s="86" t="s">
        <v>131</v>
      </c>
      <c r="I10" s="86" t="s">
        <v>132</v>
      </c>
      <c r="J10" s="86" t="s">
        <v>133</v>
      </c>
      <c r="K10" s="86" t="s">
        <v>134</v>
      </c>
      <c r="L10" s="86" t="s">
        <v>135</v>
      </c>
      <c r="M10" s="86" t="s">
        <v>136</v>
      </c>
      <c r="N10" s="86" t="s">
        <v>137</v>
      </c>
      <c r="O10" s="86" t="s">
        <v>138</v>
      </c>
      <c r="P10" s="91"/>
      <c r="Q10" s="180"/>
      <c r="R10" s="180"/>
      <c r="S10" s="180"/>
      <c r="T10" s="180"/>
      <c r="U10" s="86" t="s">
        <v>129</v>
      </c>
      <c r="V10" s="86" t="s">
        <v>130</v>
      </c>
      <c r="W10" s="86" t="s">
        <v>131</v>
      </c>
      <c r="X10" s="86" t="s">
        <v>132</v>
      </c>
      <c r="Y10" s="86" t="s">
        <v>133</v>
      </c>
      <c r="Z10" s="86" t="s">
        <v>134</v>
      </c>
      <c r="AA10" s="86" t="s">
        <v>135</v>
      </c>
      <c r="AB10" s="86" t="s">
        <v>136</v>
      </c>
      <c r="AC10" s="86" t="s">
        <v>137</v>
      </c>
      <c r="AD10" s="86" t="s">
        <v>138</v>
      </c>
      <c r="AE10" s="31"/>
      <c r="AF10" s="45"/>
      <c r="AG10" s="45"/>
      <c r="AH10" s="45"/>
      <c r="AI10" s="45"/>
    </row>
    <row r="11" spans="1:35" s="88" customFormat="1" ht="18.75" customHeight="1" x14ac:dyDescent="0.25">
      <c r="B11" s="89"/>
      <c r="C11" s="84" t="s">
        <v>95</v>
      </c>
      <c r="D11" s="79">
        <f>'Overview IB'!D26</f>
        <v>194</v>
      </c>
      <c r="E11" s="79">
        <f>'Overview IB'!E26</f>
        <v>72</v>
      </c>
      <c r="F11" s="132">
        <f>'Overview IB'!I26</f>
        <v>72</v>
      </c>
      <c r="G11" s="132">
        <f>'Overview IB'!J26</f>
        <v>72</v>
      </c>
      <c r="H11" s="132">
        <f>'Overview IB'!K26</f>
        <v>50</v>
      </c>
      <c r="I11" s="132">
        <f>'Overview IB'!L26</f>
        <v>0</v>
      </c>
      <c r="J11" s="132">
        <f>'Overview IB'!M26</f>
        <v>0</v>
      </c>
      <c r="K11" s="132">
        <f>'Overview IB'!N26</f>
        <v>0</v>
      </c>
      <c r="L11" s="132">
        <f>'Overview IB'!O26</f>
        <v>0</v>
      </c>
      <c r="M11" s="132">
        <f>'Overview IB'!P26</f>
        <v>0</v>
      </c>
      <c r="N11" s="132">
        <f>'Overview IB'!Q26</f>
        <v>0</v>
      </c>
      <c r="O11" s="132">
        <f>'Overview IB'!R26</f>
        <v>0</v>
      </c>
      <c r="P11" s="32"/>
      <c r="Q11" s="64">
        <f>SUM(U11:AD11)</f>
        <v>212</v>
      </c>
      <c r="R11" s="103">
        <v>82</v>
      </c>
      <c r="S11" s="157">
        <f>IF(D11=0,0,IF(E11=0,IF(R11=0,Q11/D11,R11/D11),IF(R11=0,Q11/E11,R11/E11)))</f>
        <v>1.1388888888888888</v>
      </c>
      <c r="T11" s="168"/>
      <c r="U11" s="66">
        <v>82</v>
      </c>
      <c r="V11" s="66">
        <v>82</v>
      </c>
      <c r="W11" s="66">
        <v>48</v>
      </c>
      <c r="X11" s="66"/>
      <c r="Y11" s="66"/>
      <c r="Z11" s="66"/>
      <c r="AA11" s="66"/>
      <c r="AB11" s="66"/>
      <c r="AC11" s="66"/>
      <c r="AD11" s="66"/>
      <c r="AE11" s="31"/>
      <c r="AF11" s="45"/>
      <c r="AG11" s="45"/>
      <c r="AH11" s="45"/>
      <c r="AI11" s="45"/>
    </row>
    <row r="12" spans="1:35" s="88" customFormat="1" ht="18.75" customHeight="1" x14ac:dyDescent="0.25">
      <c r="B12" s="89"/>
      <c r="C12" s="49" t="s">
        <v>106</v>
      </c>
      <c r="D12" s="64">
        <f>'Overview IB'!D27</f>
        <v>194</v>
      </c>
      <c r="E12" s="79">
        <f>'Overview IB'!E27</f>
        <v>72</v>
      </c>
      <c r="F12" s="132">
        <f>'Overview IB'!I27</f>
        <v>72</v>
      </c>
      <c r="G12" s="132">
        <f>'Overview IB'!J27</f>
        <v>72</v>
      </c>
      <c r="H12" s="132">
        <f>'Overview IB'!K27</f>
        <v>50</v>
      </c>
      <c r="I12" s="132">
        <f>'Overview IB'!L27</f>
        <v>0</v>
      </c>
      <c r="J12" s="132">
        <f>'Overview IB'!M27</f>
        <v>0</v>
      </c>
      <c r="K12" s="132">
        <f>'Overview IB'!N27</f>
        <v>0</v>
      </c>
      <c r="L12" s="132">
        <f>'Overview IB'!O27</f>
        <v>0</v>
      </c>
      <c r="M12" s="132">
        <f>'Overview IB'!P27</f>
        <v>0</v>
      </c>
      <c r="N12" s="132">
        <f>'Overview IB'!Q27</f>
        <v>0</v>
      </c>
      <c r="O12" s="132">
        <f>'Overview IB'!R27</f>
        <v>0</v>
      </c>
      <c r="P12" s="32"/>
      <c r="Q12" s="64">
        <f t="shared" ref="Q12:Q32" si="0">SUM(U12:AD12)</f>
        <v>212</v>
      </c>
      <c r="R12" s="103">
        <v>82</v>
      </c>
      <c r="S12" s="157">
        <f t="shared" ref="S12:S60" si="1">IF(D12=0,0,IF(E12=0,IF(R12=0,Q12/D12,R12/D12),IF(R12=0,Q12/E12,R12/E12)))</f>
        <v>1.1388888888888888</v>
      </c>
      <c r="T12" s="168"/>
      <c r="U12" s="66">
        <v>82</v>
      </c>
      <c r="V12" s="66">
        <v>82</v>
      </c>
      <c r="W12" s="66">
        <v>48</v>
      </c>
      <c r="X12" s="66"/>
      <c r="Y12" s="66"/>
      <c r="Z12" s="66"/>
      <c r="AA12" s="66"/>
      <c r="AB12" s="66"/>
      <c r="AC12" s="66"/>
      <c r="AD12" s="66"/>
      <c r="AE12" s="31"/>
      <c r="AF12" s="45"/>
      <c r="AG12" s="45"/>
      <c r="AH12" s="45"/>
      <c r="AI12" s="45"/>
    </row>
    <row r="13" spans="1:35" s="88" customFormat="1" ht="18.75" customHeight="1" x14ac:dyDescent="0.25">
      <c r="B13" s="89"/>
      <c r="C13" s="49" t="s">
        <v>107</v>
      </c>
      <c r="D13" s="64">
        <f>'Overview IB'!D28</f>
        <v>3</v>
      </c>
      <c r="E13" s="79">
        <f>'Overview IB'!E28</f>
        <v>1</v>
      </c>
      <c r="F13" s="132">
        <f>'Overview IB'!I28</f>
        <v>1</v>
      </c>
      <c r="G13" s="132">
        <f>'Overview IB'!J28</f>
        <v>1</v>
      </c>
      <c r="H13" s="132">
        <f>'Overview IB'!K28</f>
        <v>1</v>
      </c>
      <c r="I13" s="132">
        <f>'Overview IB'!L28</f>
        <v>0</v>
      </c>
      <c r="J13" s="132">
        <f>'Overview IB'!M28</f>
        <v>0</v>
      </c>
      <c r="K13" s="132">
        <f>'Overview IB'!N28</f>
        <v>0</v>
      </c>
      <c r="L13" s="132">
        <f>'Overview IB'!O28</f>
        <v>0</v>
      </c>
      <c r="M13" s="132">
        <f>'Overview IB'!P28</f>
        <v>0</v>
      </c>
      <c r="N13" s="132">
        <f>'Overview IB'!Q28</f>
        <v>0</v>
      </c>
      <c r="O13" s="132">
        <f>'Overview IB'!R28</f>
        <v>0</v>
      </c>
      <c r="P13" s="32"/>
      <c r="Q13" s="64">
        <f t="shared" si="0"/>
        <v>3</v>
      </c>
      <c r="R13" s="103">
        <v>1</v>
      </c>
      <c r="S13" s="157">
        <f t="shared" si="1"/>
        <v>1</v>
      </c>
      <c r="T13" s="168"/>
      <c r="U13" s="66">
        <v>1</v>
      </c>
      <c r="V13" s="66">
        <v>1</v>
      </c>
      <c r="W13" s="66">
        <v>1</v>
      </c>
      <c r="X13" s="66"/>
      <c r="Y13" s="66"/>
      <c r="Z13" s="66"/>
      <c r="AA13" s="66"/>
      <c r="AB13" s="66"/>
      <c r="AC13" s="66"/>
      <c r="AD13" s="66"/>
      <c r="AE13" s="31"/>
      <c r="AF13" s="45"/>
      <c r="AG13" s="45"/>
      <c r="AH13" s="45"/>
      <c r="AI13" s="45"/>
    </row>
    <row r="14" spans="1:35" s="88" customFormat="1" ht="45" x14ac:dyDescent="0.25">
      <c r="B14" s="89"/>
      <c r="C14" s="8" t="s">
        <v>73</v>
      </c>
      <c r="D14" s="152" t="s">
        <v>72</v>
      </c>
      <c r="E14" s="152" t="s">
        <v>125</v>
      </c>
      <c r="F14" s="86" t="s">
        <v>129</v>
      </c>
      <c r="G14" s="86" t="s">
        <v>130</v>
      </c>
      <c r="H14" s="86" t="s">
        <v>131</v>
      </c>
      <c r="I14" s="86" t="s">
        <v>132</v>
      </c>
      <c r="J14" s="86" t="s">
        <v>133</v>
      </c>
      <c r="K14" s="86" t="s">
        <v>134</v>
      </c>
      <c r="L14" s="86" t="s">
        <v>135</v>
      </c>
      <c r="M14" s="86" t="s">
        <v>136</v>
      </c>
      <c r="N14" s="86" t="s">
        <v>137</v>
      </c>
      <c r="O14" s="86" t="s">
        <v>138</v>
      </c>
      <c r="P14" s="32"/>
      <c r="Q14" s="85" t="s">
        <v>29</v>
      </c>
      <c r="R14" s="85" t="s">
        <v>124</v>
      </c>
      <c r="S14" s="76" t="s">
        <v>8</v>
      </c>
      <c r="T14" s="8" t="s">
        <v>61</v>
      </c>
      <c r="U14" s="86" t="s">
        <v>129</v>
      </c>
      <c r="V14" s="86" t="s">
        <v>130</v>
      </c>
      <c r="W14" s="86" t="s">
        <v>131</v>
      </c>
      <c r="X14" s="86" t="s">
        <v>132</v>
      </c>
      <c r="Y14" s="86" t="s">
        <v>133</v>
      </c>
      <c r="Z14" s="86" t="s">
        <v>134</v>
      </c>
      <c r="AA14" s="86" t="s">
        <v>135</v>
      </c>
      <c r="AB14" s="86" t="s">
        <v>136</v>
      </c>
      <c r="AC14" s="86" t="s">
        <v>137</v>
      </c>
      <c r="AD14" s="86" t="s">
        <v>138</v>
      </c>
      <c r="AE14" s="31"/>
      <c r="AF14" s="45"/>
      <c r="AG14" s="45"/>
      <c r="AH14" s="45"/>
      <c r="AI14" s="45"/>
    </row>
    <row r="15" spans="1:35" ht="18.75" customHeight="1" x14ac:dyDescent="0.25">
      <c r="B15" s="81"/>
      <c r="C15" s="50" t="s">
        <v>55</v>
      </c>
      <c r="D15" s="64">
        <f>'Overview IB'!D30</f>
        <v>0</v>
      </c>
      <c r="E15" s="64">
        <f>'Overview IB'!E30</f>
        <v>0</v>
      </c>
      <c r="F15" s="132">
        <f>'Overview IB'!I30</f>
        <v>0</v>
      </c>
      <c r="G15" s="132">
        <f>'Overview IB'!J30</f>
        <v>0</v>
      </c>
      <c r="H15" s="132">
        <f>'Overview IB'!K30</f>
        <v>0</v>
      </c>
      <c r="I15" s="132">
        <f>'Overview IB'!L30</f>
        <v>0</v>
      </c>
      <c r="J15" s="132">
        <f>'Overview IB'!M30</f>
        <v>0</v>
      </c>
      <c r="K15" s="132">
        <f>'Overview IB'!N30</f>
        <v>0</v>
      </c>
      <c r="L15" s="132">
        <f>'Overview IB'!O30</f>
        <v>0</v>
      </c>
      <c r="M15" s="132">
        <f>'Overview IB'!P30</f>
        <v>0</v>
      </c>
      <c r="N15" s="132">
        <f>'Overview IB'!Q30</f>
        <v>0</v>
      </c>
      <c r="O15" s="132">
        <f>'Overview IB'!R30</f>
        <v>0</v>
      </c>
      <c r="P15" s="32"/>
      <c r="Q15" s="64">
        <f t="shared" si="0"/>
        <v>0</v>
      </c>
      <c r="R15" s="103"/>
      <c r="S15" s="157">
        <f t="shared" si="1"/>
        <v>0</v>
      </c>
      <c r="T15" s="168"/>
      <c r="U15" s="66"/>
      <c r="V15" s="66"/>
      <c r="W15" s="66"/>
      <c r="X15" s="66"/>
      <c r="Y15" s="66"/>
      <c r="Z15" s="66"/>
      <c r="AA15" s="66"/>
      <c r="AB15" s="66"/>
      <c r="AC15" s="66"/>
      <c r="AD15" s="66"/>
      <c r="AE15" s="31"/>
    </row>
    <row r="16" spans="1:35" ht="18.75" customHeight="1" x14ac:dyDescent="0.25">
      <c r="B16" s="81"/>
      <c r="C16" s="51" t="s">
        <v>96</v>
      </c>
      <c r="D16" s="132">
        <f>'Overview IB'!D31</f>
        <v>0</v>
      </c>
      <c r="E16" s="132">
        <f>'Overview IB'!E31</f>
        <v>0</v>
      </c>
      <c r="F16" s="132">
        <f>'Overview IB'!I31</f>
        <v>0</v>
      </c>
      <c r="G16" s="132">
        <f>'Overview IB'!J31</f>
        <v>0</v>
      </c>
      <c r="H16" s="132">
        <f>'Overview IB'!K31</f>
        <v>0</v>
      </c>
      <c r="I16" s="132">
        <f>'Overview IB'!L31</f>
        <v>0</v>
      </c>
      <c r="J16" s="132">
        <f>'Overview IB'!M31</f>
        <v>0</v>
      </c>
      <c r="K16" s="132">
        <f>'Overview IB'!N31</f>
        <v>0</v>
      </c>
      <c r="L16" s="132">
        <f>'Overview IB'!O31</f>
        <v>0</v>
      </c>
      <c r="M16" s="132">
        <f>'Overview IB'!P31</f>
        <v>0</v>
      </c>
      <c r="N16" s="132">
        <f>'Overview IB'!Q31</f>
        <v>0</v>
      </c>
      <c r="O16" s="132">
        <f>'Overview IB'!R31</f>
        <v>0</v>
      </c>
      <c r="P16" s="156"/>
      <c r="Q16" s="132">
        <f t="shared" si="0"/>
        <v>0</v>
      </c>
      <c r="R16" s="103"/>
      <c r="S16" s="157">
        <f t="shared" si="1"/>
        <v>0</v>
      </c>
      <c r="T16" s="168"/>
      <c r="U16" s="133"/>
      <c r="V16" s="133"/>
      <c r="W16" s="133"/>
      <c r="X16" s="133"/>
      <c r="Y16" s="133"/>
      <c r="Z16" s="133"/>
      <c r="AA16" s="133"/>
      <c r="AB16" s="133"/>
      <c r="AC16" s="133"/>
      <c r="AD16" s="133"/>
      <c r="AE16" s="31"/>
    </row>
    <row r="17" spans="2:31" ht="18.75" customHeight="1" x14ac:dyDescent="0.25">
      <c r="B17" s="81"/>
      <c r="C17" s="50" t="s">
        <v>56</v>
      </c>
      <c r="D17" s="64">
        <f>'Overview IB'!D32</f>
        <v>0</v>
      </c>
      <c r="E17" s="64">
        <f>'Overview IB'!E32</f>
        <v>0</v>
      </c>
      <c r="F17" s="132">
        <f>'Overview IB'!I32</f>
        <v>0</v>
      </c>
      <c r="G17" s="132">
        <f>'Overview IB'!J32</f>
        <v>0</v>
      </c>
      <c r="H17" s="132">
        <f>'Overview IB'!K32</f>
        <v>0</v>
      </c>
      <c r="I17" s="132">
        <f>'Overview IB'!L32</f>
        <v>0</v>
      </c>
      <c r="J17" s="132">
        <f>'Overview IB'!M32</f>
        <v>0</v>
      </c>
      <c r="K17" s="132">
        <f>'Overview IB'!N32</f>
        <v>0</v>
      </c>
      <c r="L17" s="132">
        <f>'Overview IB'!O32</f>
        <v>0</v>
      </c>
      <c r="M17" s="132">
        <f>'Overview IB'!P32</f>
        <v>0</v>
      </c>
      <c r="N17" s="132">
        <f>'Overview IB'!Q32</f>
        <v>0</v>
      </c>
      <c r="O17" s="132">
        <f>'Overview IB'!R32</f>
        <v>0</v>
      </c>
      <c r="P17" s="32"/>
      <c r="Q17" s="64">
        <f t="shared" si="0"/>
        <v>0</v>
      </c>
      <c r="R17" s="103"/>
      <c r="S17" s="157">
        <f t="shared" si="1"/>
        <v>0</v>
      </c>
      <c r="T17" s="168"/>
      <c r="U17" s="66"/>
      <c r="V17" s="66"/>
      <c r="W17" s="66"/>
      <c r="X17" s="66"/>
      <c r="Y17" s="66"/>
      <c r="Z17" s="66"/>
      <c r="AA17" s="66"/>
      <c r="AB17" s="66"/>
      <c r="AC17" s="66"/>
      <c r="AD17" s="66"/>
      <c r="AE17" s="31"/>
    </row>
    <row r="18" spans="2:31" ht="18.75" customHeight="1" x14ac:dyDescent="0.25">
      <c r="B18" s="81"/>
      <c r="C18" s="52" t="s">
        <v>54</v>
      </c>
      <c r="D18" s="132">
        <f>'Overview IB'!D33</f>
        <v>0</v>
      </c>
      <c r="E18" s="132">
        <f>'Overview IB'!E33</f>
        <v>0</v>
      </c>
      <c r="F18" s="132">
        <f>'Overview IB'!I33</f>
        <v>0</v>
      </c>
      <c r="G18" s="132">
        <f>'Overview IB'!J33</f>
        <v>0</v>
      </c>
      <c r="H18" s="132">
        <f>'Overview IB'!K33</f>
        <v>0</v>
      </c>
      <c r="I18" s="132">
        <f>'Overview IB'!L33</f>
        <v>0</v>
      </c>
      <c r="J18" s="132">
        <f>'Overview IB'!M33</f>
        <v>0</v>
      </c>
      <c r="K18" s="132">
        <f>'Overview IB'!N33</f>
        <v>0</v>
      </c>
      <c r="L18" s="132">
        <f>'Overview IB'!O33</f>
        <v>0</v>
      </c>
      <c r="M18" s="132">
        <f>'Overview IB'!P33</f>
        <v>0</v>
      </c>
      <c r="N18" s="132">
        <f>'Overview IB'!Q33</f>
        <v>0</v>
      </c>
      <c r="O18" s="132">
        <f>'Overview IB'!R33</f>
        <v>0</v>
      </c>
      <c r="P18" s="156"/>
      <c r="Q18" s="132">
        <f t="shared" si="0"/>
        <v>0</v>
      </c>
      <c r="R18" s="103"/>
      <c r="S18" s="157">
        <f t="shared" si="1"/>
        <v>0</v>
      </c>
      <c r="T18" s="168"/>
      <c r="U18" s="133"/>
      <c r="V18" s="133"/>
      <c r="W18" s="133"/>
      <c r="X18" s="133"/>
      <c r="Y18" s="133"/>
      <c r="Z18" s="133"/>
      <c r="AA18" s="133"/>
      <c r="AB18" s="133"/>
      <c r="AC18" s="133"/>
      <c r="AD18" s="133"/>
      <c r="AE18" s="31"/>
    </row>
    <row r="19" spans="2:31" ht="18.75" customHeight="1" x14ac:dyDescent="0.25">
      <c r="B19" s="81"/>
      <c r="C19" s="52" t="s">
        <v>58</v>
      </c>
      <c r="D19" s="132">
        <f>'Overview IB'!D34</f>
        <v>0</v>
      </c>
      <c r="E19" s="132">
        <f>'Overview IB'!E34</f>
        <v>0</v>
      </c>
      <c r="F19" s="132">
        <f>'Overview IB'!I34</f>
        <v>0</v>
      </c>
      <c r="G19" s="132">
        <f>'Overview IB'!J34</f>
        <v>0</v>
      </c>
      <c r="H19" s="132">
        <f>'Overview IB'!K34</f>
        <v>0</v>
      </c>
      <c r="I19" s="132">
        <f>'Overview IB'!L34</f>
        <v>0</v>
      </c>
      <c r="J19" s="132">
        <f>'Overview IB'!M34</f>
        <v>0</v>
      </c>
      <c r="K19" s="132">
        <f>'Overview IB'!N34</f>
        <v>0</v>
      </c>
      <c r="L19" s="132">
        <f>'Overview IB'!O34</f>
        <v>0</v>
      </c>
      <c r="M19" s="132">
        <f>'Overview IB'!P34</f>
        <v>0</v>
      </c>
      <c r="N19" s="132">
        <f>'Overview IB'!Q34</f>
        <v>0</v>
      </c>
      <c r="O19" s="132">
        <f>'Overview IB'!R34</f>
        <v>0</v>
      </c>
      <c r="P19" s="156"/>
      <c r="Q19" s="132">
        <f t="shared" si="0"/>
        <v>0</v>
      </c>
      <c r="R19" s="103"/>
      <c r="S19" s="157">
        <f t="shared" si="1"/>
        <v>0</v>
      </c>
      <c r="T19" s="168"/>
      <c r="U19" s="133"/>
      <c r="V19" s="133"/>
      <c r="W19" s="133"/>
      <c r="X19" s="133"/>
      <c r="Y19" s="133"/>
      <c r="Z19" s="133"/>
      <c r="AA19" s="133"/>
      <c r="AB19" s="133"/>
      <c r="AC19" s="133"/>
      <c r="AD19" s="133"/>
      <c r="AE19" s="31"/>
    </row>
    <row r="20" spans="2:31" ht="45" x14ac:dyDescent="0.25">
      <c r="B20" s="81"/>
      <c r="C20" s="8" t="s">
        <v>45</v>
      </c>
      <c r="D20" s="152" t="s">
        <v>72</v>
      </c>
      <c r="E20" s="152" t="s">
        <v>125</v>
      </c>
      <c r="F20" s="86" t="s">
        <v>129</v>
      </c>
      <c r="G20" s="86" t="s">
        <v>130</v>
      </c>
      <c r="H20" s="86" t="s">
        <v>131</v>
      </c>
      <c r="I20" s="86" t="s">
        <v>132</v>
      </c>
      <c r="J20" s="86" t="s">
        <v>133</v>
      </c>
      <c r="K20" s="86" t="s">
        <v>134</v>
      </c>
      <c r="L20" s="86" t="s">
        <v>135</v>
      </c>
      <c r="M20" s="86" t="s">
        <v>136</v>
      </c>
      <c r="N20" s="86" t="s">
        <v>137</v>
      </c>
      <c r="O20" s="86" t="s">
        <v>138</v>
      </c>
      <c r="P20" s="32"/>
      <c r="Q20" s="85" t="s">
        <v>29</v>
      </c>
      <c r="R20" s="85" t="s">
        <v>124</v>
      </c>
      <c r="S20" s="76" t="s">
        <v>8</v>
      </c>
      <c r="T20" s="8" t="s">
        <v>61</v>
      </c>
      <c r="U20" s="86" t="s">
        <v>129</v>
      </c>
      <c r="V20" s="86" t="s">
        <v>130</v>
      </c>
      <c r="W20" s="86" t="s">
        <v>131</v>
      </c>
      <c r="X20" s="86" t="s">
        <v>132</v>
      </c>
      <c r="Y20" s="86" t="s">
        <v>133</v>
      </c>
      <c r="Z20" s="86" t="s">
        <v>134</v>
      </c>
      <c r="AA20" s="86" t="s">
        <v>135</v>
      </c>
      <c r="AB20" s="86" t="s">
        <v>136</v>
      </c>
      <c r="AC20" s="86" t="s">
        <v>137</v>
      </c>
      <c r="AD20" s="86" t="s">
        <v>138</v>
      </c>
      <c r="AE20" s="31"/>
    </row>
    <row r="21" spans="2:31" ht="18.75" customHeight="1" x14ac:dyDescent="0.25">
      <c r="B21" s="81"/>
      <c r="C21" s="50" t="s">
        <v>70</v>
      </c>
      <c r="D21" s="64">
        <f>'Overview IB'!D36</f>
        <v>0</v>
      </c>
      <c r="E21" s="64">
        <f>'Overview IB'!E36</f>
        <v>0</v>
      </c>
      <c r="F21" s="132">
        <f>'Overview IB'!I36</f>
        <v>0</v>
      </c>
      <c r="G21" s="132">
        <f>'Overview IB'!J36</f>
        <v>0</v>
      </c>
      <c r="H21" s="132">
        <f>'Overview IB'!K36</f>
        <v>0</v>
      </c>
      <c r="I21" s="132">
        <f>'Overview IB'!L36</f>
        <v>0</v>
      </c>
      <c r="J21" s="132">
        <f>'Overview IB'!M36</f>
        <v>0</v>
      </c>
      <c r="K21" s="132">
        <f>'Overview IB'!N36</f>
        <v>0</v>
      </c>
      <c r="L21" s="132">
        <f>'Overview IB'!O36</f>
        <v>0</v>
      </c>
      <c r="M21" s="132">
        <f>'Overview IB'!P36</f>
        <v>0</v>
      </c>
      <c r="N21" s="132">
        <f>'Overview IB'!Q36</f>
        <v>0</v>
      </c>
      <c r="O21" s="132">
        <f>'Overview IB'!R36</f>
        <v>0</v>
      </c>
      <c r="P21" s="32"/>
      <c r="Q21" s="64">
        <f t="shared" si="0"/>
        <v>0</v>
      </c>
      <c r="R21" s="103"/>
      <c r="S21" s="157">
        <f t="shared" si="1"/>
        <v>0</v>
      </c>
      <c r="T21" s="168"/>
      <c r="U21" s="66"/>
      <c r="V21" s="66"/>
      <c r="W21" s="66"/>
      <c r="X21" s="66"/>
      <c r="Y21" s="66"/>
      <c r="Z21" s="66"/>
      <c r="AA21" s="66"/>
      <c r="AB21" s="66"/>
      <c r="AC21" s="66"/>
      <c r="AD21" s="66"/>
      <c r="AE21" s="31"/>
    </row>
    <row r="22" spans="2:31" ht="33" customHeight="1" x14ac:dyDescent="0.25">
      <c r="B22" s="81"/>
      <c r="C22" s="51" t="s">
        <v>47</v>
      </c>
      <c r="D22" s="132">
        <f>'Overview IB'!D37</f>
        <v>144</v>
      </c>
      <c r="E22" s="132">
        <f>'Overview IB'!E37</f>
        <v>72</v>
      </c>
      <c r="F22" s="132">
        <f>'Overview IB'!I37</f>
        <v>72</v>
      </c>
      <c r="G22" s="132">
        <f>'Overview IB'!J37</f>
        <v>72</v>
      </c>
      <c r="H22" s="132">
        <f>'Overview IB'!K37</f>
        <v>0</v>
      </c>
      <c r="I22" s="132">
        <f>'Overview IB'!L37</f>
        <v>0</v>
      </c>
      <c r="J22" s="132">
        <f>'Overview IB'!M37</f>
        <v>0</v>
      </c>
      <c r="K22" s="132">
        <f>'Overview IB'!N37</f>
        <v>0</v>
      </c>
      <c r="L22" s="132">
        <f>'Overview IB'!O37</f>
        <v>0</v>
      </c>
      <c r="M22" s="132">
        <f>'Overview IB'!P37</f>
        <v>0</v>
      </c>
      <c r="N22" s="132">
        <f>'Overview IB'!Q37</f>
        <v>0</v>
      </c>
      <c r="O22" s="132">
        <f>'Overview IB'!R37</f>
        <v>0</v>
      </c>
      <c r="P22" s="156"/>
      <c r="Q22" s="132">
        <f t="shared" si="0"/>
        <v>164</v>
      </c>
      <c r="R22" s="103">
        <v>82</v>
      </c>
      <c r="S22" s="157">
        <f t="shared" si="1"/>
        <v>1.1388888888888888</v>
      </c>
      <c r="T22" s="168"/>
      <c r="U22" s="133">
        <v>82</v>
      </c>
      <c r="V22" s="133">
        <v>82</v>
      </c>
      <c r="W22" s="133"/>
      <c r="X22" s="133"/>
      <c r="Y22" s="133"/>
      <c r="Z22" s="133"/>
      <c r="AA22" s="133"/>
      <c r="AB22" s="133"/>
      <c r="AC22" s="133"/>
      <c r="AD22" s="133"/>
      <c r="AE22" s="31"/>
    </row>
    <row r="23" spans="2:31" ht="33" customHeight="1" x14ac:dyDescent="0.25">
      <c r="B23" s="81"/>
      <c r="C23" s="52" t="s">
        <v>59</v>
      </c>
      <c r="D23" s="132">
        <f>'Overview IB'!D38</f>
        <v>1170</v>
      </c>
      <c r="E23" s="132">
        <f>'Overview IB'!E38</f>
        <v>1170</v>
      </c>
      <c r="F23" s="132">
        <f>'Overview IB'!I38</f>
        <v>360</v>
      </c>
      <c r="G23" s="132">
        <f>'Overview IB'!J38</f>
        <v>810</v>
      </c>
      <c r="H23" s="132">
        <f>'Overview IB'!K38</f>
        <v>0</v>
      </c>
      <c r="I23" s="132">
        <f>'Overview IB'!L38</f>
        <v>0</v>
      </c>
      <c r="J23" s="132">
        <f>'Overview IB'!M38</f>
        <v>0</v>
      </c>
      <c r="K23" s="132">
        <f>'Overview IB'!N38</f>
        <v>0</v>
      </c>
      <c r="L23" s="132">
        <f>'Overview IB'!O38</f>
        <v>0</v>
      </c>
      <c r="M23" s="132">
        <f>'Overview IB'!P38</f>
        <v>0</v>
      </c>
      <c r="N23" s="132">
        <f>'Overview IB'!Q38</f>
        <v>0</v>
      </c>
      <c r="O23" s="132">
        <f>'Overview IB'!R38</f>
        <v>0</v>
      </c>
      <c r="P23" s="156"/>
      <c r="Q23" s="132">
        <f t="shared" si="0"/>
        <v>1218.5</v>
      </c>
      <c r="R23" s="103">
        <v>1218.5</v>
      </c>
      <c r="S23" s="157">
        <f t="shared" si="1"/>
        <v>1.0414529914529915</v>
      </c>
      <c r="T23" s="168"/>
      <c r="U23" s="133">
        <v>392.5</v>
      </c>
      <c r="V23" s="133">
        <v>826</v>
      </c>
      <c r="W23" s="133"/>
      <c r="X23" s="133"/>
      <c r="Y23" s="133"/>
      <c r="Z23" s="133"/>
      <c r="AA23" s="133"/>
      <c r="AB23" s="133"/>
      <c r="AC23" s="133"/>
      <c r="AD23" s="133"/>
      <c r="AE23" s="31"/>
    </row>
    <row r="24" spans="2:31" ht="33" customHeight="1" x14ac:dyDescent="0.25">
      <c r="B24" s="81"/>
      <c r="C24" s="50" t="s">
        <v>71</v>
      </c>
      <c r="D24" s="64">
        <f>'Overview IB'!D39</f>
        <v>0</v>
      </c>
      <c r="E24" s="64">
        <f>'Overview IB'!E39</f>
        <v>0</v>
      </c>
      <c r="F24" s="132">
        <f>'Overview IB'!I39</f>
        <v>0</v>
      </c>
      <c r="G24" s="132">
        <f>'Overview IB'!J39</f>
        <v>0</v>
      </c>
      <c r="H24" s="132">
        <f>'Overview IB'!K39</f>
        <v>0</v>
      </c>
      <c r="I24" s="132">
        <f>'Overview IB'!L39</f>
        <v>0</v>
      </c>
      <c r="J24" s="132">
        <f>'Overview IB'!M39</f>
        <v>0</v>
      </c>
      <c r="K24" s="132">
        <f>'Overview IB'!N39</f>
        <v>0</v>
      </c>
      <c r="L24" s="132">
        <f>'Overview IB'!O39</f>
        <v>0</v>
      </c>
      <c r="M24" s="132">
        <f>'Overview IB'!P39</f>
        <v>0</v>
      </c>
      <c r="N24" s="132">
        <f>'Overview IB'!Q39</f>
        <v>0</v>
      </c>
      <c r="O24" s="132">
        <f>'Overview IB'!R39</f>
        <v>0</v>
      </c>
      <c r="P24" s="32"/>
      <c r="Q24" s="64">
        <f t="shared" si="0"/>
        <v>0</v>
      </c>
      <c r="R24" s="103"/>
      <c r="S24" s="157">
        <f t="shared" si="1"/>
        <v>0</v>
      </c>
      <c r="T24" s="168"/>
      <c r="U24" s="66"/>
      <c r="V24" s="66"/>
      <c r="W24" s="66"/>
      <c r="X24" s="66"/>
      <c r="Y24" s="66"/>
      <c r="Z24" s="66"/>
      <c r="AA24" s="66"/>
      <c r="AB24" s="66"/>
      <c r="AC24" s="66"/>
      <c r="AD24" s="66"/>
      <c r="AE24" s="31"/>
    </row>
    <row r="25" spans="2:31" ht="33" customHeight="1" x14ac:dyDescent="0.25">
      <c r="B25" s="81"/>
      <c r="C25" s="52" t="s">
        <v>48</v>
      </c>
      <c r="D25" s="132">
        <f>'Overview IB'!D40</f>
        <v>50</v>
      </c>
      <c r="E25" s="132">
        <f>'Overview IB'!E40</f>
        <v>50</v>
      </c>
      <c r="F25" s="132">
        <f>'Overview IB'!I40</f>
        <v>0</v>
      </c>
      <c r="G25" s="132">
        <f>'Overview IB'!J40</f>
        <v>0</v>
      </c>
      <c r="H25" s="132">
        <f>'Overview IB'!K40</f>
        <v>50</v>
      </c>
      <c r="I25" s="132">
        <f>'Overview IB'!L40</f>
        <v>0</v>
      </c>
      <c r="J25" s="132">
        <f>'Overview IB'!M40</f>
        <v>0</v>
      </c>
      <c r="K25" s="132">
        <f>'Overview IB'!N40</f>
        <v>0</v>
      </c>
      <c r="L25" s="132">
        <f>'Overview IB'!O40</f>
        <v>0</v>
      </c>
      <c r="M25" s="132">
        <f>'Overview IB'!P40</f>
        <v>0</v>
      </c>
      <c r="N25" s="132">
        <f>'Overview IB'!Q40</f>
        <v>0</v>
      </c>
      <c r="O25" s="132">
        <f>'Overview IB'!R40</f>
        <v>0</v>
      </c>
      <c r="P25" s="156"/>
      <c r="Q25" s="132">
        <f t="shared" si="0"/>
        <v>50</v>
      </c>
      <c r="R25" s="103">
        <v>50</v>
      </c>
      <c r="S25" s="157">
        <f t="shared" si="1"/>
        <v>1</v>
      </c>
      <c r="T25" s="168"/>
      <c r="U25" s="133"/>
      <c r="V25" s="133"/>
      <c r="W25" s="133">
        <v>50</v>
      </c>
      <c r="X25" s="133"/>
      <c r="Y25" s="133"/>
      <c r="Z25" s="133"/>
      <c r="AA25" s="133"/>
      <c r="AB25" s="133"/>
      <c r="AC25" s="133"/>
      <c r="AD25" s="133"/>
      <c r="AE25" s="31"/>
    </row>
    <row r="26" spans="2:31" ht="18.75" customHeight="1" x14ac:dyDescent="0.25">
      <c r="B26" s="81"/>
      <c r="C26" s="52" t="s">
        <v>46</v>
      </c>
      <c r="D26" s="132">
        <f>'Overview IB'!D41</f>
        <v>540</v>
      </c>
      <c r="E26" s="132">
        <f>'Overview IB'!E41</f>
        <v>540</v>
      </c>
      <c r="F26" s="132">
        <f>'Overview IB'!I41</f>
        <v>0</v>
      </c>
      <c r="G26" s="132">
        <f>'Overview IB'!J41</f>
        <v>0</v>
      </c>
      <c r="H26" s="132">
        <f>'Overview IB'!K41</f>
        <v>540</v>
      </c>
      <c r="I26" s="132">
        <f>'Overview IB'!L41</f>
        <v>0</v>
      </c>
      <c r="J26" s="132">
        <f>'Overview IB'!M41</f>
        <v>0</v>
      </c>
      <c r="K26" s="132">
        <f>'Overview IB'!N41</f>
        <v>0</v>
      </c>
      <c r="L26" s="132">
        <f>'Overview IB'!O41</f>
        <v>0</v>
      </c>
      <c r="M26" s="132">
        <f>'Overview IB'!P41</f>
        <v>0</v>
      </c>
      <c r="N26" s="132">
        <f>'Overview IB'!Q41</f>
        <v>0</v>
      </c>
      <c r="O26" s="132">
        <f>'Overview IB'!R41</f>
        <v>0</v>
      </c>
      <c r="P26" s="156"/>
      <c r="Q26" s="132">
        <f t="shared" si="0"/>
        <v>541</v>
      </c>
      <c r="R26" s="103">
        <v>540.5</v>
      </c>
      <c r="S26" s="157">
        <f t="shared" si="1"/>
        <v>1.000925925925926</v>
      </c>
      <c r="T26" s="168"/>
      <c r="U26" s="133"/>
      <c r="V26" s="133"/>
      <c r="W26" s="133">
        <v>541</v>
      </c>
      <c r="X26" s="133"/>
      <c r="Y26" s="133"/>
      <c r="Z26" s="133"/>
      <c r="AA26" s="133"/>
      <c r="AB26" s="133"/>
      <c r="AC26" s="133"/>
      <c r="AD26" s="133"/>
      <c r="AE26" s="31"/>
    </row>
    <row r="27" spans="2:31" ht="18.75" customHeight="1" x14ac:dyDescent="0.25">
      <c r="B27" s="81"/>
      <c r="C27" s="50" t="s">
        <v>49</v>
      </c>
      <c r="D27" s="64">
        <f>'Overview IB'!D42</f>
        <v>0</v>
      </c>
      <c r="E27" s="64">
        <f>'Overview IB'!E42</f>
        <v>0</v>
      </c>
      <c r="F27" s="132">
        <f>'Overview IB'!I42</f>
        <v>0</v>
      </c>
      <c r="G27" s="132">
        <f>'Overview IB'!J42</f>
        <v>0</v>
      </c>
      <c r="H27" s="132">
        <f>'Overview IB'!K42</f>
        <v>0</v>
      </c>
      <c r="I27" s="132">
        <f>'Overview IB'!L42</f>
        <v>0</v>
      </c>
      <c r="J27" s="132">
        <f>'Overview IB'!M42</f>
        <v>0</v>
      </c>
      <c r="K27" s="132">
        <f>'Overview IB'!N42</f>
        <v>0</v>
      </c>
      <c r="L27" s="132">
        <f>'Overview IB'!O42</f>
        <v>0</v>
      </c>
      <c r="M27" s="132">
        <f>'Overview IB'!P42</f>
        <v>0</v>
      </c>
      <c r="N27" s="132">
        <f>'Overview IB'!Q42</f>
        <v>0</v>
      </c>
      <c r="O27" s="132">
        <f>'Overview IB'!R42</f>
        <v>0</v>
      </c>
      <c r="P27" s="32"/>
      <c r="Q27" s="64">
        <f t="shared" si="0"/>
        <v>0</v>
      </c>
      <c r="R27" s="103"/>
      <c r="S27" s="157">
        <f t="shared" si="1"/>
        <v>0</v>
      </c>
      <c r="T27" s="168"/>
      <c r="U27" s="66"/>
      <c r="V27" s="66"/>
      <c r="W27" s="66"/>
      <c r="X27" s="66"/>
      <c r="Y27" s="66"/>
      <c r="Z27" s="66"/>
      <c r="AA27" s="66"/>
      <c r="AB27" s="66"/>
      <c r="AC27" s="66"/>
      <c r="AD27" s="66"/>
      <c r="AE27" s="31"/>
    </row>
    <row r="28" spans="2:31" ht="18.75" customHeight="1" x14ac:dyDescent="0.25">
      <c r="B28" s="81"/>
      <c r="C28" s="51" t="s">
        <v>51</v>
      </c>
      <c r="D28" s="132">
        <f>'Overview IB'!D43</f>
        <v>0</v>
      </c>
      <c r="E28" s="132">
        <f>'Overview IB'!E43</f>
        <v>0</v>
      </c>
      <c r="F28" s="132">
        <f>'Overview IB'!I43</f>
        <v>0</v>
      </c>
      <c r="G28" s="132">
        <f>'Overview IB'!J43</f>
        <v>0</v>
      </c>
      <c r="H28" s="132">
        <f>'Overview IB'!K43</f>
        <v>0</v>
      </c>
      <c r="I28" s="132">
        <f>'Overview IB'!L43</f>
        <v>0</v>
      </c>
      <c r="J28" s="132">
        <f>'Overview IB'!M43</f>
        <v>0</v>
      </c>
      <c r="K28" s="132">
        <f>'Overview IB'!N43</f>
        <v>0</v>
      </c>
      <c r="L28" s="132">
        <f>'Overview IB'!O43</f>
        <v>0</v>
      </c>
      <c r="M28" s="132">
        <f>'Overview IB'!P43</f>
        <v>0</v>
      </c>
      <c r="N28" s="132">
        <f>'Overview IB'!Q43</f>
        <v>0</v>
      </c>
      <c r="O28" s="132">
        <f>'Overview IB'!R43</f>
        <v>0</v>
      </c>
      <c r="P28" s="156"/>
      <c r="Q28" s="132">
        <f t="shared" si="0"/>
        <v>0</v>
      </c>
      <c r="R28" s="103"/>
      <c r="S28" s="157">
        <f t="shared" si="1"/>
        <v>0</v>
      </c>
      <c r="T28" s="168"/>
      <c r="U28" s="133"/>
      <c r="V28" s="133"/>
      <c r="W28" s="133"/>
      <c r="X28" s="133"/>
      <c r="Y28" s="133"/>
      <c r="Z28" s="133"/>
      <c r="AA28" s="133"/>
      <c r="AB28" s="133"/>
      <c r="AC28" s="133"/>
      <c r="AD28" s="133"/>
      <c r="AE28" s="31"/>
    </row>
    <row r="29" spans="2:31" ht="18.75" customHeight="1" x14ac:dyDescent="0.25">
      <c r="B29" s="81"/>
      <c r="C29" s="51" t="s">
        <v>50</v>
      </c>
      <c r="D29" s="132">
        <f>'Overview IB'!D44</f>
        <v>0</v>
      </c>
      <c r="E29" s="132">
        <f>'Overview IB'!E44</f>
        <v>0</v>
      </c>
      <c r="F29" s="132">
        <f>'Overview IB'!I44</f>
        <v>0</v>
      </c>
      <c r="G29" s="132">
        <f>'Overview IB'!J44</f>
        <v>0</v>
      </c>
      <c r="H29" s="132">
        <f>'Overview IB'!K44</f>
        <v>0</v>
      </c>
      <c r="I29" s="132">
        <f>'Overview IB'!L44</f>
        <v>0</v>
      </c>
      <c r="J29" s="132">
        <f>'Overview IB'!M44</f>
        <v>0</v>
      </c>
      <c r="K29" s="132">
        <f>'Overview IB'!N44</f>
        <v>0</v>
      </c>
      <c r="L29" s="132">
        <f>'Overview IB'!O44</f>
        <v>0</v>
      </c>
      <c r="M29" s="132">
        <f>'Overview IB'!P44</f>
        <v>0</v>
      </c>
      <c r="N29" s="132">
        <f>'Overview IB'!Q44</f>
        <v>0</v>
      </c>
      <c r="O29" s="132">
        <f>'Overview IB'!R44</f>
        <v>0</v>
      </c>
      <c r="P29" s="156"/>
      <c r="Q29" s="132">
        <f t="shared" si="0"/>
        <v>0</v>
      </c>
      <c r="R29" s="103"/>
      <c r="S29" s="157">
        <f t="shared" si="1"/>
        <v>0</v>
      </c>
      <c r="T29" s="168"/>
      <c r="U29" s="133"/>
      <c r="V29" s="133"/>
      <c r="W29" s="133"/>
      <c r="X29" s="133"/>
      <c r="Y29" s="133"/>
      <c r="Z29" s="133"/>
      <c r="AA29" s="133"/>
      <c r="AB29" s="133"/>
      <c r="AC29" s="133"/>
      <c r="AD29" s="133"/>
      <c r="AE29" s="31"/>
    </row>
    <row r="30" spans="2:31" ht="18.75" customHeight="1" x14ac:dyDescent="0.25">
      <c r="B30" s="81"/>
      <c r="C30" s="50" t="s">
        <v>11</v>
      </c>
      <c r="D30" s="64">
        <f>'Overview IB'!D45</f>
        <v>0</v>
      </c>
      <c r="E30" s="64">
        <f>'Overview IB'!E45</f>
        <v>0</v>
      </c>
      <c r="F30" s="132">
        <f>'Overview IB'!I45</f>
        <v>0</v>
      </c>
      <c r="G30" s="132">
        <f>'Overview IB'!J45</f>
        <v>0</v>
      </c>
      <c r="H30" s="132">
        <f>'Overview IB'!K45</f>
        <v>0</v>
      </c>
      <c r="I30" s="132">
        <f>'Overview IB'!L45</f>
        <v>0</v>
      </c>
      <c r="J30" s="132">
        <f>'Overview IB'!M45</f>
        <v>0</v>
      </c>
      <c r="K30" s="132">
        <f>'Overview IB'!N45</f>
        <v>0</v>
      </c>
      <c r="L30" s="132">
        <f>'Overview IB'!O45</f>
        <v>0</v>
      </c>
      <c r="M30" s="132">
        <f>'Overview IB'!P45</f>
        <v>0</v>
      </c>
      <c r="N30" s="132">
        <f>'Overview IB'!Q45</f>
        <v>0</v>
      </c>
      <c r="O30" s="132">
        <f>'Overview IB'!R45</f>
        <v>0</v>
      </c>
      <c r="P30" s="32"/>
      <c r="Q30" s="64">
        <f t="shared" si="0"/>
        <v>0</v>
      </c>
      <c r="R30" s="103"/>
      <c r="S30" s="157">
        <f t="shared" si="1"/>
        <v>0</v>
      </c>
      <c r="T30" s="168"/>
      <c r="U30" s="66"/>
      <c r="V30" s="66"/>
      <c r="W30" s="66"/>
      <c r="X30" s="66"/>
      <c r="Y30" s="66"/>
      <c r="Z30" s="66"/>
      <c r="AA30" s="66"/>
      <c r="AB30" s="66"/>
      <c r="AC30" s="66"/>
      <c r="AD30" s="66"/>
      <c r="AE30" s="31"/>
    </row>
    <row r="31" spans="2:31" ht="18.75" customHeight="1" x14ac:dyDescent="0.25">
      <c r="B31" s="81"/>
      <c r="C31" s="52" t="s">
        <v>62</v>
      </c>
      <c r="D31" s="132">
        <f>'Overview IB'!D46</f>
        <v>0</v>
      </c>
      <c r="E31" s="132">
        <f>'Overview IB'!E46</f>
        <v>0</v>
      </c>
      <c r="F31" s="132">
        <f>'Overview IB'!I46</f>
        <v>0</v>
      </c>
      <c r="G31" s="132">
        <f>'Overview IB'!J46</f>
        <v>0</v>
      </c>
      <c r="H31" s="132">
        <f>'Overview IB'!K46</f>
        <v>0</v>
      </c>
      <c r="I31" s="132">
        <f>'Overview IB'!L46</f>
        <v>0</v>
      </c>
      <c r="J31" s="132">
        <f>'Overview IB'!M46</f>
        <v>0</v>
      </c>
      <c r="K31" s="132">
        <f>'Overview IB'!N46</f>
        <v>0</v>
      </c>
      <c r="L31" s="132">
        <f>'Overview IB'!O46</f>
        <v>0</v>
      </c>
      <c r="M31" s="132">
        <f>'Overview IB'!P46</f>
        <v>0</v>
      </c>
      <c r="N31" s="132">
        <f>'Overview IB'!Q46</f>
        <v>0</v>
      </c>
      <c r="O31" s="132">
        <f>'Overview IB'!R46</f>
        <v>0</v>
      </c>
      <c r="P31" s="156"/>
      <c r="Q31" s="132">
        <f t="shared" si="0"/>
        <v>0</v>
      </c>
      <c r="R31" s="103"/>
      <c r="S31" s="157">
        <f t="shared" si="1"/>
        <v>0</v>
      </c>
      <c r="T31" s="168"/>
      <c r="U31" s="133"/>
      <c r="V31" s="133"/>
      <c r="W31" s="133"/>
      <c r="X31" s="133"/>
      <c r="Y31" s="133"/>
      <c r="Z31" s="133"/>
      <c r="AA31" s="133"/>
      <c r="AB31" s="133"/>
      <c r="AC31" s="133"/>
      <c r="AD31" s="133"/>
      <c r="AE31" s="31"/>
    </row>
    <row r="32" spans="2:31" ht="18.75" customHeight="1" x14ac:dyDescent="0.25">
      <c r="B32" s="81"/>
      <c r="C32" s="52" t="s">
        <v>63</v>
      </c>
      <c r="D32" s="132">
        <f>'Overview IB'!D47</f>
        <v>0</v>
      </c>
      <c r="E32" s="132">
        <f>'Overview IB'!E47</f>
        <v>0</v>
      </c>
      <c r="F32" s="132">
        <f>'Overview IB'!I47</f>
        <v>0</v>
      </c>
      <c r="G32" s="132">
        <f>'Overview IB'!J47</f>
        <v>0</v>
      </c>
      <c r="H32" s="132">
        <f>'Overview IB'!K47</f>
        <v>0</v>
      </c>
      <c r="I32" s="132">
        <f>'Overview IB'!L47</f>
        <v>0</v>
      </c>
      <c r="J32" s="132">
        <f>'Overview IB'!M47</f>
        <v>0</v>
      </c>
      <c r="K32" s="132">
        <f>'Overview IB'!N47</f>
        <v>0</v>
      </c>
      <c r="L32" s="132">
        <f>'Overview IB'!O47</f>
        <v>0</v>
      </c>
      <c r="M32" s="132">
        <f>'Overview IB'!P47</f>
        <v>0</v>
      </c>
      <c r="N32" s="132">
        <f>'Overview IB'!Q47</f>
        <v>0</v>
      </c>
      <c r="O32" s="132">
        <f>'Overview IB'!R47</f>
        <v>0</v>
      </c>
      <c r="P32" s="156"/>
      <c r="Q32" s="132">
        <f t="shared" si="0"/>
        <v>0</v>
      </c>
      <c r="R32" s="103"/>
      <c r="S32" s="157">
        <f t="shared" si="1"/>
        <v>0</v>
      </c>
      <c r="T32" s="168"/>
      <c r="U32" s="133"/>
      <c r="V32" s="133"/>
      <c r="W32" s="133"/>
      <c r="X32" s="133"/>
      <c r="Y32" s="133"/>
      <c r="Z32" s="133"/>
      <c r="AA32" s="133"/>
      <c r="AB32" s="133"/>
      <c r="AC32" s="133"/>
      <c r="AD32" s="133"/>
      <c r="AE32" s="31"/>
    </row>
    <row r="33" spans="2:31" ht="45" x14ac:dyDescent="0.25">
      <c r="B33" s="81"/>
      <c r="C33" s="8" t="s">
        <v>52</v>
      </c>
      <c r="D33" s="152" t="s">
        <v>72</v>
      </c>
      <c r="E33" s="152" t="s">
        <v>125</v>
      </c>
      <c r="F33" s="86" t="s">
        <v>129</v>
      </c>
      <c r="G33" s="86" t="s">
        <v>130</v>
      </c>
      <c r="H33" s="86" t="s">
        <v>131</v>
      </c>
      <c r="I33" s="86" t="s">
        <v>132</v>
      </c>
      <c r="J33" s="86" t="s">
        <v>133</v>
      </c>
      <c r="K33" s="86" t="s">
        <v>134</v>
      </c>
      <c r="L33" s="86" t="s">
        <v>135</v>
      </c>
      <c r="M33" s="86" t="s">
        <v>136</v>
      </c>
      <c r="N33" s="86" t="s">
        <v>137</v>
      </c>
      <c r="O33" s="86" t="s">
        <v>138</v>
      </c>
      <c r="P33" s="32"/>
      <c r="Q33" s="85" t="s">
        <v>29</v>
      </c>
      <c r="R33" s="85" t="s">
        <v>124</v>
      </c>
      <c r="S33" s="76" t="s">
        <v>8</v>
      </c>
      <c r="T33" s="8" t="s">
        <v>61</v>
      </c>
      <c r="U33" s="86" t="s">
        <v>129</v>
      </c>
      <c r="V33" s="86" t="s">
        <v>130</v>
      </c>
      <c r="W33" s="86" t="s">
        <v>131</v>
      </c>
      <c r="X33" s="86" t="s">
        <v>132</v>
      </c>
      <c r="Y33" s="86" t="s">
        <v>133</v>
      </c>
      <c r="Z33" s="86" t="s">
        <v>134</v>
      </c>
      <c r="AA33" s="86" t="s">
        <v>135</v>
      </c>
      <c r="AB33" s="86" t="s">
        <v>136</v>
      </c>
      <c r="AC33" s="86" t="s">
        <v>137</v>
      </c>
      <c r="AD33" s="86" t="s">
        <v>138</v>
      </c>
      <c r="AE33" s="31"/>
    </row>
    <row r="34" spans="2:31" ht="13.15" customHeight="1" x14ac:dyDescent="0.25">
      <c r="B34" s="81"/>
      <c r="C34" s="50" t="s">
        <v>66</v>
      </c>
      <c r="D34" s="64">
        <f>'Overview IB'!D49</f>
        <v>0</v>
      </c>
      <c r="E34" s="64">
        <f>'Overview IB'!E49</f>
        <v>0</v>
      </c>
      <c r="F34" s="132">
        <f>'Overview IB'!I49</f>
        <v>0</v>
      </c>
      <c r="G34" s="132">
        <f>'Overview IB'!J49</f>
        <v>0</v>
      </c>
      <c r="H34" s="132">
        <f>'Overview IB'!K49</f>
        <v>0</v>
      </c>
      <c r="I34" s="132">
        <f>'Overview IB'!L49</f>
        <v>0</v>
      </c>
      <c r="J34" s="132">
        <f>'Overview IB'!M49</f>
        <v>0</v>
      </c>
      <c r="K34" s="132">
        <f>'Overview IB'!N49</f>
        <v>0</v>
      </c>
      <c r="L34" s="132">
        <f>'Overview IB'!O49</f>
        <v>0</v>
      </c>
      <c r="M34" s="132">
        <f>'Overview IB'!P49</f>
        <v>0</v>
      </c>
      <c r="N34" s="132">
        <f>'Overview IB'!Q49</f>
        <v>0</v>
      </c>
      <c r="O34" s="132">
        <f>'Overview IB'!R49</f>
        <v>0</v>
      </c>
      <c r="P34" s="32"/>
      <c r="Q34" s="64">
        <f>SUM(Q35:Q39)</f>
        <v>0</v>
      </c>
      <c r="R34" s="64">
        <f>SUM(R35:R39)</f>
        <v>0</v>
      </c>
      <c r="S34" s="157">
        <f t="shared" si="1"/>
        <v>0</v>
      </c>
      <c r="T34" s="168"/>
      <c r="U34" s="64">
        <f>SUM(U35:U39)</f>
        <v>0</v>
      </c>
      <c r="V34" s="64">
        <f t="shared" ref="V34:AD34" si="2">SUM(V35:V39)</f>
        <v>0</v>
      </c>
      <c r="W34" s="64">
        <f>SUM(W35:W39)</f>
        <v>0</v>
      </c>
      <c r="X34" s="64">
        <f t="shared" si="2"/>
        <v>0</v>
      </c>
      <c r="Y34" s="64">
        <f t="shared" si="2"/>
        <v>0</v>
      </c>
      <c r="Z34" s="64">
        <f t="shared" si="2"/>
        <v>0</v>
      </c>
      <c r="AA34" s="64">
        <f t="shared" si="2"/>
        <v>0</v>
      </c>
      <c r="AB34" s="64">
        <f t="shared" si="2"/>
        <v>0</v>
      </c>
      <c r="AC34" s="64">
        <f t="shared" si="2"/>
        <v>0</v>
      </c>
      <c r="AD34" s="64">
        <f t="shared" si="2"/>
        <v>0</v>
      </c>
      <c r="AE34" s="31"/>
    </row>
    <row r="35" spans="2:31" x14ac:dyDescent="0.25">
      <c r="B35" s="81"/>
      <c r="C35" s="52" t="s">
        <v>39</v>
      </c>
      <c r="D35" s="132">
        <f>'Overview IB'!D50</f>
        <v>0</v>
      </c>
      <c r="E35" s="132">
        <f>'Overview IB'!E50</f>
        <v>0</v>
      </c>
      <c r="F35" s="132">
        <f>'Overview IB'!I50</f>
        <v>0</v>
      </c>
      <c r="G35" s="132">
        <f>'Overview IB'!J50</f>
        <v>0</v>
      </c>
      <c r="H35" s="132">
        <f>'Overview IB'!K50</f>
        <v>0</v>
      </c>
      <c r="I35" s="132">
        <f>'Overview IB'!L50</f>
        <v>0</v>
      </c>
      <c r="J35" s="132">
        <f>'Overview IB'!M50</f>
        <v>0</v>
      </c>
      <c r="K35" s="132">
        <f>'Overview IB'!N50</f>
        <v>0</v>
      </c>
      <c r="L35" s="132">
        <f>'Overview IB'!O50</f>
        <v>0</v>
      </c>
      <c r="M35" s="132">
        <f>'Overview IB'!P50</f>
        <v>0</v>
      </c>
      <c r="N35" s="132">
        <f>'Overview IB'!Q50</f>
        <v>0</v>
      </c>
      <c r="O35" s="132">
        <f>'Overview IB'!R50</f>
        <v>0</v>
      </c>
      <c r="P35" s="156"/>
      <c r="Q35" s="132">
        <f t="shared" ref="Q35:Q60" si="3">SUM(U35:AD35)</f>
        <v>0</v>
      </c>
      <c r="R35" s="103"/>
      <c r="S35" s="157">
        <f t="shared" si="1"/>
        <v>0</v>
      </c>
      <c r="T35" s="168"/>
      <c r="U35" s="133"/>
      <c r="V35" s="133"/>
      <c r="W35" s="133"/>
      <c r="X35" s="133"/>
      <c r="Y35" s="133"/>
      <c r="Z35" s="133"/>
      <c r="AA35" s="133"/>
      <c r="AB35" s="133"/>
      <c r="AC35" s="133"/>
      <c r="AD35" s="133"/>
      <c r="AE35" s="31"/>
    </row>
    <row r="36" spans="2:31" x14ac:dyDescent="0.25">
      <c r="B36" s="81"/>
      <c r="C36" s="52" t="s">
        <v>40</v>
      </c>
      <c r="D36" s="132">
        <f>'Overview IB'!D51</f>
        <v>0</v>
      </c>
      <c r="E36" s="132">
        <f>'Overview IB'!E51</f>
        <v>0</v>
      </c>
      <c r="F36" s="132">
        <f>'Overview IB'!I51</f>
        <v>0</v>
      </c>
      <c r="G36" s="132">
        <f>'Overview IB'!J51</f>
        <v>0</v>
      </c>
      <c r="H36" s="132">
        <f>'Overview IB'!K51</f>
        <v>0</v>
      </c>
      <c r="I36" s="132">
        <f>'Overview IB'!L51</f>
        <v>0</v>
      </c>
      <c r="J36" s="132">
        <f>'Overview IB'!M51</f>
        <v>0</v>
      </c>
      <c r="K36" s="132">
        <f>'Overview IB'!N51</f>
        <v>0</v>
      </c>
      <c r="L36" s="132">
        <f>'Overview IB'!O51</f>
        <v>0</v>
      </c>
      <c r="M36" s="132">
        <f>'Overview IB'!P51</f>
        <v>0</v>
      </c>
      <c r="N36" s="132">
        <f>'Overview IB'!Q51</f>
        <v>0</v>
      </c>
      <c r="O36" s="132">
        <f>'Overview IB'!R51</f>
        <v>0</v>
      </c>
      <c r="P36" s="156"/>
      <c r="Q36" s="132">
        <f t="shared" si="3"/>
        <v>0</v>
      </c>
      <c r="R36" s="103"/>
      <c r="S36" s="157">
        <f t="shared" si="1"/>
        <v>0</v>
      </c>
      <c r="T36" s="168"/>
      <c r="U36" s="133"/>
      <c r="V36" s="133"/>
      <c r="W36" s="133"/>
      <c r="X36" s="133"/>
      <c r="Y36" s="133"/>
      <c r="Z36" s="133"/>
      <c r="AA36" s="133"/>
      <c r="AB36" s="133"/>
      <c r="AC36" s="133"/>
      <c r="AD36" s="133"/>
      <c r="AE36" s="31"/>
    </row>
    <row r="37" spans="2:31" x14ac:dyDescent="0.25">
      <c r="B37" s="81"/>
      <c r="C37" s="52" t="s">
        <v>41</v>
      </c>
      <c r="D37" s="132">
        <f>'Overview IB'!D52</f>
        <v>0</v>
      </c>
      <c r="E37" s="132">
        <f>'Overview IB'!E52</f>
        <v>0</v>
      </c>
      <c r="F37" s="132">
        <f>'Overview IB'!I52</f>
        <v>0</v>
      </c>
      <c r="G37" s="132">
        <f>'Overview IB'!J52</f>
        <v>0</v>
      </c>
      <c r="H37" s="132">
        <f>'Overview IB'!K52</f>
        <v>0</v>
      </c>
      <c r="I37" s="132">
        <f>'Overview IB'!L52</f>
        <v>0</v>
      </c>
      <c r="J37" s="132">
        <f>'Overview IB'!M52</f>
        <v>0</v>
      </c>
      <c r="K37" s="132">
        <f>'Overview IB'!N52</f>
        <v>0</v>
      </c>
      <c r="L37" s="132">
        <f>'Overview IB'!O52</f>
        <v>0</v>
      </c>
      <c r="M37" s="132">
        <f>'Overview IB'!P52</f>
        <v>0</v>
      </c>
      <c r="N37" s="132">
        <f>'Overview IB'!Q52</f>
        <v>0</v>
      </c>
      <c r="O37" s="132">
        <f>'Overview IB'!R52</f>
        <v>0</v>
      </c>
      <c r="P37" s="156"/>
      <c r="Q37" s="132">
        <f t="shared" si="3"/>
        <v>0</v>
      </c>
      <c r="R37" s="103"/>
      <c r="S37" s="157">
        <f t="shared" si="1"/>
        <v>0</v>
      </c>
      <c r="T37" s="172"/>
      <c r="U37" s="133"/>
      <c r="V37" s="133"/>
      <c r="W37" s="133"/>
      <c r="X37" s="133"/>
      <c r="Y37" s="133"/>
      <c r="Z37" s="133"/>
      <c r="AA37" s="133"/>
      <c r="AB37" s="133"/>
      <c r="AC37" s="133"/>
      <c r="AD37" s="133"/>
      <c r="AE37" s="31"/>
    </row>
    <row r="38" spans="2:31" x14ac:dyDescent="0.25">
      <c r="B38" s="81"/>
      <c r="C38" s="52" t="s">
        <v>42</v>
      </c>
      <c r="D38" s="132">
        <f>'Overview IB'!D53</f>
        <v>0</v>
      </c>
      <c r="E38" s="132">
        <f>'Overview IB'!E53</f>
        <v>0</v>
      </c>
      <c r="F38" s="132">
        <f>'Overview IB'!I53</f>
        <v>0</v>
      </c>
      <c r="G38" s="132">
        <f>'Overview IB'!J53</f>
        <v>0</v>
      </c>
      <c r="H38" s="132">
        <f>'Overview IB'!K53</f>
        <v>0</v>
      </c>
      <c r="I38" s="132">
        <f>'Overview IB'!L53</f>
        <v>0</v>
      </c>
      <c r="J38" s="132">
        <f>'Overview IB'!M53</f>
        <v>0</v>
      </c>
      <c r="K38" s="132">
        <f>'Overview IB'!N53</f>
        <v>0</v>
      </c>
      <c r="L38" s="132">
        <f>'Overview IB'!O53</f>
        <v>0</v>
      </c>
      <c r="M38" s="132">
        <f>'Overview IB'!P53</f>
        <v>0</v>
      </c>
      <c r="N38" s="132">
        <f>'Overview IB'!Q53</f>
        <v>0</v>
      </c>
      <c r="O38" s="132">
        <f>'Overview IB'!R53</f>
        <v>0</v>
      </c>
      <c r="P38" s="156"/>
      <c r="Q38" s="132">
        <f t="shared" si="3"/>
        <v>0</v>
      </c>
      <c r="R38" s="103"/>
      <c r="S38" s="157">
        <f t="shared" si="1"/>
        <v>0</v>
      </c>
      <c r="T38" s="168"/>
      <c r="U38" s="133"/>
      <c r="V38" s="133"/>
      <c r="W38" s="133"/>
      <c r="X38" s="133"/>
      <c r="Y38" s="133"/>
      <c r="Z38" s="133"/>
      <c r="AA38" s="133"/>
      <c r="AB38" s="133"/>
      <c r="AC38" s="133"/>
      <c r="AD38" s="133"/>
      <c r="AE38" s="31"/>
    </row>
    <row r="39" spans="2:31" x14ac:dyDescent="0.25">
      <c r="B39" s="81"/>
      <c r="C39" s="52" t="s">
        <v>43</v>
      </c>
      <c r="D39" s="132">
        <f>'Overview IB'!D54</f>
        <v>0</v>
      </c>
      <c r="E39" s="132">
        <f>'Overview IB'!E54</f>
        <v>0</v>
      </c>
      <c r="F39" s="132">
        <f>'Overview IB'!I54</f>
        <v>0</v>
      </c>
      <c r="G39" s="132">
        <f>'Overview IB'!J54</f>
        <v>0</v>
      </c>
      <c r="H39" s="132">
        <f>'Overview IB'!K54</f>
        <v>0</v>
      </c>
      <c r="I39" s="132">
        <f>'Overview IB'!L54</f>
        <v>0</v>
      </c>
      <c r="J39" s="132">
        <f>'Overview IB'!M54</f>
        <v>0</v>
      </c>
      <c r="K39" s="132">
        <f>'Overview IB'!N54</f>
        <v>0</v>
      </c>
      <c r="L39" s="132">
        <f>'Overview IB'!O54</f>
        <v>0</v>
      </c>
      <c r="M39" s="132">
        <f>'Overview IB'!P54</f>
        <v>0</v>
      </c>
      <c r="N39" s="132">
        <f>'Overview IB'!Q54</f>
        <v>0</v>
      </c>
      <c r="O39" s="132">
        <f>'Overview IB'!R54</f>
        <v>0</v>
      </c>
      <c r="P39" s="156"/>
      <c r="Q39" s="132">
        <f t="shared" si="3"/>
        <v>0</v>
      </c>
      <c r="R39" s="103"/>
      <c r="S39" s="157">
        <f t="shared" si="1"/>
        <v>0</v>
      </c>
      <c r="T39" s="168"/>
      <c r="U39" s="133"/>
      <c r="V39" s="133"/>
      <c r="W39" s="133"/>
      <c r="X39" s="133"/>
      <c r="Y39" s="133"/>
      <c r="Z39" s="133"/>
      <c r="AA39" s="133"/>
      <c r="AB39" s="133"/>
      <c r="AC39" s="133"/>
      <c r="AD39" s="133"/>
      <c r="AE39" s="31"/>
    </row>
    <row r="40" spans="2:31" x14ac:dyDescent="0.25">
      <c r="B40" s="81"/>
      <c r="C40" s="50" t="s">
        <v>67</v>
      </c>
      <c r="D40" s="64">
        <f>'Overview IB'!D55</f>
        <v>0</v>
      </c>
      <c r="E40" s="64">
        <f>'Overview IB'!E55</f>
        <v>0</v>
      </c>
      <c r="F40" s="132">
        <f>'Overview IB'!I55</f>
        <v>0</v>
      </c>
      <c r="G40" s="132">
        <f>'Overview IB'!J55</f>
        <v>0</v>
      </c>
      <c r="H40" s="132">
        <f>'Overview IB'!K55</f>
        <v>0</v>
      </c>
      <c r="I40" s="132">
        <f>'Overview IB'!L55</f>
        <v>0</v>
      </c>
      <c r="J40" s="132">
        <f>'Overview IB'!M55</f>
        <v>0</v>
      </c>
      <c r="K40" s="132">
        <f>'Overview IB'!N55</f>
        <v>0</v>
      </c>
      <c r="L40" s="132">
        <f>'Overview IB'!O55</f>
        <v>0</v>
      </c>
      <c r="M40" s="132">
        <f>'Overview IB'!P55</f>
        <v>0</v>
      </c>
      <c r="N40" s="132">
        <f>'Overview IB'!Q55</f>
        <v>0</v>
      </c>
      <c r="O40" s="132">
        <f>'Overview IB'!R55</f>
        <v>0</v>
      </c>
      <c r="P40" s="32"/>
      <c r="Q40" s="64">
        <f t="shared" si="3"/>
        <v>0</v>
      </c>
      <c r="R40" s="103"/>
      <c r="S40" s="157">
        <f t="shared" si="1"/>
        <v>0</v>
      </c>
      <c r="T40" s="168"/>
      <c r="U40" s="66"/>
      <c r="V40" s="66"/>
      <c r="W40" s="66"/>
      <c r="X40" s="66"/>
      <c r="Y40" s="66"/>
      <c r="Z40" s="66"/>
      <c r="AA40" s="66"/>
      <c r="AB40" s="66"/>
      <c r="AC40" s="66"/>
      <c r="AD40" s="66"/>
      <c r="AE40" s="31"/>
    </row>
    <row r="41" spans="2:31" x14ac:dyDescent="0.25">
      <c r="B41" s="81"/>
      <c r="C41" s="50" t="s">
        <v>68</v>
      </c>
      <c r="D41" s="64">
        <f>'Overview IB'!D56</f>
        <v>0</v>
      </c>
      <c r="E41" s="64">
        <f>'Overview IB'!E56</f>
        <v>0</v>
      </c>
      <c r="F41" s="132">
        <f>'Overview IB'!I56</f>
        <v>0</v>
      </c>
      <c r="G41" s="132">
        <f>'Overview IB'!J56</f>
        <v>0</v>
      </c>
      <c r="H41" s="132">
        <f>'Overview IB'!K56</f>
        <v>0</v>
      </c>
      <c r="I41" s="132">
        <f>'Overview IB'!L56</f>
        <v>0</v>
      </c>
      <c r="J41" s="132">
        <f>'Overview IB'!M56</f>
        <v>0</v>
      </c>
      <c r="K41" s="132">
        <f>'Overview IB'!N56</f>
        <v>0</v>
      </c>
      <c r="L41" s="132">
        <f>'Overview IB'!O56</f>
        <v>0</v>
      </c>
      <c r="M41" s="132">
        <f>'Overview IB'!P56</f>
        <v>0</v>
      </c>
      <c r="N41" s="132">
        <f>'Overview IB'!Q56</f>
        <v>0</v>
      </c>
      <c r="O41" s="132">
        <f>'Overview IB'!R56</f>
        <v>0</v>
      </c>
      <c r="P41" s="32"/>
      <c r="Q41" s="64">
        <f t="shared" si="3"/>
        <v>0</v>
      </c>
      <c r="R41" s="103"/>
      <c r="S41" s="157">
        <f t="shared" si="1"/>
        <v>0</v>
      </c>
      <c r="T41" s="168"/>
      <c r="U41" s="66"/>
      <c r="V41" s="66"/>
      <c r="W41" s="66"/>
      <c r="X41" s="66"/>
      <c r="Y41" s="66"/>
      <c r="Z41" s="66"/>
      <c r="AA41" s="66"/>
      <c r="AB41" s="66"/>
      <c r="AC41" s="66"/>
      <c r="AD41" s="66"/>
      <c r="AE41" s="31"/>
    </row>
    <row r="42" spans="2:31" x14ac:dyDescent="0.25">
      <c r="B42" s="81"/>
      <c r="C42" s="50" t="s">
        <v>25</v>
      </c>
      <c r="D42" s="64">
        <f>'Overview IB'!D57</f>
        <v>0</v>
      </c>
      <c r="E42" s="64">
        <f>'Overview IB'!E57</f>
        <v>0</v>
      </c>
      <c r="F42" s="132">
        <f>'Overview IB'!I57</f>
        <v>0</v>
      </c>
      <c r="G42" s="132">
        <f>'Overview IB'!J57</f>
        <v>0</v>
      </c>
      <c r="H42" s="132">
        <f>'Overview IB'!K57</f>
        <v>0</v>
      </c>
      <c r="I42" s="132">
        <f>'Overview IB'!L57</f>
        <v>0</v>
      </c>
      <c r="J42" s="132">
        <f>'Overview IB'!M57</f>
        <v>0</v>
      </c>
      <c r="K42" s="132">
        <f>'Overview IB'!N57</f>
        <v>0</v>
      </c>
      <c r="L42" s="132">
        <f>'Overview IB'!O57</f>
        <v>0</v>
      </c>
      <c r="M42" s="132">
        <f>'Overview IB'!P57</f>
        <v>0</v>
      </c>
      <c r="N42" s="132">
        <f>'Overview IB'!Q57</f>
        <v>0</v>
      </c>
      <c r="O42" s="132">
        <f>'Overview IB'!R57</f>
        <v>0</v>
      </c>
      <c r="P42" s="32"/>
      <c r="Q42" s="64">
        <f t="shared" si="3"/>
        <v>0</v>
      </c>
      <c r="R42" s="103"/>
      <c r="S42" s="157">
        <f t="shared" si="1"/>
        <v>0</v>
      </c>
      <c r="T42" s="168"/>
      <c r="U42" s="66"/>
      <c r="V42" s="66"/>
      <c r="W42" s="66"/>
      <c r="X42" s="66"/>
      <c r="Y42" s="66"/>
      <c r="Z42" s="66"/>
      <c r="AA42" s="66"/>
      <c r="AB42" s="66"/>
      <c r="AC42" s="66"/>
      <c r="AD42" s="66"/>
      <c r="AE42" s="31"/>
    </row>
    <row r="43" spans="2:31" ht="33" customHeight="1" x14ac:dyDescent="0.25">
      <c r="B43" s="81"/>
      <c r="C43" s="50" t="s">
        <v>117</v>
      </c>
      <c r="D43" s="64">
        <f>'Overview IB'!D58</f>
        <v>0</v>
      </c>
      <c r="E43" s="64">
        <f>'Overview IB'!E58</f>
        <v>0</v>
      </c>
      <c r="F43" s="132">
        <f>'Overview IB'!I58</f>
        <v>0</v>
      </c>
      <c r="G43" s="132">
        <f>'Overview IB'!J58</f>
        <v>0</v>
      </c>
      <c r="H43" s="132">
        <f>'Overview IB'!K58</f>
        <v>0</v>
      </c>
      <c r="I43" s="132">
        <f>'Overview IB'!L58</f>
        <v>0</v>
      </c>
      <c r="J43" s="132">
        <f>'Overview IB'!M58</f>
        <v>0</v>
      </c>
      <c r="K43" s="132">
        <f>'Overview IB'!N58</f>
        <v>0</v>
      </c>
      <c r="L43" s="132">
        <f>'Overview IB'!O58</f>
        <v>0</v>
      </c>
      <c r="M43" s="132">
        <f>'Overview IB'!P58</f>
        <v>0</v>
      </c>
      <c r="N43" s="132">
        <f>'Overview IB'!Q58</f>
        <v>0</v>
      </c>
      <c r="O43" s="132">
        <f>'Overview IB'!R58</f>
        <v>0</v>
      </c>
      <c r="P43" s="32"/>
      <c r="Q43" s="64">
        <f t="shared" si="3"/>
        <v>0</v>
      </c>
      <c r="R43" s="103"/>
      <c r="S43" s="157">
        <f t="shared" si="1"/>
        <v>0</v>
      </c>
      <c r="T43" s="168"/>
      <c r="U43" s="66"/>
      <c r="V43" s="66"/>
      <c r="W43" s="66"/>
      <c r="X43" s="66"/>
      <c r="Y43" s="66"/>
      <c r="Z43" s="66"/>
      <c r="AA43" s="66"/>
      <c r="AB43" s="66"/>
      <c r="AC43" s="66"/>
      <c r="AD43" s="66"/>
      <c r="AE43" s="31"/>
    </row>
    <row r="44" spans="2:31" ht="33" customHeight="1" x14ac:dyDescent="0.25">
      <c r="B44" s="81"/>
      <c r="C44" s="52" t="s">
        <v>118</v>
      </c>
      <c r="D44" s="132">
        <f>'Overview IB'!D59</f>
        <v>0</v>
      </c>
      <c r="E44" s="132">
        <f>'Overview IB'!E59</f>
        <v>0</v>
      </c>
      <c r="F44" s="132">
        <f>'Overview IB'!I59</f>
        <v>0</v>
      </c>
      <c r="G44" s="132">
        <f>'Overview IB'!J59</f>
        <v>0</v>
      </c>
      <c r="H44" s="132">
        <f>'Overview IB'!K59</f>
        <v>0</v>
      </c>
      <c r="I44" s="132">
        <f>'Overview IB'!L59</f>
        <v>0</v>
      </c>
      <c r="J44" s="132">
        <f>'Overview IB'!M59</f>
        <v>0</v>
      </c>
      <c r="K44" s="132">
        <f>'Overview IB'!N59</f>
        <v>0</v>
      </c>
      <c r="L44" s="132">
        <f>'Overview IB'!O59</f>
        <v>0</v>
      </c>
      <c r="M44" s="132">
        <f>'Overview IB'!P59</f>
        <v>0</v>
      </c>
      <c r="N44" s="132">
        <f>'Overview IB'!Q59</f>
        <v>0</v>
      </c>
      <c r="O44" s="132">
        <f>'Overview IB'!R59</f>
        <v>0</v>
      </c>
      <c r="P44" s="156"/>
      <c r="Q44" s="132">
        <f t="shared" si="3"/>
        <v>0</v>
      </c>
      <c r="R44" s="103"/>
      <c r="S44" s="157">
        <f t="shared" si="1"/>
        <v>0</v>
      </c>
      <c r="T44" s="168"/>
      <c r="U44" s="133"/>
      <c r="V44" s="133"/>
      <c r="W44" s="133"/>
      <c r="X44" s="133"/>
      <c r="Y44" s="133"/>
      <c r="Z44" s="133"/>
      <c r="AA44" s="133"/>
      <c r="AB44" s="133"/>
      <c r="AC44" s="133"/>
      <c r="AD44" s="133"/>
      <c r="AE44" s="31"/>
    </row>
    <row r="45" spans="2:31" x14ac:dyDescent="0.25">
      <c r="B45" s="81"/>
      <c r="C45" s="52" t="s">
        <v>57</v>
      </c>
      <c r="D45" s="132">
        <f>'Overview IB'!D60</f>
        <v>0</v>
      </c>
      <c r="E45" s="132">
        <f>'Overview IB'!E60</f>
        <v>0</v>
      </c>
      <c r="F45" s="132">
        <f>'Overview IB'!I60</f>
        <v>0</v>
      </c>
      <c r="G45" s="132">
        <f>'Overview IB'!J60</f>
        <v>0</v>
      </c>
      <c r="H45" s="132">
        <f>'Overview IB'!K60</f>
        <v>0</v>
      </c>
      <c r="I45" s="132">
        <f>'Overview IB'!L60</f>
        <v>0</v>
      </c>
      <c r="J45" s="132">
        <f>'Overview IB'!M60</f>
        <v>0</v>
      </c>
      <c r="K45" s="132">
        <f>'Overview IB'!N60</f>
        <v>0</v>
      </c>
      <c r="L45" s="132">
        <f>'Overview IB'!O60</f>
        <v>0</v>
      </c>
      <c r="M45" s="132">
        <f>'Overview IB'!P60</f>
        <v>0</v>
      </c>
      <c r="N45" s="132">
        <f>'Overview IB'!Q60</f>
        <v>0</v>
      </c>
      <c r="O45" s="132">
        <f>'Overview IB'!R60</f>
        <v>0</v>
      </c>
      <c r="P45" s="156"/>
      <c r="Q45" s="132">
        <f t="shared" si="3"/>
        <v>0</v>
      </c>
      <c r="R45" s="103"/>
      <c r="S45" s="157">
        <f t="shared" si="1"/>
        <v>0</v>
      </c>
      <c r="T45" s="168"/>
      <c r="U45" s="133"/>
      <c r="V45" s="133"/>
      <c r="W45" s="133"/>
      <c r="X45" s="133"/>
      <c r="Y45" s="133"/>
      <c r="Z45" s="133"/>
      <c r="AA45" s="133"/>
      <c r="AB45" s="133"/>
      <c r="AC45" s="133"/>
      <c r="AD45" s="133"/>
      <c r="AE45" s="31"/>
    </row>
    <row r="46" spans="2:31" x14ac:dyDescent="0.25">
      <c r="B46" s="81"/>
      <c r="C46" s="50" t="s">
        <v>44</v>
      </c>
      <c r="D46" s="64">
        <f>'Overview IB'!D61</f>
        <v>0</v>
      </c>
      <c r="E46" s="64">
        <f>'Overview IB'!E61</f>
        <v>0</v>
      </c>
      <c r="F46" s="132">
        <f>'Overview IB'!I61</f>
        <v>0</v>
      </c>
      <c r="G46" s="132">
        <f>'Overview IB'!J61</f>
        <v>0</v>
      </c>
      <c r="H46" s="132">
        <f>'Overview IB'!K61</f>
        <v>0</v>
      </c>
      <c r="I46" s="132">
        <f>'Overview IB'!L61</f>
        <v>0</v>
      </c>
      <c r="J46" s="132">
        <f>'Overview IB'!M61</f>
        <v>0</v>
      </c>
      <c r="K46" s="132">
        <f>'Overview IB'!N61</f>
        <v>0</v>
      </c>
      <c r="L46" s="132">
        <f>'Overview IB'!O61</f>
        <v>0</v>
      </c>
      <c r="M46" s="132">
        <f>'Overview IB'!P61</f>
        <v>0</v>
      </c>
      <c r="N46" s="132">
        <f>'Overview IB'!Q61</f>
        <v>0</v>
      </c>
      <c r="O46" s="132">
        <f>'Overview IB'!R61</f>
        <v>0</v>
      </c>
      <c r="P46" s="32"/>
      <c r="Q46" s="64">
        <f t="shared" si="3"/>
        <v>0</v>
      </c>
      <c r="R46" s="103"/>
      <c r="S46" s="157">
        <f t="shared" si="1"/>
        <v>0</v>
      </c>
      <c r="T46" s="168"/>
      <c r="U46" s="66"/>
      <c r="V46" s="66"/>
      <c r="W46" s="66"/>
      <c r="X46" s="66"/>
      <c r="Y46" s="66"/>
      <c r="Z46" s="66"/>
      <c r="AA46" s="66"/>
      <c r="AB46" s="66"/>
      <c r="AC46" s="66"/>
      <c r="AD46" s="66"/>
      <c r="AE46" s="31"/>
    </row>
    <row r="47" spans="2:31" ht="33" customHeight="1" x14ac:dyDescent="0.25">
      <c r="B47" s="81"/>
      <c r="C47" s="52" t="s">
        <v>81</v>
      </c>
      <c r="D47" s="132">
        <f>'Overview IB'!D62</f>
        <v>0</v>
      </c>
      <c r="E47" s="132">
        <f>'Overview IB'!E62</f>
        <v>0</v>
      </c>
      <c r="F47" s="132">
        <f>'Overview IB'!I62</f>
        <v>0</v>
      </c>
      <c r="G47" s="132">
        <f>'Overview IB'!J62</f>
        <v>0</v>
      </c>
      <c r="H47" s="132">
        <f>'Overview IB'!K62</f>
        <v>0</v>
      </c>
      <c r="I47" s="132">
        <f>'Overview IB'!L62</f>
        <v>0</v>
      </c>
      <c r="J47" s="132">
        <f>'Overview IB'!M62</f>
        <v>0</v>
      </c>
      <c r="K47" s="132">
        <f>'Overview IB'!N62</f>
        <v>0</v>
      </c>
      <c r="L47" s="132">
        <f>'Overview IB'!O62</f>
        <v>0</v>
      </c>
      <c r="M47" s="132">
        <f>'Overview IB'!P62</f>
        <v>0</v>
      </c>
      <c r="N47" s="132">
        <f>'Overview IB'!Q62</f>
        <v>0</v>
      </c>
      <c r="O47" s="132">
        <f>'Overview IB'!R62</f>
        <v>0</v>
      </c>
      <c r="P47" s="156"/>
      <c r="Q47" s="132">
        <f t="shared" si="3"/>
        <v>0</v>
      </c>
      <c r="R47" s="103"/>
      <c r="S47" s="157">
        <f t="shared" si="1"/>
        <v>0</v>
      </c>
      <c r="T47" s="168"/>
      <c r="U47" s="133"/>
      <c r="V47" s="133"/>
      <c r="W47" s="133"/>
      <c r="X47" s="133"/>
      <c r="Y47" s="133"/>
      <c r="Z47" s="133"/>
      <c r="AA47" s="133"/>
      <c r="AB47" s="133"/>
      <c r="AC47" s="133"/>
      <c r="AD47" s="133"/>
      <c r="AE47" s="31"/>
    </row>
    <row r="48" spans="2:31" ht="45" x14ac:dyDescent="0.25">
      <c r="B48" s="81"/>
      <c r="C48" s="8" t="s">
        <v>147</v>
      </c>
      <c r="D48" s="152" t="s">
        <v>72</v>
      </c>
      <c r="E48" s="152" t="s">
        <v>125</v>
      </c>
      <c r="F48" s="86" t="s">
        <v>129</v>
      </c>
      <c r="G48" s="86" t="s">
        <v>130</v>
      </c>
      <c r="H48" s="86" t="s">
        <v>131</v>
      </c>
      <c r="I48" s="86" t="s">
        <v>132</v>
      </c>
      <c r="J48" s="86" t="s">
        <v>133</v>
      </c>
      <c r="K48" s="86" t="s">
        <v>134</v>
      </c>
      <c r="L48" s="86" t="s">
        <v>135</v>
      </c>
      <c r="M48" s="86" t="s">
        <v>136</v>
      </c>
      <c r="N48" s="86" t="s">
        <v>137</v>
      </c>
      <c r="O48" s="86" t="s">
        <v>138</v>
      </c>
      <c r="P48" s="32"/>
      <c r="Q48" s="85" t="s">
        <v>29</v>
      </c>
      <c r="R48" s="85" t="s">
        <v>124</v>
      </c>
      <c r="S48" s="76" t="s">
        <v>8</v>
      </c>
      <c r="T48" s="8" t="s">
        <v>61</v>
      </c>
      <c r="U48" s="86" t="s">
        <v>129</v>
      </c>
      <c r="V48" s="86" t="s">
        <v>130</v>
      </c>
      <c r="W48" s="86" t="s">
        <v>131</v>
      </c>
      <c r="X48" s="86" t="s">
        <v>132</v>
      </c>
      <c r="Y48" s="86" t="s">
        <v>133</v>
      </c>
      <c r="Z48" s="86" t="s">
        <v>134</v>
      </c>
      <c r="AA48" s="86" t="s">
        <v>135</v>
      </c>
      <c r="AB48" s="86" t="s">
        <v>136</v>
      </c>
      <c r="AC48" s="86" t="s">
        <v>137</v>
      </c>
      <c r="AD48" s="86" t="s">
        <v>138</v>
      </c>
      <c r="AE48" s="31"/>
    </row>
    <row r="49" spans="2:31" ht="29.25" customHeight="1" x14ac:dyDescent="0.25">
      <c r="B49" s="81"/>
      <c r="C49" s="50" t="s">
        <v>109</v>
      </c>
      <c r="D49" s="64">
        <f>'Overview IB'!D64</f>
        <v>0</v>
      </c>
      <c r="E49" s="64">
        <f>'Overview IB'!E64</f>
        <v>0</v>
      </c>
      <c r="F49" s="132">
        <f>'Overview IB'!I64</f>
        <v>0</v>
      </c>
      <c r="G49" s="132">
        <f>'Overview IB'!J64</f>
        <v>0</v>
      </c>
      <c r="H49" s="132">
        <f>'Overview IB'!K64</f>
        <v>0</v>
      </c>
      <c r="I49" s="132">
        <f>'Overview IB'!L64</f>
        <v>0</v>
      </c>
      <c r="J49" s="132">
        <f>'Overview IB'!M64</f>
        <v>0</v>
      </c>
      <c r="K49" s="132">
        <f>'Overview IB'!N64</f>
        <v>0</v>
      </c>
      <c r="L49" s="132">
        <f>'Overview IB'!O64</f>
        <v>0</v>
      </c>
      <c r="M49" s="132">
        <f>'Overview IB'!P64</f>
        <v>0</v>
      </c>
      <c r="N49" s="132">
        <f>'Overview IB'!Q64</f>
        <v>0</v>
      </c>
      <c r="O49" s="132">
        <f>'Overview IB'!R64</f>
        <v>0</v>
      </c>
      <c r="P49" s="104"/>
      <c r="Q49" s="64">
        <f t="shared" si="3"/>
        <v>0</v>
      </c>
      <c r="R49" s="103"/>
      <c r="S49" s="157">
        <f t="shared" si="1"/>
        <v>0</v>
      </c>
      <c r="T49" s="168"/>
      <c r="U49" s="66"/>
      <c r="V49" s="66"/>
      <c r="W49" s="66"/>
      <c r="X49" s="66"/>
      <c r="Y49" s="66"/>
      <c r="Z49" s="66"/>
      <c r="AA49" s="66"/>
      <c r="AB49" s="66"/>
      <c r="AC49" s="66"/>
      <c r="AD49" s="66"/>
      <c r="AE49" s="31"/>
    </row>
    <row r="50" spans="2:31" x14ac:dyDescent="0.25">
      <c r="B50" s="81"/>
      <c r="C50" s="49" t="s">
        <v>69</v>
      </c>
      <c r="D50" s="64">
        <f>'Overview IB'!D65</f>
        <v>0</v>
      </c>
      <c r="E50" s="64">
        <f>'Overview IB'!E65</f>
        <v>0</v>
      </c>
      <c r="F50" s="132">
        <f>'Overview IB'!I65</f>
        <v>0</v>
      </c>
      <c r="G50" s="132">
        <f>'Overview IB'!J65</f>
        <v>0</v>
      </c>
      <c r="H50" s="132">
        <f>'Overview IB'!K65</f>
        <v>0</v>
      </c>
      <c r="I50" s="132">
        <f>'Overview IB'!L65</f>
        <v>0</v>
      </c>
      <c r="J50" s="132">
        <f>'Overview IB'!M65</f>
        <v>0</v>
      </c>
      <c r="K50" s="132">
        <f>'Overview IB'!N65</f>
        <v>0</v>
      </c>
      <c r="L50" s="132">
        <f>'Overview IB'!O65</f>
        <v>0</v>
      </c>
      <c r="M50" s="132">
        <f>'Overview IB'!P65</f>
        <v>0</v>
      </c>
      <c r="N50" s="132">
        <f>'Overview IB'!Q65</f>
        <v>0</v>
      </c>
      <c r="O50" s="132">
        <f>'Overview IB'!R65</f>
        <v>0</v>
      </c>
      <c r="P50" s="104"/>
      <c r="Q50" s="64">
        <f t="shared" si="3"/>
        <v>0</v>
      </c>
      <c r="R50" s="103"/>
      <c r="S50" s="157">
        <f t="shared" si="1"/>
        <v>0</v>
      </c>
      <c r="T50" s="168"/>
      <c r="U50" s="66"/>
      <c r="V50" s="66"/>
      <c r="W50" s="66"/>
      <c r="X50" s="66"/>
      <c r="Y50" s="66"/>
      <c r="Z50" s="66"/>
      <c r="AA50" s="66"/>
      <c r="AB50" s="66"/>
      <c r="AC50" s="66"/>
      <c r="AD50" s="66"/>
      <c r="AE50" s="31"/>
    </row>
    <row r="51" spans="2:31" ht="13.15" customHeight="1" x14ac:dyDescent="0.25">
      <c r="B51" s="81"/>
      <c r="C51" s="52" t="s">
        <v>64</v>
      </c>
      <c r="D51" s="132">
        <f>'Overview IB'!D66</f>
        <v>0</v>
      </c>
      <c r="E51" s="132">
        <f>'Overview IB'!E66</f>
        <v>0</v>
      </c>
      <c r="F51" s="132">
        <f>'Overview IB'!I66</f>
        <v>0</v>
      </c>
      <c r="G51" s="132">
        <f>'Overview IB'!J66</f>
        <v>0</v>
      </c>
      <c r="H51" s="132">
        <f>'Overview IB'!K66</f>
        <v>0</v>
      </c>
      <c r="I51" s="132">
        <f>'Overview IB'!L66</f>
        <v>0</v>
      </c>
      <c r="J51" s="132">
        <f>'Overview IB'!M66</f>
        <v>0</v>
      </c>
      <c r="K51" s="132">
        <f>'Overview IB'!N66</f>
        <v>0</v>
      </c>
      <c r="L51" s="132">
        <f>'Overview IB'!O66</f>
        <v>0</v>
      </c>
      <c r="M51" s="132">
        <f>'Overview IB'!P66</f>
        <v>0</v>
      </c>
      <c r="N51" s="132">
        <f>'Overview IB'!Q66</f>
        <v>0</v>
      </c>
      <c r="O51" s="132">
        <f>'Overview IB'!R66</f>
        <v>0</v>
      </c>
      <c r="P51" s="102"/>
      <c r="Q51" s="132">
        <f t="shared" si="3"/>
        <v>0</v>
      </c>
      <c r="R51" s="103"/>
      <c r="S51" s="157">
        <f t="shared" si="1"/>
        <v>0</v>
      </c>
      <c r="T51" s="168"/>
      <c r="U51" s="133"/>
      <c r="V51" s="133"/>
      <c r="W51" s="133"/>
      <c r="X51" s="133"/>
      <c r="Y51" s="133"/>
      <c r="Z51" s="133"/>
      <c r="AA51" s="133"/>
      <c r="AB51" s="133"/>
      <c r="AC51" s="133"/>
      <c r="AD51" s="133"/>
      <c r="AE51" s="31"/>
    </row>
    <row r="52" spans="2:31" ht="14.65" customHeight="1" x14ac:dyDescent="0.25">
      <c r="B52" s="81"/>
      <c r="C52" s="49" t="s">
        <v>110</v>
      </c>
      <c r="D52" s="64">
        <f>'Overview IB'!D67</f>
        <v>0</v>
      </c>
      <c r="E52" s="64">
        <f>'Overview IB'!E67</f>
        <v>0</v>
      </c>
      <c r="F52" s="132">
        <f>'Overview IB'!I67</f>
        <v>0</v>
      </c>
      <c r="G52" s="132">
        <f>'Overview IB'!J67</f>
        <v>0</v>
      </c>
      <c r="H52" s="132">
        <f>'Overview IB'!K67</f>
        <v>0</v>
      </c>
      <c r="I52" s="132">
        <f>'Overview IB'!L67</f>
        <v>0</v>
      </c>
      <c r="J52" s="132">
        <f>'Overview IB'!M67</f>
        <v>0</v>
      </c>
      <c r="K52" s="132">
        <f>'Overview IB'!N67</f>
        <v>0</v>
      </c>
      <c r="L52" s="132">
        <f>'Overview IB'!O67</f>
        <v>0</v>
      </c>
      <c r="M52" s="132">
        <f>'Overview IB'!P67</f>
        <v>0</v>
      </c>
      <c r="N52" s="132">
        <f>'Overview IB'!Q67</f>
        <v>0</v>
      </c>
      <c r="O52" s="132">
        <f>'Overview IB'!R67</f>
        <v>0</v>
      </c>
      <c r="P52" s="104"/>
      <c r="Q52" s="64">
        <f t="shared" si="3"/>
        <v>0</v>
      </c>
      <c r="R52" s="103"/>
      <c r="S52" s="157">
        <f t="shared" si="1"/>
        <v>0</v>
      </c>
      <c r="T52" s="168"/>
      <c r="U52" s="66"/>
      <c r="V52" s="66"/>
      <c r="W52" s="66"/>
      <c r="X52" s="66"/>
      <c r="Y52" s="66"/>
      <c r="Z52" s="66"/>
      <c r="AA52" s="66"/>
      <c r="AB52" s="66"/>
      <c r="AC52" s="66"/>
      <c r="AD52" s="66"/>
      <c r="AE52" s="31"/>
    </row>
    <row r="53" spans="2:31" ht="13.15" customHeight="1" x14ac:dyDescent="0.25">
      <c r="B53" s="81"/>
      <c r="C53" s="49" t="s">
        <v>53</v>
      </c>
      <c r="D53" s="64">
        <f>'Overview IB'!D68</f>
        <v>0</v>
      </c>
      <c r="E53" s="64">
        <f>'Overview IB'!E68</f>
        <v>0</v>
      </c>
      <c r="F53" s="132">
        <f>'Overview IB'!I68</f>
        <v>0</v>
      </c>
      <c r="G53" s="132">
        <f>'Overview IB'!J68</f>
        <v>0</v>
      </c>
      <c r="H53" s="132">
        <f>'Overview IB'!K68</f>
        <v>0</v>
      </c>
      <c r="I53" s="132">
        <f>'Overview IB'!L68</f>
        <v>0</v>
      </c>
      <c r="J53" s="132">
        <f>'Overview IB'!M68</f>
        <v>0</v>
      </c>
      <c r="K53" s="132">
        <f>'Overview IB'!N68</f>
        <v>0</v>
      </c>
      <c r="L53" s="132">
        <f>'Overview IB'!O68</f>
        <v>0</v>
      </c>
      <c r="M53" s="132">
        <f>'Overview IB'!P68</f>
        <v>0</v>
      </c>
      <c r="N53" s="132">
        <f>'Overview IB'!Q68</f>
        <v>0</v>
      </c>
      <c r="O53" s="132">
        <f>'Overview IB'!R68</f>
        <v>0</v>
      </c>
      <c r="P53" s="104"/>
      <c r="Q53" s="64">
        <f t="shared" si="3"/>
        <v>0</v>
      </c>
      <c r="R53" s="103"/>
      <c r="S53" s="157">
        <f t="shared" si="1"/>
        <v>0</v>
      </c>
      <c r="T53" s="168"/>
      <c r="U53" s="66"/>
      <c r="V53" s="66"/>
      <c r="W53" s="66"/>
      <c r="X53" s="66"/>
      <c r="Y53" s="66"/>
      <c r="Z53" s="66"/>
      <c r="AA53" s="66"/>
      <c r="AB53" s="66"/>
      <c r="AC53" s="66"/>
      <c r="AD53" s="66"/>
      <c r="AE53" s="31"/>
    </row>
    <row r="54" spans="2:31" ht="33" customHeight="1" x14ac:dyDescent="0.25">
      <c r="B54" s="81"/>
      <c r="C54" s="52" t="s">
        <v>97</v>
      </c>
      <c r="D54" s="132">
        <f>'Overview IB'!D69</f>
        <v>0</v>
      </c>
      <c r="E54" s="132">
        <f>'Overview IB'!E69</f>
        <v>0</v>
      </c>
      <c r="F54" s="132">
        <f>'Overview IB'!I69</f>
        <v>0</v>
      </c>
      <c r="G54" s="132">
        <f>'Overview IB'!J69</f>
        <v>0</v>
      </c>
      <c r="H54" s="132">
        <f>'Overview IB'!K69</f>
        <v>0</v>
      </c>
      <c r="I54" s="132">
        <f>'Overview IB'!L69</f>
        <v>0</v>
      </c>
      <c r="J54" s="132">
        <f>'Overview IB'!M69</f>
        <v>0</v>
      </c>
      <c r="K54" s="132">
        <f>'Overview IB'!N69</f>
        <v>0</v>
      </c>
      <c r="L54" s="132">
        <f>'Overview IB'!O69</f>
        <v>0</v>
      </c>
      <c r="M54" s="132">
        <f>'Overview IB'!P69</f>
        <v>0</v>
      </c>
      <c r="N54" s="132">
        <f>'Overview IB'!Q69</f>
        <v>0</v>
      </c>
      <c r="O54" s="132">
        <f>'Overview IB'!R69</f>
        <v>0</v>
      </c>
      <c r="P54" s="100"/>
      <c r="Q54" s="132">
        <f t="shared" si="3"/>
        <v>0</v>
      </c>
      <c r="R54" s="103"/>
      <c r="S54" s="157">
        <f t="shared" si="1"/>
        <v>0</v>
      </c>
      <c r="T54" s="168"/>
      <c r="U54" s="133"/>
      <c r="V54" s="133"/>
      <c r="W54" s="133"/>
      <c r="X54" s="133"/>
      <c r="Y54" s="133"/>
      <c r="Z54" s="133"/>
      <c r="AA54" s="133"/>
      <c r="AB54" s="133"/>
      <c r="AC54" s="133"/>
      <c r="AD54" s="133"/>
      <c r="AE54" s="31"/>
    </row>
    <row r="55" spans="2:31" ht="13.15" customHeight="1" x14ac:dyDescent="0.25">
      <c r="B55" s="81"/>
      <c r="C55" s="52" t="s">
        <v>65</v>
      </c>
      <c r="D55" s="132">
        <f>'Overview IB'!D70</f>
        <v>0</v>
      </c>
      <c r="E55" s="132">
        <f>'Overview IB'!E70</f>
        <v>0</v>
      </c>
      <c r="F55" s="132">
        <f>'Overview IB'!I70</f>
        <v>0</v>
      </c>
      <c r="G55" s="132">
        <f>'Overview IB'!J70</f>
        <v>0</v>
      </c>
      <c r="H55" s="132">
        <f>'Overview IB'!K70</f>
        <v>0</v>
      </c>
      <c r="I55" s="132">
        <f>'Overview IB'!L70</f>
        <v>0</v>
      </c>
      <c r="J55" s="132">
        <f>'Overview IB'!M70</f>
        <v>0</v>
      </c>
      <c r="K55" s="132">
        <f>'Overview IB'!N70</f>
        <v>0</v>
      </c>
      <c r="L55" s="132">
        <f>'Overview IB'!O70</f>
        <v>0</v>
      </c>
      <c r="M55" s="132">
        <f>'Overview IB'!P70</f>
        <v>0</v>
      </c>
      <c r="N55" s="132">
        <f>'Overview IB'!Q70</f>
        <v>0</v>
      </c>
      <c r="O55" s="132">
        <f>'Overview IB'!R70</f>
        <v>0</v>
      </c>
      <c r="P55" s="100"/>
      <c r="Q55" s="132">
        <f t="shared" si="3"/>
        <v>0</v>
      </c>
      <c r="R55" s="103"/>
      <c r="S55" s="157">
        <f t="shared" si="1"/>
        <v>0</v>
      </c>
      <c r="T55" s="168"/>
      <c r="U55" s="133"/>
      <c r="V55" s="133"/>
      <c r="W55" s="133"/>
      <c r="X55" s="133"/>
      <c r="Y55" s="133"/>
      <c r="Z55" s="133"/>
      <c r="AA55" s="133"/>
      <c r="AB55" s="133"/>
      <c r="AC55" s="133"/>
      <c r="AD55" s="133"/>
      <c r="AE55" s="31"/>
    </row>
    <row r="56" spans="2:31" x14ac:dyDescent="0.25">
      <c r="B56" s="81"/>
      <c r="C56" s="82" t="s">
        <v>74</v>
      </c>
      <c r="D56" s="64">
        <f>'Overview IB'!D71</f>
        <v>0</v>
      </c>
      <c r="E56" s="64">
        <f>'Overview IB'!E71</f>
        <v>0</v>
      </c>
      <c r="F56" s="132">
        <f>'Overview IB'!I71</f>
        <v>0</v>
      </c>
      <c r="G56" s="132">
        <f>'Overview IB'!J71</f>
        <v>0</v>
      </c>
      <c r="H56" s="132">
        <f>'Overview IB'!K71</f>
        <v>0</v>
      </c>
      <c r="I56" s="132">
        <f>'Overview IB'!L71</f>
        <v>0</v>
      </c>
      <c r="J56" s="132">
        <f>'Overview IB'!M71</f>
        <v>0</v>
      </c>
      <c r="K56" s="132">
        <f>'Overview IB'!N71</f>
        <v>0</v>
      </c>
      <c r="L56" s="132">
        <f>'Overview IB'!O71</f>
        <v>0</v>
      </c>
      <c r="M56" s="132">
        <f>'Overview IB'!P71</f>
        <v>0</v>
      </c>
      <c r="N56" s="132">
        <f>'Overview IB'!Q71</f>
        <v>0</v>
      </c>
      <c r="O56" s="132">
        <f>'Overview IB'!R71</f>
        <v>0</v>
      </c>
      <c r="P56" s="91"/>
      <c r="Q56" s="64">
        <f t="shared" si="3"/>
        <v>0</v>
      </c>
      <c r="R56" s="103"/>
      <c r="S56" s="157">
        <f t="shared" si="1"/>
        <v>0</v>
      </c>
      <c r="T56" s="168"/>
      <c r="U56" s="66"/>
      <c r="V56" s="66"/>
      <c r="W56" s="66"/>
      <c r="X56" s="66"/>
      <c r="Y56" s="66"/>
      <c r="Z56" s="66"/>
      <c r="AA56" s="66"/>
      <c r="AB56" s="66"/>
      <c r="AC56" s="66"/>
      <c r="AD56" s="66"/>
      <c r="AE56" s="31"/>
    </row>
    <row r="57" spans="2:31" x14ac:dyDescent="0.25">
      <c r="B57" s="81"/>
      <c r="C57" s="52" t="s">
        <v>75</v>
      </c>
      <c r="D57" s="132">
        <f>'Overview IB'!D72</f>
        <v>0</v>
      </c>
      <c r="E57" s="132">
        <f>'Overview IB'!E72</f>
        <v>0</v>
      </c>
      <c r="F57" s="132">
        <f>'Overview IB'!I72</f>
        <v>0</v>
      </c>
      <c r="G57" s="132">
        <f>'Overview IB'!J72</f>
        <v>0</v>
      </c>
      <c r="H57" s="132">
        <f>'Overview IB'!K72</f>
        <v>0</v>
      </c>
      <c r="I57" s="132">
        <f>'Overview IB'!L72</f>
        <v>0</v>
      </c>
      <c r="J57" s="132">
        <f>'Overview IB'!M72</f>
        <v>0</v>
      </c>
      <c r="K57" s="132">
        <f>'Overview IB'!N72</f>
        <v>0</v>
      </c>
      <c r="L57" s="132">
        <f>'Overview IB'!O72</f>
        <v>0</v>
      </c>
      <c r="M57" s="132">
        <f>'Overview IB'!P72</f>
        <v>0</v>
      </c>
      <c r="N57" s="132">
        <f>'Overview IB'!Q72</f>
        <v>0</v>
      </c>
      <c r="O57" s="132">
        <f>'Overview IB'!R72</f>
        <v>0</v>
      </c>
      <c r="P57" s="100"/>
      <c r="Q57" s="132">
        <f t="shared" si="3"/>
        <v>0</v>
      </c>
      <c r="R57" s="103"/>
      <c r="S57" s="157">
        <f t="shared" si="1"/>
        <v>0</v>
      </c>
      <c r="T57" s="168"/>
      <c r="U57" s="133"/>
      <c r="V57" s="133"/>
      <c r="W57" s="133"/>
      <c r="X57" s="133"/>
      <c r="Y57" s="133"/>
      <c r="Z57" s="133"/>
      <c r="AA57" s="133"/>
      <c r="AB57" s="133"/>
      <c r="AC57" s="133"/>
      <c r="AD57" s="133"/>
      <c r="AE57" s="31"/>
    </row>
    <row r="58" spans="2:31" x14ac:dyDescent="0.25">
      <c r="B58" s="81"/>
      <c r="C58" s="52" t="s">
        <v>76</v>
      </c>
      <c r="D58" s="132">
        <f>'Overview IB'!D73</f>
        <v>0</v>
      </c>
      <c r="E58" s="132">
        <f>'Overview IB'!E73</f>
        <v>0</v>
      </c>
      <c r="F58" s="132">
        <f>'Overview IB'!I73</f>
        <v>0</v>
      </c>
      <c r="G58" s="132">
        <f>'Overview IB'!J73</f>
        <v>0</v>
      </c>
      <c r="H58" s="132">
        <f>'Overview IB'!K73</f>
        <v>0</v>
      </c>
      <c r="I58" s="132">
        <f>'Overview IB'!L73</f>
        <v>0</v>
      </c>
      <c r="J58" s="132">
        <f>'Overview IB'!M73</f>
        <v>0</v>
      </c>
      <c r="K58" s="132">
        <f>'Overview IB'!N73</f>
        <v>0</v>
      </c>
      <c r="L58" s="132">
        <f>'Overview IB'!O73</f>
        <v>0</v>
      </c>
      <c r="M58" s="132">
        <f>'Overview IB'!P73</f>
        <v>0</v>
      </c>
      <c r="N58" s="132">
        <f>'Overview IB'!Q73</f>
        <v>0</v>
      </c>
      <c r="O58" s="132">
        <f>'Overview IB'!R73</f>
        <v>0</v>
      </c>
      <c r="P58" s="100"/>
      <c r="Q58" s="132">
        <f t="shared" si="3"/>
        <v>0</v>
      </c>
      <c r="R58" s="103"/>
      <c r="S58" s="157">
        <f t="shared" si="1"/>
        <v>0</v>
      </c>
      <c r="T58" s="168"/>
      <c r="U58" s="133"/>
      <c r="V58" s="133"/>
      <c r="W58" s="133"/>
      <c r="X58" s="133"/>
      <c r="Y58" s="133"/>
      <c r="Z58" s="133"/>
      <c r="AA58" s="133"/>
      <c r="AB58" s="133"/>
      <c r="AC58" s="133"/>
      <c r="AD58" s="133"/>
      <c r="AE58" s="31"/>
    </row>
    <row r="59" spans="2:31" x14ac:dyDescent="0.25">
      <c r="B59" s="81"/>
      <c r="C59" s="49" t="str">
        <f>'Overview IB'!C74</f>
        <v>Sonstiger Indikator - frei wählbar lt. Indikatorenblatt</v>
      </c>
      <c r="D59" s="64">
        <f>'Overview IB'!D74</f>
        <v>0</v>
      </c>
      <c r="E59" s="64">
        <f>'Overview IB'!E74</f>
        <v>0</v>
      </c>
      <c r="F59" s="132">
        <f>'Overview IB'!I74</f>
        <v>0</v>
      </c>
      <c r="G59" s="132">
        <f>'Overview IB'!J74</f>
        <v>0</v>
      </c>
      <c r="H59" s="132">
        <f>'Overview IB'!K74</f>
        <v>0</v>
      </c>
      <c r="I59" s="132">
        <f>'Overview IB'!L74</f>
        <v>0</v>
      </c>
      <c r="J59" s="132">
        <f>'Overview IB'!M74</f>
        <v>0</v>
      </c>
      <c r="K59" s="132">
        <f>'Overview IB'!N74</f>
        <v>0</v>
      </c>
      <c r="L59" s="132">
        <f>'Overview IB'!O74</f>
        <v>0</v>
      </c>
      <c r="M59" s="132">
        <f>'Overview IB'!P74</f>
        <v>0</v>
      </c>
      <c r="N59" s="132">
        <f>'Overview IB'!Q74</f>
        <v>0</v>
      </c>
      <c r="O59" s="132">
        <f>'Overview IB'!R74</f>
        <v>0</v>
      </c>
      <c r="P59" s="91"/>
      <c r="Q59" s="64">
        <f t="shared" si="3"/>
        <v>0</v>
      </c>
      <c r="R59" s="103"/>
      <c r="S59" s="157">
        <f t="shared" si="1"/>
        <v>0</v>
      </c>
      <c r="T59" s="168"/>
      <c r="U59" s="66"/>
      <c r="V59" s="66"/>
      <c r="W59" s="66"/>
      <c r="X59" s="66"/>
      <c r="Y59" s="66"/>
      <c r="Z59" s="66"/>
      <c r="AA59" s="66"/>
      <c r="AB59" s="66"/>
      <c r="AC59" s="66"/>
      <c r="AD59" s="66"/>
      <c r="AE59" s="31"/>
    </row>
    <row r="60" spans="2:31" x14ac:dyDescent="0.25">
      <c r="B60" s="81"/>
      <c r="C60" s="49" t="str">
        <f>'Overview IB'!C75</f>
        <v>Sonstiger Indikator - frei wählbar lt. Indikatorenblatt</v>
      </c>
      <c r="D60" s="64">
        <f>'Overview IB'!D75</f>
        <v>0</v>
      </c>
      <c r="E60" s="64">
        <f>'Overview IB'!E75</f>
        <v>0</v>
      </c>
      <c r="F60" s="132">
        <f>'Overview IB'!I75</f>
        <v>0</v>
      </c>
      <c r="G60" s="132">
        <f>'Overview IB'!J75</f>
        <v>0</v>
      </c>
      <c r="H60" s="132">
        <f>'Overview IB'!K75</f>
        <v>0</v>
      </c>
      <c r="I60" s="132">
        <f>'Overview IB'!L75</f>
        <v>0</v>
      </c>
      <c r="J60" s="132">
        <f>'Overview IB'!M75</f>
        <v>0</v>
      </c>
      <c r="K60" s="132">
        <f>'Overview IB'!N75</f>
        <v>0</v>
      </c>
      <c r="L60" s="132">
        <f>'Overview IB'!O75</f>
        <v>0</v>
      </c>
      <c r="M60" s="132">
        <f>'Overview IB'!P75</f>
        <v>0</v>
      </c>
      <c r="N60" s="132">
        <f>'Overview IB'!Q75</f>
        <v>0</v>
      </c>
      <c r="O60" s="132">
        <f>'Overview IB'!R75</f>
        <v>0</v>
      </c>
      <c r="P60" s="91"/>
      <c r="Q60" s="64">
        <f t="shared" si="3"/>
        <v>0</v>
      </c>
      <c r="R60" s="103"/>
      <c r="S60" s="157">
        <f t="shared" si="1"/>
        <v>0</v>
      </c>
      <c r="T60" s="168"/>
      <c r="U60" s="66"/>
      <c r="V60" s="66"/>
      <c r="W60" s="66"/>
      <c r="X60" s="66"/>
      <c r="Y60" s="66"/>
      <c r="Z60" s="66"/>
      <c r="AA60" s="66"/>
      <c r="AB60" s="66"/>
      <c r="AC60" s="66"/>
      <c r="AD60" s="66"/>
      <c r="AE60" s="31"/>
    </row>
    <row r="61" spans="2:31" ht="16.5" customHeight="1" x14ac:dyDescent="0.25">
      <c r="B61" s="253"/>
      <c r="C61" s="254"/>
      <c r="D61" s="105"/>
      <c r="E61" s="158"/>
      <c r="F61" s="106"/>
      <c r="G61" s="106"/>
      <c r="H61" s="106"/>
      <c r="I61" s="106"/>
      <c r="J61" s="106"/>
      <c r="K61" s="106"/>
      <c r="L61" s="106"/>
      <c r="M61" s="106"/>
      <c r="N61" s="106"/>
      <c r="O61" s="106"/>
      <c r="P61" s="91"/>
      <c r="Q61" s="107"/>
      <c r="R61" s="107"/>
      <c r="S61" s="108"/>
      <c r="T61" s="121"/>
      <c r="U61" s="106"/>
      <c r="V61" s="106"/>
      <c r="W61" s="106"/>
      <c r="X61" s="106"/>
      <c r="Y61" s="106"/>
      <c r="Z61" s="106"/>
      <c r="AA61" s="106"/>
      <c r="AB61" s="106"/>
      <c r="AC61" s="106"/>
      <c r="AD61" s="106"/>
      <c r="AE61" s="31"/>
    </row>
    <row r="62" spans="2:31" ht="45" x14ac:dyDescent="0.25">
      <c r="B62" s="81"/>
      <c r="C62" s="154" t="s">
        <v>30</v>
      </c>
      <c r="D62" s="152" t="s">
        <v>72</v>
      </c>
      <c r="E62" s="152" t="s">
        <v>125</v>
      </c>
      <c r="F62" s="86" t="s">
        <v>129</v>
      </c>
      <c r="G62" s="86" t="s">
        <v>130</v>
      </c>
      <c r="H62" s="86" t="s">
        <v>131</v>
      </c>
      <c r="I62" s="86" t="s">
        <v>132</v>
      </c>
      <c r="J62" s="86" t="s">
        <v>133</v>
      </c>
      <c r="K62" s="86" t="s">
        <v>134</v>
      </c>
      <c r="L62" s="86" t="s">
        <v>135</v>
      </c>
      <c r="M62" s="86" t="s">
        <v>136</v>
      </c>
      <c r="N62" s="86" t="s">
        <v>137</v>
      </c>
      <c r="O62" s="86" t="s">
        <v>138</v>
      </c>
      <c r="P62" s="32"/>
      <c r="Q62" s="85" t="s">
        <v>29</v>
      </c>
      <c r="R62" s="85" t="s">
        <v>124</v>
      </c>
      <c r="S62" s="76" t="s">
        <v>8</v>
      </c>
      <c r="T62" s="8" t="s">
        <v>61</v>
      </c>
      <c r="U62" s="86" t="s">
        <v>129</v>
      </c>
      <c r="V62" s="86" t="s">
        <v>130</v>
      </c>
      <c r="W62" s="86" t="s">
        <v>131</v>
      </c>
      <c r="X62" s="86" t="s">
        <v>132</v>
      </c>
      <c r="Y62" s="86" t="s">
        <v>133</v>
      </c>
      <c r="Z62" s="86" t="s">
        <v>134</v>
      </c>
      <c r="AA62" s="86" t="s">
        <v>135</v>
      </c>
      <c r="AB62" s="86" t="s">
        <v>136</v>
      </c>
      <c r="AC62" s="86" t="s">
        <v>137</v>
      </c>
      <c r="AD62" s="86" t="s">
        <v>138</v>
      </c>
      <c r="AE62" s="31"/>
    </row>
    <row r="63" spans="2:31" ht="15.75" customHeight="1" x14ac:dyDescent="0.25">
      <c r="B63" s="81"/>
      <c r="C63" s="82" t="s">
        <v>99</v>
      </c>
      <c r="D63" s="138"/>
      <c r="E63" s="136"/>
      <c r="F63" s="205"/>
      <c r="G63" s="178"/>
      <c r="H63" s="178"/>
      <c r="I63" s="178"/>
      <c r="J63" s="178"/>
      <c r="K63" s="178"/>
      <c r="L63" s="178"/>
      <c r="M63" s="178"/>
      <c r="N63" s="178"/>
      <c r="O63" s="179"/>
      <c r="P63" s="32"/>
      <c r="Q63" s="255"/>
      <c r="R63" s="255"/>
      <c r="S63" s="255"/>
      <c r="T63" s="255"/>
      <c r="U63" s="255"/>
      <c r="V63" s="255"/>
      <c r="W63" s="255"/>
      <c r="X63" s="255"/>
      <c r="Y63" s="255"/>
      <c r="Z63" s="255"/>
      <c r="AA63" s="255"/>
      <c r="AB63" s="255"/>
      <c r="AC63" s="255"/>
      <c r="AD63" s="255"/>
      <c r="AE63" s="31"/>
    </row>
    <row r="64" spans="2:31" ht="15.75" customHeight="1" x14ac:dyDescent="0.25">
      <c r="B64" s="81"/>
      <c r="C64" s="75" t="s">
        <v>36</v>
      </c>
      <c r="D64" s="259"/>
      <c r="E64" s="256"/>
      <c r="F64" s="200"/>
      <c r="G64" s="201"/>
      <c r="H64" s="201"/>
      <c r="I64" s="201"/>
      <c r="J64" s="201"/>
      <c r="K64" s="201"/>
      <c r="L64" s="201"/>
      <c r="M64" s="201"/>
      <c r="N64" s="201"/>
      <c r="O64" s="202"/>
      <c r="P64" s="156"/>
      <c r="Q64" s="259"/>
      <c r="R64" s="103">
        <v>21</v>
      </c>
      <c r="S64" s="259"/>
      <c r="T64" s="168"/>
      <c r="U64" s="263" t="s">
        <v>151</v>
      </c>
      <c r="V64" s="264"/>
      <c r="W64" s="264"/>
      <c r="X64" s="264"/>
      <c r="Y64" s="264"/>
      <c r="Z64" s="264"/>
      <c r="AA64" s="264"/>
      <c r="AB64" s="264"/>
      <c r="AC64" s="264"/>
      <c r="AD64" s="265"/>
      <c r="AE64" s="31"/>
    </row>
    <row r="65" spans="2:31" ht="15.75" customHeight="1" x14ac:dyDescent="0.25">
      <c r="B65" s="81"/>
      <c r="C65" s="75" t="s">
        <v>35</v>
      </c>
      <c r="D65" s="260"/>
      <c r="E65" s="257"/>
      <c r="F65" s="200"/>
      <c r="G65" s="201"/>
      <c r="H65" s="201"/>
      <c r="I65" s="201"/>
      <c r="J65" s="201"/>
      <c r="K65" s="201"/>
      <c r="L65" s="201"/>
      <c r="M65" s="201"/>
      <c r="N65" s="201"/>
      <c r="O65" s="202"/>
      <c r="P65" s="156"/>
      <c r="Q65" s="260"/>
      <c r="R65" s="103">
        <v>48</v>
      </c>
      <c r="S65" s="260"/>
      <c r="T65" s="168"/>
      <c r="U65" s="266"/>
      <c r="V65" s="267"/>
      <c r="W65" s="267"/>
      <c r="X65" s="267"/>
      <c r="Y65" s="267"/>
      <c r="Z65" s="267"/>
      <c r="AA65" s="267"/>
      <c r="AB65" s="267"/>
      <c r="AC65" s="267"/>
      <c r="AD65" s="268"/>
      <c r="AE65" s="31"/>
    </row>
    <row r="66" spans="2:31" ht="15.75" customHeight="1" x14ac:dyDescent="0.25">
      <c r="B66" s="81"/>
      <c r="C66" s="75" t="s">
        <v>102</v>
      </c>
      <c r="D66" s="260"/>
      <c r="E66" s="257"/>
      <c r="F66" s="200"/>
      <c r="G66" s="201"/>
      <c r="H66" s="201"/>
      <c r="I66" s="201"/>
      <c r="J66" s="201"/>
      <c r="K66" s="201"/>
      <c r="L66" s="201"/>
      <c r="M66" s="201"/>
      <c r="N66" s="201"/>
      <c r="O66" s="202"/>
      <c r="P66" s="156"/>
      <c r="Q66" s="260"/>
      <c r="R66" s="103">
        <v>4</v>
      </c>
      <c r="S66" s="260"/>
      <c r="T66" s="168"/>
      <c r="U66" s="266"/>
      <c r="V66" s="267"/>
      <c r="W66" s="267"/>
      <c r="X66" s="267"/>
      <c r="Y66" s="267"/>
      <c r="Z66" s="267"/>
      <c r="AA66" s="267"/>
      <c r="AB66" s="267"/>
      <c r="AC66" s="267"/>
      <c r="AD66" s="268"/>
      <c r="AE66" s="31"/>
    </row>
    <row r="67" spans="2:31" ht="15.75" customHeight="1" x14ac:dyDescent="0.25">
      <c r="B67" s="81"/>
      <c r="C67" s="75" t="s">
        <v>88</v>
      </c>
      <c r="D67" s="260"/>
      <c r="E67" s="257"/>
      <c r="F67" s="200"/>
      <c r="G67" s="201"/>
      <c r="H67" s="201"/>
      <c r="I67" s="201"/>
      <c r="J67" s="201"/>
      <c r="K67" s="201"/>
      <c r="L67" s="201"/>
      <c r="M67" s="201"/>
      <c r="N67" s="201"/>
      <c r="O67" s="202"/>
      <c r="P67" s="156"/>
      <c r="Q67" s="260"/>
      <c r="R67" s="103">
        <v>4</v>
      </c>
      <c r="S67" s="260"/>
      <c r="T67" s="168"/>
      <c r="U67" s="266"/>
      <c r="V67" s="267"/>
      <c r="W67" s="267"/>
      <c r="X67" s="267"/>
      <c r="Y67" s="267"/>
      <c r="Z67" s="267"/>
      <c r="AA67" s="267"/>
      <c r="AB67" s="267"/>
      <c r="AC67" s="267"/>
      <c r="AD67" s="268"/>
      <c r="AE67" s="31"/>
    </row>
    <row r="68" spans="2:31" ht="15.75" customHeight="1" x14ac:dyDescent="0.25">
      <c r="B68" s="81"/>
      <c r="C68" s="75" t="s">
        <v>87</v>
      </c>
      <c r="D68" s="260"/>
      <c r="E68" s="257"/>
      <c r="F68" s="200"/>
      <c r="G68" s="201"/>
      <c r="H68" s="201"/>
      <c r="I68" s="201"/>
      <c r="J68" s="201"/>
      <c r="K68" s="201"/>
      <c r="L68" s="201"/>
      <c r="M68" s="201"/>
      <c r="N68" s="201"/>
      <c r="O68" s="202"/>
      <c r="P68" s="156"/>
      <c r="Q68" s="260"/>
      <c r="R68" s="103">
        <v>5</v>
      </c>
      <c r="S68" s="260"/>
      <c r="T68" s="168"/>
      <c r="U68" s="266"/>
      <c r="V68" s="267"/>
      <c r="W68" s="267"/>
      <c r="X68" s="267"/>
      <c r="Y68" s="267"/>
      <c r="Z68" s="267"/>
      <c r="AA68" s="267"/>
      <c r="AB68" s="267"/>
      <c r="AC68" s="267"/>
      <c r="AD68" s="268"/>
      <c r="AE68" s="31"/>
    </row>
    <row r="69" spans="2:31" ht="15.75" customHeight="1" x14ac:dyDescent="0.25">
      <c r="B69" s="81"/>
      <c r="C69" s="75" t="s">
        <v>37</v>
      </c>
      <c r="D69" s="260"/>
      <c r="E69" s="257"/>
      <c r="F69" s="200"/>
      <c r="G69" s="201"/>
      <c r="H69" s="201"/>
      <c r="I69" s="201"/>
      <c r="J69" s="201"/>
      <c r="K69" s="201"/>
      <c r="L69" s="201"/>
      <c r="M69" s="201"/>
      <c r="N69" s="201"/>
      <c r="O69" s="202"/>
      <c r="P69" s="156"/>
      <c r="Q69" s="260"/>
      <c r="R69" s="103">
        <v>0</v>
      </c>
      <c r="S69" s="260"/>
      <c r="T69" s="168"/>
      <c r="U69" s="266"/>
      <c r="V69" s="267"/>
      <c r="W69" s="267"/>
      <c r="X69" s="267"/>
      <c r="Y69" s="267"/>
      <c r="Z69" s="267"/>
      <c r="AA69" s="267"/>
      <c r="AB69" s="267"/>
      <c r="AC69" s="267"/>
      <c r="AD69" s="268"/>
      <c r="AE69" s="31"/>
    </row>
    <row r="70" spans="2:31" ht="15.75" customHeight="1" x14ac:dyDescent="0.25">
      <c r="B70" s="81"/>
      <c r="C70" s="75" t="s">
        <v>103</v>
      </c>
      <c r="D70" s="261"/>
      <c r="E70" s="258"/>
      <c r="F70" s="200"/>
      <c r="G70" s="201"/>
      <c r="H70" s="201"/>
      <c r="I70" s="201"/>
      <c r="J70" s="201"/>
      <c r="K70" s="201"/>
      <c r="L70" s="201"/>
      <c r="M70" s="201"/>
      <c r="N70" s="201"/>
      <c r="O70" s="202"/>
      <c r="P70" s="156"/>
      <c r="Q70" s="261"/>
      <c r="R70" s="132">
        <f>SUM(R64:R69)</f>
        <v>82</v>
      </c>
      <c r="S70" s="261"/>
      <c r="T70" s="168"/>
      <c r="U70" s="269"/>
      <c r="V70" s="270"/>
      <c r="W70" s="270"/>
      <c r="X70" s="270"/>
      <c r="Y70" s="270"/>
      <c r="Z70" s="270"/>
      <c r="AA70" s="270"/>
      <c r="AB70" s="270"/>
      <c r="AC70" s="270"/>
      <c r="AD70" s="271"/>
      <c r="AE70" s="31"/>
    </row>
    <row r="71" spans="2:31" ht="15.75" customHeight="1" x14ac:dyDescent="0.25">
      <c r="B71" s="81"/>
      <c r="C71" s="53" t="s">
        <v>92</v>
      </c>
      <c r="D71" s="82"/>
      <c r="E71" s="53"/>
      <c r="F71" s="205"/>
      <c r="G71" s="178"/>
      <c r="H71" s="178"/>
      <c r="I71" s="178"/>
      <c r="J71" s="178"/>
      <c r="K71" s="178"/>
      <c r="L71" s="178"/>
      <c r="M71" s="178"/>
      <c r="N71" s="178"/>
      <c r="O71" s="179"/>
      <c r="P71" s="32"/>
      <c r="Q71" s="255"/>
      <c r="R71" s="255"/>
      <c r="S71" s="255"/>
      <c r="T71" s="255"/>
      <c r="U71" s="255"/>
      <c r="V71" s="255"/>
      <c r="W71" s="255"/>
      <c r="X71" s="255"/>
      <c r="Y71" s="255"/>
      <c r="Z71" s="255"/>
      <c r="AA71" s="255"/>
      <c r="AB71" s="255"/>
      <c r="AC71" s="255"/>
      <c r="AD71" s="255"/>
      <c r="AE71" s="31"/>
    </row>
    <row r="72" spans="2:31" ht="15.75" customHeight="1" x14ac:dyDescent="0.25">
      <c r="B72" s="81"/>
      <c r="C72" s="75" t="s">
        <v>111</v>
      </c>
      <c r="D72" s="132">
        <f>'Overview IB'!D87</f>
        <v>0</v>
      </c>
      <c r="E72" s="132">
        <f>'Overview IB'!E87</f>
        <v>0</v>
      </c>
      <c r="F72" s="205"/>
      <c r="G72" s="178"/>
      <c r="H72" s="178"/>
      <c r="I72" s="178"/>
      <c r="J72" s="178"/>
      <c r="K72" s="178"/>
      <c r="L72" s="178"/>
      <c r="M72" s="178"/>
      <c r="N72" s="178"/>
      <c r="O72" s="179"/>
      <c r="P72" s="156"/>
      <c r="Q72" s="259"/>
      <c r="R72" s="103">
        <v>0</v>
      </c>
      <c r="S72" s="157">
        <f t="shared" ref="S72:S77" si="4">IF(R72="",0,IF(D72=0,0,IF(E72=0,IF(R72=0,Q72/D72,R72/D72),IF(R72=0,Q72/E72,R72/E72))))</f>
        <v>0</v>
      </c>
      <c r="T72" s="168"/>
      <c r="U72" s="263" t="s">
        <v>151</v>
      </c>
      <c r="V72" s="264"/>
      <c r="W72" s="264"/>
      <c r="X72" s="264"/>
      <c r="Y72" s="264"/>
      <c r="Z72" s="264"/>
      <c r="AA72" s="264"/>
      <c r="AB72" s="264"/>
      <c r="AC72" s="264"/>
      <c r="AD72" s="265"/>
      <c r="AE72" s="31"/>
    </row>
    <row r="73" spans="2:31" ht="15.75" customHeight="1" x14ac:dyDescent="0.25">
      <c r="B73" s="81"/>
      <c r="C73" s="75" t="s">
        <v>112</v>
      </c>
      <c r="D73" s="132">
        <f>'Overview IB'!D88</f>
        <v>0</v>
      </c>
      <c r="E73" s="132">
        <f>'Overview IB'!E88</f>
        <v>0</v>
      </c>
      <c r="F73" s="205"/>
      <c r="G73" s="178"/>
      <c r="H73" s="178"/>
      <c r="I73" s="178"/>
      <c r="J73" s="178"/>
      <c r="K73" s="178"/>
      <c r="L73" s="178"/>
      <c r="M73" s="178"/>
      <c r="N73" s="178"/>
      <c r="O73" s="179"/>
      <c r="P73" s="156"/>
      <c r="Q73" s="260"/>
      <c r="R73" s="103">
        <v>0</v>
      </c>
      <c r="S73" s="157">
        <f t="shared" si="4"/>
        <v>0</v>
      </c>
      <c r="T73" s="168"/>
      <c r="U73" s="266"/>
      <c r="V73" s="267"/>
      <c r="W73" s="267"/>
      <c r="X73" s="267"/>
      <c r="Y73" s="267"/>
      <c r="Z73" s="267"/>
      <c r="AA73" s="267"/>
      <c r="AB73" s="267"/>
      <c r="AC73" s="267"/>
      <c r="AD73" s="268"/>
      <c r="AE73" s="31"/>
    </row>
    <row r="74" spans="2:31" ht="15.75" customHeight="1" x14ac:dyDescent="0.25">
      <c r="B74" s="81"/>
      <c r="C74" s="75" t="s">
        <v>113</v>
      </c>
      <c r="D74" s="132">
        <f>'Overview IB'!D89</f>
        <v>0</v>
      </c>
      <c r="E74" s="132">
        <f>'Overview IB'!E89</f>
        <v>0</v>
      </c>
      <c r="F74" s="205"/>
      <c r="G74" s="178"/>
      <c r="H74" s="178"/>
      <c r="I74" s="178"/>
      <c r="J74" s="178"/>
      <c r="K74" s="178"/>
      <c r="L74" s="178"/>
      <c r="M74" s="178"/>
      <c r="N74" s="178"/>
      <c r="O74" s="179"/>
      <c r="P74" s="156"/>
      <c r="Q74" s="260"/>
      <c r="R74" s="103">
        <v>0</v>
      </c>
      <c r="S74" s="157">
        <f t="shared" si="4"/>
        <v>0</v>
      </c>
      <c r="T74" s="168"/>
      <c r="U74" s="266"/>
      <c r="V74" s="267"/>
      <c r="W74" s="267"/>
      <c r="X74" s="267"/>
      <c r="Y74" s="267"/>
      <c r="Z74" s="267"/>
      <c r="AA74" s="267"/>
      <c r="AB74" s="267"/>
      <c r="AC74" s="267"/>
      <c r="AD74" s="268"/>
      <c r="AE74" s="31"/>
    </row>
    <row r="75" spans="2:31" ht="15.75" customHeight="1" x14ac:dyDescent="0.25">
      <c r="B75" s="81"/>
      <c r="C75" s="75" t="s">
        <v>114</v>
      </c>
      <c r="D75" s="132">
        <f>'Overview IB'!D90</f>
        <v>0</v>
      </c>
      <c r="E75" s="132">
        <f>'Overview IB'!E90</f>
        <v>0</v>
      </c>
      <c r="F75" s="205"/>
      <c r="G75" s="178"/>
      <c r="H75" s="178"/>
      <c r="I75" s="178"/>
      <c r="J75" s="178"/>
      <c r="K75" s="178"/>
      <c r="L75" s="178"/>
      <c r="M75" s="178"/>
      <c r="N75" s="178"/>
      <c r="O75" s="179"/>
      <c r="P75" s="156"/>
      <c r="Q75" s="260"/>
      <c r="R75" s="103">
        <v>10</v>
      </c>
      <c r="S75" s="157">
        <f t="shared" si="4"/>
        <v>0</v>
      </c>
      <c r="T75" s="168"/>
      <c r="U75" s="266"/>
      <c r="V75" s="267"/>
      <c r="W75" s="267"/>
      <c r="X75" s="267"/>
      <c r="Y75" s="267"/>
      <c r="Z75" s="267"/>
      <c r="AA75" s="267"/>
      <c r="AB75" s="267"/>
      <c r="AC75" s="267"/>
      <c r="AD75" s="268"/>
      <c r="AE75" s="31"/>
    </row>
    <row r="76" spans="2:31" ht="15.75" customHeight="1" x14ac:dyDescent="0.25">
      <c r="B76" s="81"/>
      <c r="C76" s="75" t="s">
        <v>115</v>
      </c>
      <c r="D76" s="132">
        <f>'Overview IB'!D91</f>
        <v>0</v>
      </c>
      <c r="E76" s="132">
        <f>'Overview IB'!E91</f>
        <v>0</v>
      </c>
      <c r="F76" s="205"/>
      <c r="G76" s="178"/>
      <c r="H76" s="178"/>
      <c r="I76" s="178"/>
      <c r="J76" s="178"/>
      <c r="K76" s="178"/>
      <c r="L76" s="178"/>
      <c r="M76" s="178"/>
      <c r="N76" s="178"/>
      <c r="O76" s="179"/>
      <c r="P76" s="156"/>
      <c r="Q76" s="260"/>
      <c r="R76" s="103">
        <v>45</v>
      </c>
      <c r="S76" s="157">
        <f t="shared" si="4"/>
        <v>0</v>
      </c>
      <c r="T76" s="168"/>
      <c r="U76" s="266"/>
      <c r="V76" s="267"/>
      <c r="W76" s="267"/>
      <c r="X76" s="267"/>
      <c r="Y76" s="267"/>
      <c r="Z76" s="267"/>
      <c r="AA76" s="267"/>
      <c r="AB76" s="267"/>
      <c r="AC76" s="267"/>
      <c r="AD76" s="268"/>
      <c r="AE76" s="31"/>
    </row>
    <row r="77" spans="2:31" ht="15.75" customHeight="1" x14ac:dyDescent="0.25">
      <c r="B77" s="81"/>
      <c r="C77" s="75" t="s">
        <v>82</v>
      </c>
      <c r="D77" s="132">
        <f>'Overview IB'!D92</f>
        <v>0</v>
      </c>
      <c r="E77" s="132">
        <f>'Overview IB'!E92</f>
        <v>0</v>
      </c>
      <c r="F77" s="205"/>
      <c r="G77" s="178"/>
      <c r="H77" s="178"/>
      <c r="I77" s="178"/>
      <c r="J77" s="178"/>
      <c r="K77" s="178"/>
      <c r="L77" s="178"/>
      <c r="M77" s="178"/>
      <c r="N77" s="178"/>
      <c r="O77" s="179"/>
      <c r="P77" s="156"/>
      <c r="Q77" s="260"/>
      <c r="R77" s="103">
        <v>27</v>
      </c>
      <c r="S77" s="157">
        <f t="shared" si="4"/>
        <v>0</v>
      </c>
      <c r="T77" s="168"/>
      <c r="U77" s="266"/>
      <c r="V77" s="267"/>
      <c r="W77" s="267"/>
      <c r="X77" s="267"/>
      <c r="Y77" s="267"/>
      <c r="Z77" s="267"/>
      <c r="AA77" s="267"/>
      <c r="AB77" s="267"/>
      <c r="AC77" s="267"/>
      <c r="AD77" s="268"/>
      <c r="AE77" s="31"/>
    </row>
    <row r="78" spans="2:31" ht="15.75" customHeight="1" x14ac:dyDescent="0.25">
      <c r="B78" s="81"/>
      <c r="C78" s="75" t="s">
        <v>103</v>
      </c>
      <c r="D78" s="132">
        <f>'Overview IB'!D93</f>
        <v>0</v>
      </c>
      <c r="E78" s="132">
        <f>'Overview IB'!E93</f>
        <v>0</v>
      </c>
      <c r="F78" s="205"/>
      <c r="G78" s="178"/>
      <c r="H78" s="178"/>
      <c r="I78" s="178"/>
      <c r="J78" s="178"/>
      <c r="K78" s="178"/>
      <c r="L78" s="178"/>
      <c r="M78" s="178"/>
      <c r="N78" s="178"/>
      <c r="O78" s="179"/>
      <c r="P78" s="156"/>
      <c r="Q78" s="261"/>
      <c r="R78" s="132">
        <f>SUM(R72:R77)</f>
        <v>82</v>
      </c>
      <c r="S78" s="157">
        <f t="shared" ref="S78:S88" si="5">IF(D78=0,0,IF(E78=0,IF(R78=0,Q78/D78,R78/D78),IF(R78=0,Q78/E78,R78/E78)))</f>
        <v>0</v>
      </c>
      <c r="T78" s="168"/>
      <c r="U78" s="269"/>
      <c r="V78" s="270"/>
      <c r="W78" s="270"/>
      <c r="X78" s="270"/>
      <c r="Y78" s="270"/>
      <c r="Z78" s="270"/>
      <c r="AA78" s="270"/>
      <c r="AB78" s="270"/>
      <c r="AC78" s="270"/>
      <c r="AD78" s="271"/>
      <c r="AE78" s="31"/>
    </row>
    <row r="79" spans="2:31" ht="15.75" customHeight="1" x14ac:dyDescent="0.25">
      <c r="B79" s="81"/>
      <c r="C79" s="53" t="s">
        <v>93</v>
      </c>
      <c r="D79" s="82"/>
      <c r="E79" s="53"/>
      <c r="F79" s="205"/>
      <c r="G79" s="178"/>
      <c r="H79" s="178"/>
      <c r="I79" s="178"/>
      <c r="J79" s="178"/>
      <c r="K79" s="178"/>
      <c r="L79" s="178"/>
      <c r="M79" s="178"/>
      <c r="N79" s="178"/>
      <c r="O79" s="179"/>
      <c r="P79" s="32"/>
      <c r="Q79" s="255"/>
      <c r="R79" s="255"/>
      <c r="S79" s="255"/>
      <c r="T79" s="255"/>
      <c r="U79" s="255"/>
      <c r="V79" s="255"/>
      <c r="W79" s="255"/>
      <c r="X79" s="255"/>
      <c r="Y79" s="255"/>
      <c r="Z79" s="255"/>
      <c r="AA79" s="255"/>
      <c r="AB79" s="255"/>
      <c r="AC79" s="255"/>
      <c r="AD79" s="255"/>
      <c r="AE79" s="31"/>
    </row>
    <row r="80" spans="2:31" ht="15.75" customHeight="1" x14ac:dyDescent="0.25">
      <c r="B80" s="81"/>
      <c r="C80" s="75" t="s">
        <v>32</v>
      </c>
      <c r="D80" s="132">
        <f>'Overview IB'!D95</f>
        <v>0</v>
      </c>
      <c r="E80" s="132">
        <f>'Overview IB'!E95</f>
        <v>0</v>
      </c>
      <c r="F80" s="205"/>
      <c r="G80" s="178"/>
      <c r="H80" s="178"/>
      <c r="I80" s="178"/>
      <c r="J80" s="178"/>
      <c r="K80" s="178"/>
      <c r="L80" s="178"/>
      <c r="M80" s="178"/>
      <c r="N80" s="178"/>
      <c r="O80" s="179"/>
      <c r="P80" s="156"/>
      <c r="Q80" s="259"/>
      <c r="R80" s="103">
        <v>47</v>
      </c>
      <c r="S80" s="157">
        <f t="shared" ref="S80:S86" si="6">IF(R80="",0,IF(D80=0,0,IF(E80=0,IF(R80=0,Q80/D80,R80/D80),IF(R80=0,Q80/E80,R80/E80))))</f>
        <v>0</v>
      </c>
      <c r="T80" s="168"/>
      <c r="U80" s="263" t="s">
        <v>151</v>
      </c>
      <c r="V80" s="264"/>
      <c r="W80" s="264"/>
      <c r="X80" s="264"/>
      <c r="Y80" s="264"/>
      <c r="Z80" s="264"/>
      <c r="AA80" s="264"/>
      <c r="AB80" s="264"/>
      <c r="AC80" s="264"/>
      <c r="AD80" s="265"/>
      <c r="AE80" s="31"/>
    </row>
    <row r="81" spans="2:35" ht="15.75" customHeight="1" x14ac:dyDescent="0.25">
      <c r="B81" s="81"/>
      <c r="C81" s="75" t="s">
        <v>33</v>
      </c>
      <c r="D81" s="132">
        <f>'Overview IB'!D96</f>
        <v>0</v>
      </c>
      <c r="E81" s="132">
        <f>'Overview IB'!E96</f>
        <v>0</v>
      </c>
      <c r="F81" s="205"/>
      <c r="G81" s="178"/>
      <c r="H81" s="178"/>
      <c r="I81" s="178"/>
      <c r="J81" s="178"/>
      <c r="K81" s="178"/>
      <c r="L81" s="178"/>
      <c r="M81" s="178"/>
      <c r="N81" s="178"/>
      <c r="O81" s="179"/>
      <c r="P81" s="156"/>
      <c r="Q81" s="260"/>
      <c r="R81" s="103">
        <v>35</v>
      </c>
      <c r="S81" s="157">
        <f t="shared" si="6"/>
        <v>0</v>
      </c>
      <c r="T81" s="168"/>
      <c r="U81" s="266"/>
      <c r="V81" s="267"/>
      <c r="W81" s="267"/>
      <c r="X81" s="267"/>
      <c r="Y81" s="267"/>
      <c r="Z81" s="267"/>
      <c r="AA81" s="267"/>
      <c r="AB81" s="267"/>
      <c r="AC81" s="267"/>
      <c r="AD81" s="268"/>
      <c r="AE81" s="31"/>
    </row>
    <row r="82" spans="2:35" ht="15.75" customHeight="1" x14ac:dyDescent="0.25">
      <c r="B82" s="81"/>
      <c r="C82" s="75" t="s">
        <v>83</v>
      </c>
      <c r="D82" s="132">
        <f>'Overview IB'!D97</f>
        <v>0</v>
      </c>
      <c r="E82" s="132">
        <f>'Overview IB'!E97</f>
        <v>0</v>
      </c>
      <c r="F82" s="205"/>
      <c r="G82" s="178"/>
      <c r="H82" s="178"/>
      <c r="I82" s="178"/>
      <c r="J82" s="178"/>
      <c r="K82" s="178"/>
      <c r="L82" s="178"/>
      <c r="M82" s="178"/>
      <c r="N82" s="178"/>
      <c r="O82" s="179"/>
      <c r="P82" s="156"/>
      <c r="Q82" s="260"/>
      <c r="R82" s="103">
        <v>0</v>
      </c>
      <c r="S82" s="157">
        <f>IF(R82="",0,IF(D82=0,0,IF(E82=0,IF(R82=0,Q82/D82,R82/D82),IF(R82=0,Q82/E82,R82/E82))))</f>
        <v>0</v>
      </c>
      <c r="T82" s="168"/>
      <c r="U82" s="266"/>
      <c r="V82" s="267"/>
      <c r="W82" s="267"/>
      <c r="X82" s="267"/>
      <c r="Y82" s="267"/>
      <c r="Z82" s="267"/>
      <c r="AA82" s="267"/>
      <c r="AB82" s="267"/>
      <c r="AC82" s="267"/>
      <c r="AD82" s="268"/>
      <c r="AE82" s="31"/>
    </row>
    <row r="83" spans="2:35" ht="15.75" customHeight="1" x14ac:dyDescent="0.25">
      <c r="B83" s="81"/>
      <c r="C83" s="75" t="s">
        <v>116</v>
      </c>
      <c r="D83" s="132">
        <f>'Overview IB'!D98</f>
        <v>0</v>
      </c>
      <c r="E83" s="132">
        <f>'Overview IB'!E98</f>
        <v>0</v>
      </c>
      <c r="F83" s="205"/>
      <c r="G83" s="178"/>
      <c r="H83" s="178"/>
      <c r="I83" s="178"/>
      <c r="J83" s="178"/>
      <c r="K83" s="178"/>
      <c r="L83" s="178"/>
      <c r="M83" s="178"/>
      <c r="N83" s="178"/>
      <c r="O83" s="179"/>
      <c r="P83" s="156"/>
      <c r="Q83" s="260"/>
      <c r="R83" s="103">
        <v>0</v>
      </c>
      <c r="S83" s="157">
        <f>IF(R83="",0,IF(D83=0,0,IF(E83=0,IF(R83=0,Q83/D83,R83/D83),IF(R83=0,Q83/E83,R83/E83))))</f>
        <v>0</v>
      </c>
      <c r="T83" s="168"/>
      <c r="U83" s="266"/>
      <c r="V83" s="267"/>
      <c r="W83" s="267"/>
      <c r="X83" s="267"/>
      <c r="Y83" s="267"/>
      <c r="Z83" s="267"/>
      <c r="AA83" s="267"/>
      <c r="AB83" s="267"/>
      <c r="AC83" s="267"/>
      <c r="AD83" s="268"/>
      <c r="AE83" s="31"/>
    </row>
    <row r="84" spans="2:35" ht="15.75" customHeight="1" x14ac:dyDescent="0.25">
      <c r="B84" s="81"/>
      <c r="C84" s="75" t="s">
        <v>84</v>
      </c>
      <c r="D84" s="132">
        <f>'Overview IB'!D99</f>
        <v>0</v>
      </c>
      <c r="E84" s="132">
        <f>'Overview IB'!E99</f>
        <v>0</v>
      </c>
      <c r="F84" s="205"/>
      <c r="G84" s="178"/>
      <c r="H84" s="178"/>
      <c r="I84" s="178"/>
      <c r="J84" s="178"/>
      <c r="K84" s="178"/>
      <c r="L84" s="178"/>
      <c r="M84" s="178"/>
      <c r="N84" s="178"/>
      <c r="O84" s="179"/>
      <c r="P84" s="156"/>
      <c r="Q84" s="260"/>
      <c r="R84" s="103">
        <v>0</v>
      </c>
      <c r="S84" s="157">
        <f>IF(R84="",0,IF(D84=0,0,IF(E84=0,IF(R84=0,Q84/D84,R84/D84),IF(R84=0,Q84/E84,R84/E84))))</f>
        <v>0</v>
      </c>
      <c r="T84" s="168"/>
      <c r="U84" s="266"/>
      <c r="V84" s="267"/>
      <c r="W84" s="267"/>
      <c r="X84" s="267"/>
      <c r="Y84" s="267"/>
      <c r="Z84" s="267"/>
      <c r="AA84" s="267"/>
      <c r="AB84" s="267"/>
      <c r="AC84" s="267"/>
      <c r="AD84" s="268"/>
      <c r="AE84" s="31"/>
    </row>
    <row r="85" spans="2:35" ht="15.75" customHeight="1" x14ac:dyDescent="0.25">
      <c r="B85" s="81"/>
      <c r="C85" s="75" t="s">
        <v>85</v>
      </c>
      <c r="D85" s="132">
        <f>'Overview IB'!D100</f>
        <v>0</v>
      </c>
      <c r="E85" s="132">
        <f>'Overview IB'!E100</f>
        <v>0</v>
      </c>
      <c r="F85" s="205"/>
      <c r="G85" s="178"/>
      <c r="H85" s="178"/>
      <c r="I85" s="178"/>
      <c r="J85" s="178"/>
      <c r="K85" s="178"/>
      <c r="L85" s="178"/>
      <c r="M85" s="178"/>
      <c r="N85" s="178"/>
      <c r="O85" s="179"/>
      <c r="P85" s="156"/>
      <c r="Q85" s="260"/>
      <c r="R85" s="103">
        <v>0</v>
      </c>
      <c r="S85" s="157">
        <f>IF(R85="",0,IF(D85=0,0,IF(E85=0,IF(R85=0,Q85/D85,R85/D85),IF(R85=0,Q85/E85,R85/E85))))</f>
        <v>0</v>
      </c>
      <c r="T85" s="168"/>
      <c r="U85" s="266"/>
      <c r="V85" s="267"/>
      <c r="W85" s="267"/>
      <c r="X85" s="267"/>
      <c r="Y85" s="267"/>
      <c r="Z85" s="267"/>
      <c r="AA85" s="267"/>
      <c r="AB85" s="267"/>
      <c r="AC85" s="267"/>
      <c r="AD85" s="268"/>
      <c r="AE85" s="31"/>
    </row>
    <row r="86" spans="2:35" ht="18.75" customHeight="1" x14ac:dyDescent="0.25">
      <c r="B86" s="81"/>
      <c r="C86" s="75" t="s">
        <v>86</v>
      </c>
      <c r="D86" s="132">
        <f>'Overview IB'!D101</f>
        <v>0</v>
      </c>
      <c r="E86" s="132">
        <f>'Overview IB'!E101</f>
        <v>0</v>
      </c>
      <c r="F86" s="205"/>
      <c r="G86" s="178"/>
      <c r="H86" s="178"/>
      <c r="I86" s="178"/>
      <c r="J86" s="178"/>
      <c r="K86" s="178"/>
      <c r="L86" s="178"/>
      <c r="M86" s="178"/>
      <c r="N86" s="178"/>
      <c r="O86" s="179"/>
      <c r="P86" s="156"/>
      <c r="Q86" s="260"/>
      <c r="R86" s="103">
        <v>0</v>
      </c>
      <c r="S86" s="157">
        <f t="shared" si="6"/>
        <v>0</v>
      </c>
      <c r="T86" s="168"/>
      <c r="U86" s="266"/>
      <c r="V86" s="267"/>
      <c r="W86" s="267"/>
      <c r="X86" s="267"/>
      <c r="Y86" s="267"/>
      <c r="Z86" s="267"/>
      <c r="AA86" s="267"/>
      <c r="AB86" s="267"/>
      <c r="AC86" s="267"/>
      <c r="AD86" s="268"/>
      <c r="AE86" s="31"/>
    </row>
    <row r="87" spans="2:35" ht="18.75" customHeight="1" x14ac:dyDescent="0.25">
      <c r="B87" s="81"/>
      <c r="C87" s="75" t="s">
        <v>103</v>
      </c>
      <c r="D87" s="132">
        <f>'Overview IB'!D102</f>
        <v>0</v>
      </c>
      <c r="E87" s="132">
        <f>'Overview IB'!E102</f>
        <v>0</v>
      </c>
      <c r="F87" s="205"/>
      <c r="G87" s="178"/>
      <c r="H87" s="178"/>
      <c r="I87" s="178"/>
      <c r="J87" s="178"/>
      <c r="K87" s="178"/>
      <c r="L87" s="178"/>
      <c r="M87" s="178"/>
      <c r="N87" s="178"/>
      <c r="O87" s="179"/>
      <c r="P87" s="156"/>
      <c r="Q87" s="261"/>
      <c r="R87" s="132">
        <f>SUM(R80:R86)</f>
        <v>82</v>
      </c>
      <c r="S87" s="157">
        <f t="shared" si="5"/>
        <v>0</v>
      </c>
      <c r="T87" s="168"/>
      <c r="U87" s="269"/>
      <c r="V87" s="270"/>
      <c r="W87" s="270"/>
      <c r="X87" s="270"/>
      <c r="Y87" s="270"/>
      <c r="Z87" s="270"/>
      <c r="AA87" s="270"/>
      <c r="AB87" s="270"/>
      <c r="AC87" s="270"/>
      <c r="AD87" s="271"/>
      <c r="AE87" s="31"/>
    </row>
    <row r="88" spans="2:35" ht="15.75" customHeight="1" x14ac:dyDescent="0.25">
      <c r="B88" s="81"/>
      <c r="C88" s="53" t="s">
        <v>31</v>
      </c>
      <c r="D88" s="64">
        <f>'Overview IB'!D103</f>
        <v>0</v>
      </c>
      <c r="E88" s="64">
        <f>'Overview IB'!E103</f>
        <v>0</v>
      </c>
      <c r="F88" s="132">
        <f>'Overview IB'!I103</f>
        <v>0</v>
      </c>
      <c r="G88" s="132">
        <f>'Overview IB'!J103</f>
        <v>0</v>
      </c>
      <c r="H88" s="132">
        <f>'Overview IB'!K103</f>
        <v>0</v>
      </c>
      <c r="I88" s="132">
        <f>'Overview IB'!L103</f>
        <v>0</v>
      </c>
      <c r="J88" s="132">
        <f>'Overview IB'!M103</f>
        <v>0</v>
      </c>
      <c r="K88" s="132">
        <f>'Overview IB'!N103</f>
        <v>0</v>
      </c>
      <c r="L88" s="132">
        <f>'Overview IB'!O103</f>
        <v>0</v>
      </c>
      <c r="M88" s="132">
        <f>'Overview IB'!P103</f>
        <v>0</v>
      </c>
      <c r="N88" s="132">
        <f>'Overview IB'!Q103</f>
        <v>0</v>
      </c>
      <c r="O88" s="132">
        <f>'Overview IB'!R103</f>
        <v>0</v>
      </c>
      <c r="P88" s="32"/>
      <c r="Q88" s="64">
        <f t="shared" ref="Q88:Q98" si="7">SUM(U88:AD88)</f>
        <v>0</v>
      </c>
      <c r="R88" s="103">
        <v>69</v>
      </c>
      <c r="S88" s="157">
        <f t="shared" si="5"/>
        <v>0</v>
      </c>
      <c r="T88" s="168"/>
      <c r="U88" s="134"/>
      <c r="V88" s="134"/>
      <c r="W88" s="134"/>
      <c r="X88" s="134"/>
      <c r="Y88" s="134"/>
      <c r="Z88" s="134"/>
      <c r="AA88" s="134"/>
      <c r="AB88" s="134"/>
      <c r="AC88" s="134"/>
      <c r="AD88" s="134"/>
      <c r="AE88" s="31"/>
    </row>
    <row r="89" spans="2:35" ht="15.75" customHeight="1" x14ac:dyDescent="0.25">
      <c r="B89" s="253"/>
      <c r="C89" s="254"/>
      <c r="D89" s="105"/>
      <c r="E89" s="158"/>
      <c r="F89" s="106"/>
      <c r="G89" s="106"/>
      <c r="H89" s="106"/>
      <c r="I89" s="106"/>
      <c r="J89" s="106"/>
      <c r="K89" s="106"/>
      <c r="L89" s="106"/>
      <c r="M89" s="106"/>
      <c r="N89" s="106"/>
      <c r="O89" s="106"/>
      <c r="P89" s="91"/>
      <c r="Q89" s="107"/>
      <c r="R89" s="107"/>
      <c r="S89" s="108"/>
      <c r="T89" s="121"/>
      <c r="U89" s="106"/>
      <c r="V89" s="106"/>
      <c r="W89" s="106"/>
      <c r="X89" s="106"/>
      <c r="Y89" s="106"/>
      <c r="Z89" s="106"/>
      <c r="AA89" s="106"/>
      <c r="AB89" s="106"/>
      <c r="AC89" s="106"/>
      <c r="AD89" s="106"/>
      <c r="AE89" s="31"/>
    </row>
    <row r="90" spans="2:35" ht="45" x14ac:dyDescent="0.25">
      <c r="B90" s="81"/>
      <c r="C90" s="154" t="s">
        <v>38</v>
      </c>
      <c r="D90" s="152" t="s">
        <v>72</v>
      </c>
      <c r="E90" s="152" t="s">
        <v>125</v>
      </c>
      <c r="F90" s="86" t="s">
        <v>129</v>
      </c>
      <c r="G90" s="86" t="s">
        <v>130</v>
      </c>
      <c r="H90" s="86" t="s">
        <v>131</v>
      </c>
      <c r="I90" s="86" t="s">
        <v>132</v>
      </c>
      <c r="J90" s="86" t="s">
        <v>133</v>
      </c>
      <c r="K90" s="86" t="s">
        <v>134</v>
      </c>
      <c r="L90" s="86" t="s">
        <v>135</v>
      </c>
      <c r="M90" s="86" t="s">
        <v>136</v>
      </c>
      <c r="N90" s="86" t="s">
        <v>137</v>
      </c>
      <c r="O90" s="86" t="s">
        <v>138</v>
      </c>
      <c r="P90" s="32"/>
      <c r="Q90" s="85" t="s">
        <v>29</v>
      </c>
      <c r="R90" s="85" t="s">
        <v>124</v>
      </c>
      <c r="S90" s="76" t="s">
        <v>8</v>
      </c>
      <c r="T90" s="8" t="s">
        <v>61</v>
      </c>
      <c r="U90" s="86" t="s">
        <v>129</v>
      </c>
      <c r="V90" s="86" t="s">
        <v>130</v>
      </c>
      <c r="W90" s="86" t="s">
        <v>131</v>
      </c>
      <c r="X90" s="86" t="s">
        <v>132</v>
      </c>
      <c r="Y90" s="86" t="s">
        <v>133</v>
      </c>
      <c r="Z90" s="86" t="s">
        <v>134</v>
      </c>
      <c r="AA90" s="86" t="s">
        <v>135</v>
      </c>
      <c r="AB90" s="86" t="s">
        <v>136</v>
      </c>
      <c r="AC90" s="86" t="s">
        <v>137</v>
      </c>
      <c r="AD90" s="86" t="s">
        <v>138</v>
      </c>
      <c r="AE90" s="31"/>
    </row>
    <row r="91" spans="2:35" ht="36.75" customHeight="1" x14ac:dyDescent="0.25">
      <c r="B91" s="81"/>
      <c r="C91" s="53" t="s">
        <v>148</v>
      </c>
      <c r="D91" s="64">
        <f>'Overview IB'!D106</f>
        <v>0</v>
      </c>
      <c r="E91" s="64">
        <f>'Overview IB'!E106</f>
        <v>0</v>
      </c>
      <c r="F91" s="132">
        <f>'Overview IB'!I106</f>
        <v>0</v>
      </c>
      <c r="G91" s="132">
        <f>'Overview IB'!J106</f>
        <v>0</v>
      </c>
      <c r="H91" s="132">
        <f>'Overview IB'!K106</f>
        <v>0</v>
      </c>
      <c r="I91" s="132">
        <f>'Overview IB'!L106</f>
        <v>0</v>
      </c>
      <c r="J91" s="132">
        <f>'Overview IB'!M106</f>
        <v>0</v>
      </c>
      <c r="K91" s="132">
        <f>'Overview IB'!N106</f>
        <v>0</v>
      </c>
      <c r="L91" s="132">
        <f>'Overview IB'!O106</f>
        <v>0</v>
      </c>
      <c r="M91" s="132">
        <f>'Overview IB'!P106</f>
        <v>0</v>
      </c>
      <c r="N91" s="132">
        <f>'Overview IB'!Q106</f>
        <v>0</v>
      </c>
      <c r="O91" s="132">
        <f>'Overview IB'!R106</f>
        <v>0</v>
      </c>
      <c r="P91" s="32"/>
      <c r="Q91" s="64">
        <f t="shared" si="7"/>
        <v>0</v>
      </c>
      <c r="R91" s="103">
        <v>0</v>
      </c>
      <c r="S91" s="157">
        <f t="shared" ref="S91:S98" si="8">IF(D91=0,0,IF(E91=0,IF(R91=0,Q91/D91,R91/D91),IF(R91=0,Q91/E91,R91/E91)))</f>
        <v>0</v>
      </c>
      <c r="T91" s="168" t="s">
        <v>169</v>
      </c>
      <c r="U91" s="134"/>
      <c r="V91" s="134"/>
      <c r="W91" s="134"/>
      <c r="X91" s="134"/>
      <c r="Y91" s="134"/>
      <c r="Z91" s="134"/>
      <c r="AA91" s="134"/>
      <c r="AB91" s="134"/>
      <c r="AC91" s="134"/>
      <c r="AD91" s="134"/>
      <c r="AE91" s="31"/>
    </row>
    <row r="92" spans="2:35" ht="36.75" customHeight="1" x14ac:dyDescent="0.25">
      <c r="B92" s="81"/>
      <c r="C92" s="53" t="s">
        <v>80</v>
      </c>
      <c r="D92" s="64">
        <f>'Overview IB'!D107</f>
        <v>0</v>
      </c>
      <c r="E92" s="64">
        <f>'Overview IB'!E107</f>
        <v>0</v>
      </c>
      <c r="F92" s="132">
        <f>'Overview IB'!I107</f>
        <v>0</v>
      </c>
      <c r="G92" s="132">
        <f>'Overview IB'!J107</f>
        <v>0</v>
      </c>
      <c r="H92" s="132">
        <f>'Overview IB'!K107</f>
        <v>0</v>
      </c>
      <c r="I92" s="132">
        <f>'Overview IB'!L107</f>
        <v>0</v>
      </c>
      <c r="J92" s="132">
        <f>'Overview IB'!M107</f>
        <v>0</v>
      </c>
      <c r="K92" s="132">
        <f>'Overview IB'!N107</f>
        <v>0</v>
      </c>
      <c r="L92" s="132">
        <f>'Overview IB'!O107</f>
        <v>0</v>
      </c>
      <c r="M92" s="132">
        <f>'Overview IB'!P107</f>
        <v>0</v>
      </c>
      <c r="N92" s="132">
        <f>'Overview IB'!Q107</f>
        <v>0</v>
      </c>
      <c r="O92" s="132">
        <f>'Overview IB'!R107</f>
        <v>0</v>
      </c>
      <c r="P92" s="32"/>
      <c r="Q92" s="64">
        <f t="shared" si="7"/>
        <v>0</v>
      </c>
      <c r="R92" s="103">
        <v>15</v>
      </c>
      <c r="S92" s="157">
        <f t="shared" si="8"/>
        <v>0</v>
      </c>
      <c r="T92" s="177" t="s">
        <v>167</v>
      </c>
      <c r="U92" s="134"/>
      <c r="V92" s="134"/>
      <c r="W92" s="134"/>
      <c r="X92" s="134"/>
      <c r="Y92" s="134"/>
      <c r="Z92" s="134"/>
      <c r="AA92" s="134"/>
      <c r="AB92" s="134"/>
      <c r="AC92" s="134"/>
      <c r="AD92" s="134"/>
      <c r="AE92" s="31"/>
    </row>
    <row r="93" spans="2:35" ht="46.5" customHeight="1" x14ac:dyDescent="0.25">
      <c r="B93" s="81"/>
      <c r="C93" s="53" t="s">
        <v>77</v>
      </c>
      <c r="D93" s="64">
        <f>'Overview IB'!D108</f>
        <v>0</v>
      </c>
      <c r="E93" s="64">
        <f>'Overview IB'!E108</f>
        <v>0</v>
      </c>
      <c r="F93" s="132">
        <f>'Overview IB'!I108</f>
        <v>0</v>
      </c>
      <c r="G93" s="132">
        <f>'Overview IB'!J108</f>
        <v>0</v>
      </c>
      <c r="H93" s="132">
        <f>'Overview IB'!K108</f>
        <v>0</v>
      </c>
      <c r="I93" s="132">
        <f>'Overview IB'!L108</f>
        <v>0</v>
      </c>
      <c r="J93" s="132">
        <f>'Overview IB'!M108</f>
        <v>0</v>
      </c>
      <c r="K93" s="132">
        <f>'Overview IB'!N108</f>
        <v>0</v>
      </c>
      <c r="L93" s="132">
        <f>'Overview IB'!O108</f>
        <v>0</v>
      </c>
      <c r="M93" s="132">
        <f>'Overview IB'!P108</f>
        <v>0</v>
      </c>
      <c r="N93" s="132">
        <f>'Overview IB'!Q108</f>
        <v>0</v>
      </c>
      <c r="O93" s="132">
        <f>'Overview IB'!R108</f>
        <v>0</v>
      </c>
      <c r="P93" s="32"/>
      <c r="Q93" s="64">
        <f t="shared" si="7"/>
        <v>0</v>
      </c>
      <c r="R93" s="103">
        <v>10</v>
      </c>
      <c r="S93" s="157">
        <f t="shared" si="8"/>
        <v>0</v>
      </c>
      <c r="T93" s="177" t="s">
        <v>165</v>
      </c>
      <c r="U93" s="134"/>
      <c r="V93" s="134"/>
      <c r="W93" s="134"/>
      <c r="X93" s="134"/>
      <c r="Y93" s="134"/>
      <c r="Z93" s="134"/>
      <c r="AA93" s="134"/>
      <c r="AB93" s="134"/>
      <c r="AC93" s="134"/>
      <c r="AD93" s="134"/>
      <c r="AE93" s="31"/>
    </row>
    <row r="94" spans="2:35" ht="36.75" customHeight="1" x14ac:dyDescent="0.25">
      <c r="B94" s="81"/>
      <c r="C94" s="53" t="s">
        <v>153</v>
      </c>
      <c r="D94" s="64">
        <f>'Overview IB'!D109</f>
        <v>0</v>
      </c>
      <c r="E94" s="64">
        <f>'Overview IB'!E109</f>
        <v>0</v>
      </c>
      <c r="F94" s="132">
        <f>'Overview IB'!I109</f>
        <v>0</v>
      </c>
      <c r="G94" s="132">
        <f>'Overview IB'!J109</f>
        <v>0</v>
      </c>
      <c r="H94" s="132">
        <f>'Overview IB'!K109</f>
        <v>0</v>
      </c>
      <c r="I94" s="132">
        <f>'Overview IB'!L109</f>
        <v>0</v>
      </c>
      <c r="J94" s="132">
        <f>'Overview IB'!M109</f>
        <v>0</v>
      </c>
      <c r="K94" s="132">
        <f>'Overview IB'!N109</f>
        <v>0</v>
      </c>
      <c r="L94" s="132">
        <f>'Overview IB'!O109</f>
        <v>0</v>
      </c>
      <c r="M94" s="132">
        <f>'Overview IB'!P109</f>
        <v>0</v>
      </c>
      <c r="N94" s="132">
        <f>'Overview IB'!Q109</f>
        <v>0</v>
      </c>
      <c r="O94" s="132">
        <f>'Overview IB'!R109</f>
        <v>0</v>
      </c>
      <c r="P94" s="32"/>
      <c r="Q94" s="64">
        <f t="shared" si="7"/>
        <v>0</v>
      </c>
      <c r="R94" s="103">
        <v>0</v>
      </c>
      <c r="S94" s="157">
        <f t="shared" si="8"/>
        <v>0</v>
      </c>
      <c r="T94" s="177" t="s">
        <v>168</v>
      </c>
      <c r="U94" s="134"/>
      <c r="V94" s="134"/>
      <c r="W94" s="134"/>
      <c r="X94" s="134"/>
      <c r="Y94" s="134"/>
      <c r="Z94" s="134"/>
      <c r="AA94" s="134"/>
      <c r="AB94" s="134"/>
      <c r="AC94" s="134"/>
      <c r="AD94" s="134"/>
      <c r="AE94" s="31"/>
    </row>
    <row r="95" spans="2:35" s="109" customFormat="1" ht="36.75" customHeight="1" x14ac:dyDescent="0.25">
      <c r="B95" s="81"/>
      <c r="C95" s="53" t="s">
        <v>101</v>
      </c>
      <c r="D95" s="64">
        <f>'Overview IB'!D110</f>
        <v>0</v>
      </c>
      <c r="E95" s="64">
        <f>'Overview IB'!E110</f>
        <v>0</v>
      </c>
      <c r="F95" s="132">
        <f>'Overview IB'!I110</f>
        <v>0</v>
      </c>
      <c r="G95" s="132">
        <f>'Overview IB'!J110</f>
        <v>0</v>
      </c>
      <c r="H95" s="132">
        <f>'Overview IB'!K110</f>
        <v>0</v>
      </c>
      <c r="I95" s="132">
        <f>'Overview IB'!L110</f>
        <v>0</v>
      </c>
      <c r="J95" s="132">
        <f>'Overview IB'!M110</f>
        <v>0</v>
      </c>
      <c r="K95" s="132">
        <f>'Overview IB'!N110</f>
        <v>0</v>
      </c>
      <c r="L95" s="132">
        <f>'Overview IB'!O110</f>
        <v>0</v>
      </c>
      <c r="M95" s="132">
        <f>'Overview IB'!P110</f>
        <v>0</v>
      </c>
      <c r="N95" s="132">
        <f>'Overview IB'!Q110</f>
        <v>0</v>
      </c>
      <c r="O95" s="132">
        <f>'Overview IB'!R110</f>
        <v>0</v>
      </c>
      <c r="P95" s="32"/>
      <c r="Q95" s="64">
        <f t="shared" si="7"/>
        <v>0</v>
      </c>
      <c r="R95" s="103">
        <v>7</v>
      </c>
      <c r="S95" s="157">
        <f t="shared" si="8"/>
        <v>0</v>
      </c>
      <c r="T95" s="177" t="s">
        <v>166</v>
      </c>
      <c r="U95" s="134"/>
      <c r="V95" s="134"/>
      <c r="W95" s="134"/>
      <c r="X95" s="134"/>
      <c r="Y95" s="134"/>
      <c r="Z95" s="134"/>
      <c r="AA95" s="134"/>
      <c r="AB95" s="134"/>
      <c r="AC95" s="134"/>
      <c r="AD95" s="134"/>
      <c r="AE95" s="31"/>
      <c r="AF95" s="45"/>
      <c r="AG95" s="45"/>
      <c r="AH95" s="45"/>
      <c r="AI95" s="45"/>
    </row>
    <row r="96" spans="2:35" s="109" customFormat="1" ht="36.75" customHeight="1" x14ac:dyDescent="0.25">
      <c r="B96" s="81"/>
      <c r="C96" s="53" t="s">
        <v>79</v>
      </c>
      <c r="D96" s="64">
        <f>'Overview IB'!D111</f>
        <v>0</v>
      </c>
      <c r="E96" s="64">
        <f>'Overview IB'!E111</f>
        <v>0</v>
      </c>
      <c r="F96" s="132">
        <f>'Overview IB'!I111</f>
        <v>0</v>
      </c>
      <c r="G96" s="132">
        <f>'Overview IB'!J111</f>
        <v>0</v>
      </c>
      <c r="H96" s="132">
        <f>'Overview IB'!K111</f>
        <v>0</v>
      </c>
      <c r="I96" s="132">
        <f>'Overview IB'!L111</f>
        <v>0</v>
      </c>
      <c r="J96" s="132">
        <f>'Overview IB'!M111</f>
        <v>0</v>
      </c>
      <c r="K96" s="132">
        <f>'Overview IB'!N111</f>
        <v>0</v>
      </c>
      <c r="L96" s="132">
        <f>'Overview IB'!O111</f>
        <v>0</v>
      </c>
      <c r="M96" s="132">
        <f>'Overview IB'!P111</f>
        <v>0</v>
      </c>
      <c r="N96" s="132">
        <f>'Overview IB'!Q111</f>
        <v>0</v>
      </c>
      <c r="O96" s="132">
        <f>'Overview IB'!R111</f>
        <v>0</v>
      </c>
      <c r="P96" s="32"/>
      <c r="Q96" s="64">
        <f t="shared" si="7"/>
        <v>0</v>
      </c>
      <c r="R96" s="103">
        <v>9</v>
      </c>
      <c r="S96" s="157">
        <f t="shared" si="8"/>
        <v>0</v>
      </c>
      <c r="T96" s="177" t="s">
        <v>161</v>
      </c>
      <c r="U96" s="134"/>
      <c r="V96" s="134"/>
      <c r="W96" s="134"/>
      <c r="X96" s="134"/>
      <c r="Y96" s="134"/>
      <c r="Z96" s="134"/>
      <c r="AA96" s="134"/>
      <c r="AB96" s="134"/>
      <c r="AC96" s="134"/>
      <c r="AD96" s="134"/>
      <c r="AE96" s="31"/>
      <c r="AF96" s="45"/>
      <c r="AG96" s="45"/>
      <c r="AH96" s="45"/>
      <c r="AI96" s="45"/>
    </row>
    <row r="97" spans="2:35" s="109" customFormat="1" ht="36.75" customHeight="1" x14ac:dyDescent="0.25">
      <c r="B97" s="81"/>
      <c r="C97" s="53" t="s">
        <v>78</v>
      </c>
      <c r="D97" s="64">
        <f>'Overview IB'!D112</f>
        <v>0</v>
      </c>
      <c r="E97" s="64">
        <f>'Overview IB'!E112</f>
        <v>0</v>
      </c>
      <c r="F97" s="132">
        <f>'Overview IB'!I112</f>
        <v>0</v>
      </c>
      <c r="G97" s="132">
        <f>'Overview IB'!J112</f>
        <v>0</v>
      </c>
      <c r="H97" s="132">
        <f>'Overview IB'!K112</f>
        <v>0</v>
      </c>
      <c r="I97" s="132">
        <f>'Overview IB'!L112</f>
        <v>0</v>
      </c>
      <c r="J97" s="132">
        <f>'Overview IB'!M112</f>
        <v>0</v>
      </c>
      <c r="K97" s="132">
        <f>'Overview IB'!N112</f>
        <v>0</v>
      </c>
      <c r="L97" s="132">
        <f>'Overview IB'!O112</f>
        <v>0</v>
      </c>
      <c r="M97" s="132">
        <f>'Overview IB'!P112</f>
        <v>0</v>
      </c>
      <c r="N97" s="132">
        <f>'Overview IB'!Q112</f>
        <v>0</v>
      </c>
      <c r="O97" s="132">
        <f>'Overview IB'!R112</f>
        <v>0</v>
      </c>
      <c r="P97" s="32"/>
      <c r="Q97" s="64">
        <f t="shared" si="7"/>
        <v>0</v>
      </c>
      <c r="R97" s="103">
        <v>14</v>
      </c>
      <c r="S97" s="157">
        <f t="shared" si="8"/>
        <v>0</v>
      </c>
      <c r="T97" s="168" t="s">
        <v>170</v>
      </c>
      <c r="U97" s="134"/>
      <c r="V97" s="134"/>
      <c r="W97" s="134"/>
      <c r="X97" s="134"/>
      <c r="Y97" s="134"/>
      <c r="Z97" s="134"/>
      <c r="AA97" s="134"/>
      <c r="AB97" s="134"/>
      <c r="AC97" s="134"/>
      <c r="AD97" s="134"/>
      <c r="AE97" s="31"/>
      <c r="AF97" s="45"/>
      <c r="AG97" s="45"/>
      <c r="AH97" s="45"/>
      <c r="AI97" s="45"/>
    </row>
    <row r="98" spans="2:35" s="109" customFormat="1" ht="36.75" customHeight="1" x14ac:dyDescent="0.25">
      <c r="B98" s="81"/>
      <c r="C98" s="87" t="str">
        <f>'Overview IB'!C113</f>
        <v xml:space="preserve">Anzahl der Teilnehmenden, die Teilziele auf ihrem Weg zur LAP (gemäß individuellem Bildungsplan) erreicht haben. </v>
      </c>
      <c r="D98" s="64">
        <f>'Overview IB'!D113</f>
        <v>0</v>
      </c>
      <c r="E98" s="64">
        <f>'Overview IB'!E113</f>
        <v>0</v>
      </c>
      <c r="F98" s="132">
        <f>'Overview IB'!I113</f>
        <v>0</v>
      </c>
      <c r="G98" s="132">
        <f>'Overview IB'!J113</f>
        <v>0</v>
      </c>
      <c r="H98" s="132">
        <f>'Overview IB'!K113</f>
        <v>0</v>
      </c>
      <c r="I98" s="132">
        <f>'Overview IB'!L113</f>
        <v>0</v>
      </c>
      <c r="J98" s="132">
        <f>'Overview IB'!M113</f>
        <v>0</v>
      </c>
      <c r="K98" s="132">
        <f>'Overview IB'!N113</f>
        <v>0</v>
      </c>
      <c r="L98" s="132">
        <f>'Overview IB'!O113</f>
        <v>0</v>
      </c>
      <c r="M98" s="132">
        <f>'Overview IB'!P113</f>
        <v>0</v>
      </c>
      <c r="N98" s="132">
        <f>'Overview IB'!Q113</f>
        <v>0</v>
      </c>
      <c r="O98" s="132">
        <f>'Overview IB'!R113</f>
        <v>0</v>
      </c>
      <c r="P98" s="32"/>
      <c r="Q98" s="64">
        <f t="shared" si="7"/>
        <v>0</v>
      </c>
      <c r="R98" s="103">
        <v>33</v>
      </c>
      <c r="S98" s="157">
        <f t="shared" si="8"/>
        <v>0</v>
      </c>
      <c r="T98" s="177" t="s">
        <v>163</v>
      </c>
      <c r="U98" s="134"/>
      <c r="V98" s="134"/>
      <c r="W98" s="134"/>
      <c r="X98" s="134"/>
      <c r="Y98" s="134"/>
      <c r="Z98" s="134"/>
      <c r="AA98" s="134"/>
      <c r="AB98" s="134"/>
      <c r="AC98" s="134"/>
      <c r="AD98" s="134"/>
      <c r="AE98" s="31"/>
      <c r="AF98" s="45"/>
      <c r="AG98" s="45"/>
      <c r="AH98" s="45"/>
      <c r="AI98" s="45"/>
    </row>
    <row r="99" spans="2:35" s="109" customFormat="1" x14ac:dyDescent="0.25">
      <c r="B99" s="110"/>
      <c r="C99" s="34"/>
      <c r="D99" s="11"/>
      <c r="E99" s="11"/>
      <c r="F99" s="34"/>
      <c r="G99" s="34"/>
      <c r="H99" s="34"/>
      <c r="I99" s="34"/>
      <c r="J99" s="34"/>
      <c r="K99" s="34"/>
      <c r="L99" s="34"/>
      <c r="M99" s="34"/>
      <c r="N99" s="34"/>
      <c r="O99" s="34"/>
      <c r="P99" s="34"/>
      <c r="Q99" s="34"/>
      <c r="R99" s="34"/>
      <c r="S99" s="34"/>
      <c r="T99" s="122"/>
      <c r="U99" s="34"/>
      <c r="V99" s="34"/>
      <c r="W99" s="34"/>
      <c r="X99" s="34"/>
      <c r="Y99" s="34"/>
      <c r="Z99" s="34"/>
      <c r="AA99" s="34"/>
      <c r="AB99" s="34"/>
      <c r="AC99" s="34"/>
      <c r="AD99" s="34"/>
      <c r="AE99" s="111"/>
      <c r="AF99" s="45"/>
      <c r="AG99" s="45"/>
      <c r="AH99" s="45"/>
      <c r="AI99" s="45"/>
    </row>
    <row r="100" spans="2:35" s="109" customFormat="1" x14ac:dyDescent="0.25">
      <c r="D100" s="112"/>
      <c r="E100" s="112"/>
      <c r="F100" s="113"/>
      <c r="G100" s="113"/>
      <c r="H100" s="113"/>
      <c r="I100" s="113"/>
      <c r="J100" s="113"/>
      <c r="K100" s="113"/>
      <c r="L100" s="113"/>
      <c r="M100" s="113"/>
      <c r="N100" s="113"/>
      <c r="O100" s="113"/>
      <c r="P100" s="94"/>
      <c r="Q100" s="113"/>
      <c r="R100" s="113"/>
      <c r="S100" s="113"/>
      <c r="T100" s="123"/>
      <c r="U100" s="112"/>
      <c r="V100" s="112"/>
      <c r="W100" s="112"/>
      <c r="X100" s="112"/>
      <c r="Y100" s="112"/>
      <c r="Z100" s="112"/>
      <c r="AA100" s="112"/>
      <c r="AB100" s="112"/>
      <c r="AC100" s="112"/>
      <c r="AD100" s="112"/>
      <c r="AE100" s="45"/>
      <c r="AF100" s="45"/>
      <c r="AG100" s="45"/>
      <c r="AH100" s="45"/>
      <c r="AI100" s="45"/>
    </row>
    <row r="101" spans="2:35" s="109" customFormat="1" x14ac:dyDescent="0.25">
      <c r="D101" s="112"/>
      <c r="E101" s="112"/>
      <c r="F101" s="113"/>
      <c r="G101" s="113"/>
      <c r="H101" s="113"/>
      <c r="I101" s="113"/>
      <c r="J101" s="113"/>
      <c r="K101" s="113"/>
      <c r="L101" s="113"/>
      <c r="M101" s="113"/>
      <c r="N101" s="113"/>
      <c r="O101" s="113"/>
      <c r="P101" s="94"/>
      <c r="Q101" s="113"/>
      <c r="R101" s="113"/>
      <c r="S101" s="113"/>
      <c r="T101" s="123"/>
      <c r="U101" s="112"/>
      <c r="V101" s="112"/>
      <c r="W101" s="112"/>
      <c r="X101" s="112"/>
      <c r="Y101" s="112"/>
      <c r="Z101" s="112"/>
      <c r="AA101" s="112"/>
      <c r="AB101" s="112"/>
      <c r="AC101" s="112"/>
      <c r="AD101" s="112"/>
      <c r="AE101" s="45"/>
      <c r="AF101" s="45"/>
      <c r="AG101" s="45"/>
      <c r="AH101" s="45"/>
      <c r="AI101" s="45"/>
    </row>
    <row r="102" spans="2:35" s="109" customFormat="1" x14ac:dyDescent="0.25">
      <c r="D102" s="112"/>
      <c r="E102" s="112"/>
      <c r="F102" s="114"/>
      <c r="G102" s="114"/>
      <c r="H102" s="114"/>
      <c r="I102" s="114"/>
      <c r="J102" s="114"/>
      <c r="K102" s="114"/>
      <c r="L102" s="114"/>
      <c r="M102" s="114"/>
      <c r="N102" s="114"/>
      <c r="O102" s="114"/>
      <c r="P102" s="94"/>
      <c r="Q102" s="114"/>
      <c r="R102" s="114"/>
      <c r="S102" s="112"/>
      <c r="T102" s="112"/>
      <c r="U102" s="112"/>
      <c r="V102" s="112"/>
      <c r="W102" s="112"/>
      <c r="X102" s="112"/>
      <c r="Y102" s="112"/>
      <c r="Z102" s="112"/>
      <c r="AA102" s="112"/>
      <c r="AB102" s="112"/>
      <c r="AC102" s="112"/>
      <c r="AD102" s="112"/>
      <c r="AE102" s="45"/>
      <c r="AF102" s="45"/>
      <c r="AG102" s="45"/>
      <c r="AH102" s="45"/>
      <c r="AI102" s="45"/>
    </row>
    <row r="103" spans="2:35" s="109" customFormat="1" x14ac:dyDescent="0.25">
      <c r="D103" s="112"/>
      <c r="E103" s="112"/>
      <c r="F103" s="115"/>
      <c r="G103" s="115"/>
      <c r="H103" s="115"/>
      <c r="I103" s="115"/>
      <c r="J103" s="115"/>
      <c r="K103" s="115"/>
      <c r="L103" s="115"/>
      <c r="M103" s="115"/>
      <c r="N103" s="115"/>
      <c r="O103" s="115"/>
      <c r="P103" s="94"/>
      <c r="Q103" s="115"/>
      <c r="R103" s="115"/>
      <c r="S103" s="112"/>
      <c r="T103" s="112"/>
      <c r="U103" s="112"/>
      <c r="V103" s="112"/>
      <c r="W103" s="112"/>
      <c r="X103" s="112"/>
      <c r="Y103" s="112"/>
      <c r="Z103" s="112"/>
      <c r="AB103" s="112"/>
      <c r="AC103" s="112"/>
      <c r="AD103" s="112"/>
      <c r="AE103" s="45"/>
      <c r="AF103" s="45"/>
      <c r="AG103" s="45"/>
      <c r="AH103" s="45"/>
      <c r="AI103" s="45"/>
    </row>
    <row r="104" spans="2:35" s="109" customFormat="1" x14ac:dyDescent="0.25">
      <c r="D104" s="112"/>
      <c r="E104" s="112"/>
      <c r="F104" s="115"/>
      <c r="G104" s="115"/>
      <c r="H104" s="115"/>
      <c r="I104" s="115"/>
      <c r="J104" s="115"/>
      <c r="K104" s="115"/>
      <c r="L104" s="115"/>
      <c r="M104" s="115"/>
      <c r="N104" s="115"/>
      <c r="O104" s="115"/>
      <c r="P104" s="94"/>
      <c r="Q104" s="115"/>
      <c r="R104" s="115"/>
      <c r="S104" s="112"/>
      <c r="T104" s="112"/>
      <c r="U104" s="112"/>
      <c r="V104" s="112"/>
      <c r="W104" s="112"/>
      <c r="X104" s="112"/>
      <c r="Y104" s="112"/>
      <c r="Z104" s="112"/>
      <c r="AA104" s="112"/>
      <c r="AB104" s="112"/>
      <c r="AC104" s="112"/>
      <c r="AD104" s="112"/>
      <c r="AE104" s="45"/>
      <c r="AF104" s="45"/>
      <c r="AG104" s="45"/>
      <c r="AH104" s="45"/>
      <c r="AI104" s="45"/>
    </row>
    <row r="105" spans="2:35" s="109" customFormat="1" x14ac:dyDescent="0.25">
      <c r="D105" s="112"/>
      <c r="E105" s="112"/>
      <c r="F105" s="115"/>
      <c r="G105" s="115"/>
      <c r="H105" s="115"/>
      <c r="I105" s="115"/>
      <c r="J105" s="115"/>
      <c r="K105" s="115"/>
      <c r="L105" s="115"/>
      <c r="M105" s="115"/>
      <c r="N105" s="115"/>
      <c r="O105" s="115"/>
      <c r="P105" s="94"/>
      <c r="Q105" s="115"/>
      <c r="R105" s="115"/>
      <c r="S105" s="112"/>
      <c r="T105" s="112"/>
      <c r="U105" s="112"/>
      <c r="V105" s="112"/>
      <c r="W105" s="112"/>
      <c r="X105" s="112"/>
      <c r="Y105" s="112"/>
      <c r="Z105" s="112"/>
      <c r="AA105" s="112"/>
      <c r="AB105" s="112"/>
      <c r="AC105" s="112"/>
      <c r="AD105" s="112"/>
      <c r="AE105" s="45"/>
      <c r="AF105" s="45"/>
      <c r="AG105" s="45"/>
      <c r="AH105" s="45"/>
      <c r="AI105" s="45"/>
    </row>
    <row r="106" spans="2:35" x14ac:dyDescent="0.25">
      <c r="C106" s="109"/>
      <c r="D106" s="112"/>
      <c r="E106" s="112"/>
      <c r="F106" s="113"/>
      <c r="G106" s="113"/>
      <c r="H106" s="113"/>
      <c r="I106" s="113"/>
      <c r="J106" s="113"/>
      <c r="K106" s="113"/>
      <c r="L106" s="113"/>
      <c r="M106" s="113"/>
      <c r="N106" s="113"/>
      <c r="O106" s="113"/>
      <c r="Q106" s="113"/>
      <c r="R106" s="113"/>
      <c r="S106" s="112"/>
      <c r="T106" s="112"/>
      <c r="U106" s="112"/>
      <c r="V106" s="112"/>
      <c r="W106" s="112"/>
      <c r="X106" s="112"/>
      <c r="Y106" s="112"/>
      <c r="Z106" s="112"/>
      <c r="AA106" s="112"/>
      <c r="AB106" s="112"/>
      <c r="AC106" s="112"/>
      <c r="AD106" s="112"/>
    </row>
    <row r="107" spans="2:35" x14ac:dyDescent="0.25">
      <c r="S107" s="112"/>
      <c r="T107" s="112"/>
      <c r="U107" s="112"/>
      <c r="V107" s="112"/>
      <c r="W107" s="112"/>
      <c r="X107" s="112"/>
      <c r="Y107" s="112"/>
      <c r="Z107" s="112"/>
      <c r="AA107" s="112"/>
      <c r="AB107" s="112"/>
      <c r="AC107" s="112"/>
      <c r="AD107" s="112"/>
    </row>
    <row r="108" spans="2:35" x14ac:dyDescent="0.25">
      <c r="S108" s="112"/>
      <c r="T108" s="112"/>
      <c r="U108" s="112"/>
      <c r="V108" s="112"/>
      <c r="W108" s="112"/>
      <c r="X108" s="112"/>
      <c r="Y108" s="112"/>
      <c r="Z108" s="112"/>
      <c r="AA108" s="112"/>
      <c r="AB108" s="112"/>
      <c r="AC108" s="112"/>
      <c r="AD108" s="112"/>
    </row>
    <row r="109" spans="2:35" x14ac:dyDescent="0.25">
      <c r="S109" s="112"/>
      <c r="T109" s="112"/>
      <c r="U109" s="112"/>
      <c r="V109" s="112"/>
      <c r="W109" s="112"/>
      <c r="X109" s="112"/>
      <c r="Y109" s="112"/>
      <c r="Z109" s="112"/>
      <c r="AA109" s="112"/>
      <c r="AB109" s="112"/>
      <c r="AC109" s="112"/>
      <c r="AD109" s="112"/>
    </row>
    <row r="110" spans="2:35" x14ac:dyDescent="0.25">
      <c r="S110" s="112"/>
      <c r="T110" s="112"/>
      <c r="U110" s="112"/>
      <c r="V110" s="112"/>
      <c r="W110" s="112"/>
      <c r="X110" s="112"/>
      <c r="Y110" s="112"/>
      <c r="Z110" s="112"/>
      <c r="AA110" s="112"/>
      <c r="AB110" s="112"/>
      <c r="AC110" s="112"/>
      <c r="AD110" s="112"/>
    </row>
    <row r="111" spans="2:35" x14ac:dyDescent="0.25">
      <c r="S111" s="112"/>
      <c r="T111" s="112"/>
      <c r="U111" s="112"/>
      <c r="V111" s="112"/>
      <c r="W111" s="112"/>
      <c r="X111" s="112"/>
      <c r="Y111" s="112"/>
      <c r="Z111" s="112"/>
      <c r="AA111" s="112"/>
      <c r="AB111" s="112"/>
      <c r="AC111" s="112"/>
      <c r="AD111" s="112"/>
    </row>
    <row r="112" spans="2:35" x14ac:dyDescent="0.25">
      <c r="S112" s="112"/>
      <c r="T112" s="112"/>
      <c r="U112" s="112"/>
      <c r="V112" s="112"/>
      <c r="W112" s="112"/>
      <c r="X112" s="112"/>
      <c r="Y112" s="112"/>
      <c r="Z112" s="112"/>
      <c r="AA112" s="112"/>
      <c r="AB112" s="112"/>
      <c r="AC112" s="112"/>
      <c r="AD112" s="112"/>
    </row>
    <row r="113" spans="19:30" x14ac:dyDescent="0.25">
      <c r="S113" s="112"/>
      <c r="T113" s="112"/>
      <c r="U113" s="112"/>
      <c r="V113" s="112"/>
      <c r="W113" s="112"/>
      <c r="X113" s="112"/>
      <c r="Y113" s="112"/>
      <c r="Z113" s="112"/>
      <c r="AA113" s="112"/>
      <c r="AB113" s="112"/>
      <c r="AC113" s="112"/>
      <c r="AD113" s="112"/>
    </row>
    <row r="114" spans="19:30" x14ac:dyDescent="0.25">
      <c r="S114" s="112"/>
      <c r="T114" s="112"/>
      <c r="U114" s="112"/>
      <c r="V114" s="112"/>
      <c r="W114" s="112"/>
      <c r="X114" s="112"/>
      <c r="Y114" s="112"/>
      <c r="Z114" s="112"/>
      <c r="AA114" s="112"/>
      <c r="AB114" s="112"/>
      <c r="AC114" s="112"/>
      <c r="AD114" s="112"/>
    </row>
    <row r="115" spans="19:30" x14ac:dyDescent="0.25">
      <c r="S115" s="112"/>
      <c r="T115" s="112"/>
      <c r="U115" s="112"/>
      <c r="V115" s="112"/>
      <c r="W115" s="112"/>
      <c r="X115" s="112"/>
      <c r="Y115" s="112"/>
      <c r="Z115" s="112"/>
      <c r="AA115" s="112"/>
      <c r="AB115" s="112"/>
      <c r="AC115" s="112"/>
      <c r="AD115" s="112"/>
    </row>
    <row r="116" spans="19:30" x14ac:dyDescent="0.25">
      <c r="S116" s="112"/>
      <c r="T116" s="112"/>
      <c r="U116" s="112"/>
      <c r="V116" s="112"/>
      <c r="W116" s="112"/>
      <c r="X116" s="112"/>
      <c r="Y116" s="112"/>
      <c r="Z116" s="112"/>
      <c r="AA116" s="112"/>
      <c r="AB116" s="112"/>
      <c r="AC116" s="112"/>
      <c r="AD116" s="112"/>
    </row>
    <row r="117" spans="19:30" x14ac:dyDescent="0.25">
      <c r="S117" s="112"/>
      <c r="T117" s="112"/>
      <c r="U117" s="112"/>
      <c r="V117" s="112"/>
      <c r="W117" s="112"/>
      <c r="X117" s="112"/>
      <c r="Y117" s="112"/>
      <c r="Z117" s="112"/>
      <c r="AA117" s="112"/>
      <c r="AB117" s="112"/>
      <c r="AC117" s="112"/>
      <c r="AD117" s="112"/>
    </row>
    <row r="118" spans="19:30" x14ac:dyDescent="0.25">
      <c r="T118" s="118"/>
      <c r="V118" s="93"/>
      <c r="Y118" s="93"/>
    </row>
    <row r="119" spans="19:30" x14ac:dyDescent="0.25">
      <c r="T119" s="118"/>
      <c r="V119" s="93"/>
      <c r="Y119" s="93"/>
    </row>
    <row r="120" spans="19:30" x14ac:dyDescent="0.25">
      <c r="T120" s="118"/>
      <c r="V120" s="93"/>
      <c r="Y120" s="93"/>
    </row>
    <row r="121" spans="19:30" x14ac:dyDescent="0.25">
      <c r="T121" s="118"/>
      <c r="V121" s="93"/>
      <c r="Y121" s="93"/>
    </row>
    <row r="122" spans="19:30" x14ac:dyDescent="0.25">
      <c r="T122" s="118"/>
      <c r="V122" s="93"/>
      <c r="Y122" s="93"/>
    </row>
    <row r="123" spans="19:30" x14ac:dyDescent="0.25">
      <c r="T123" s="118"/>
      <c r="V123" s="93"/>
      <c r="Y123" s="93"/>
    </row>
    <row r="124" spans="19:30" x14ac:dyDescent="0.25">
      <c r="T124" s="118"/>
      <c r="V124" s="93"/>
      <c r="Y124" s="93"/>
    </row>
    <row r="125" spans="19:30" x14ac:dyDescent="0.25">
      <c r="T125" s="118"/>
      <c r="V125" s="93"/>
      <c r="Y125" s="93"/>
    </row>
    <row r="126" spans="19:30" x14ac:dyDescent="0.25">
      <c r="T126" s="118"/>
      <c r="V126" s="93"/>
      <c r="Y126" s="93"/>
    </row>
    <row r="127" spans="19:30" x14ac:dyDescent="0.25">
      <c r="T127" s="118"/>
      <c r="V127" s="93"/>
      <c r="Y127" s="93"/>
    </row>
    <row r="128" spans="19:30" x14ac:dyDescent="0.25">
      <c r="T128" s="118"/>
      <c r="V128" s="93"/>
      <c r="Y128" s="93"/>
    </row>
    <row r="129" spans="20:25" x14ac:dyDescent="0.25">
      <c r="T129" s="118"/>
      <c r="V129" s="93"/>
      <c r="Y129" s="93"/>
    </row>
    <row r="130" spans="20:25" x14ac:dyDescent="0.25">
      <c r="T130" s="118"/>
      <c r="V130" s="93"/>
      <c r="Y130" s="93"/>
    </row>
    <row r="131" spans="20:25" x14ac:dyDescent="0.25">
      <c r="T131" s="118"/>
      <c r="V131" s="93"/>
      <c r="Y131" s="93"/>
    </row>
    <row r="132" spans="20:25" x14ac:dyDescent="0.25">
      <c r="T132" s="118"/>
      <c r="V132" s="93"/>
      <c r="Y132" s="93"/>
    </row>
    <row r="133" spans="20:25" x14ac:dyDescent="0.25">
      <c r="T133" s="118"/>
      <c r="V133" s="93"/>
      <c r="Y133" s="93"/>
    </row>
    <row r="134" spans="20:25" x14ac:dyDescent="0.25">
      <c r="T134" s="118"/>
      <c r="V134" s="93"/>
      <c r="Y134" s="93"/>
    </row>
    <row r="135" spans="20:25" x14ac:dyDescent="0.25">
      <c r="T135" s="118"/>
      <c r="V135" s="93"/>
      <c r="Y135" s="93"/>
    </row>
    <row r="136" spans="20:25" x14ac:dyDescent="0.25">
      <c r="T136" s="118"/>
      <c r="V136" s="93"/>
      <c r="Y136" s="93"/>
    </row>
    <row r="137" spans="20:25" x14ac:dyDescent="0.25">
      <c r="T137" s="118"/>
      <c r="V137" s="93"/>
      <c r="Y137" s="93"/>
    </row>
    <row r="138" spans="20:25" x14ac:dyDescent="0.25">
      <c r="T138" s="118"/>
      <c r="V138" s="93"/>
      <c r="Y138" s="93"/>
    </row>
    <row r="139" spans="20:25" x14ac:dyDescent="0.25">
      <c r="T139" s="118"/>
      <c r="V139" s="93"/>
      <c r="Y139" s="93"/>
    </row>
    <row r="140" spans="20:25" x14ac:dyDescent="0.25">
      <c r="T140" s="118"/>
      <c r="V140" s="93"/>
      <c r="Y140" s="93"/>
    </row>
    <row r="141" spans="20:25" x14ac:dyDescent="0.25">
      <c r="T141" s="118"/>
      <c r="V141" s="93"/>
      <c r="Y141" s="93"/>
    </row>
    <row r="142" spans="20:25" x14ac:dyDescent="0.25">
      <c r="T142" s="118"/>
      <c r="V142" s="93"/>
      <c r="Y142" s="93"/>
    </row>
    <row r="143" spans="20:25" x14ac:dyDescent="0.25">
      <c r="T143" s="118"/>
      <c r="V143" s="93"/>
      <c r="Y143" s="93"/>
    </row>
    <row r="144" spans="20:25" x14ac:dyDescent="0.25">
      <c r="T144" s="118"/>
      <c r="V144" s="93"/>
      <c r="Y144" s="93"/>
    </row>
    <row r="145" spans="20:25" x14ac:dyDescent="0.25">
      <c r="T145" s="118"/>
      <c r="V145" s="93"/>
      <c r="Y145" s="93"/>
    </row>
    <row r="146" spans="20:25" x14ac:dyDescent="0.25">
      <c r="T146" s="118"/>
      <c r="V146" s="93"/>
      <c r="Y146" s="93"/>
    </row>
    <row r="147" spans="20:25" x14ac:dyDescent="0.25">
      <c r="T147" s="118"/>
      <c r="V147" s="93"/>
      <c r="Y147" s="93"/>
    </row>
    <row r="148" spans="20:25" x14ac:dyDescent="0.25">
      <c r="T148" s="118"/>
      <c r="V148" s="93"/>
      <c r="Y148" s="93"/>
    </row>
    <row r="149" spans="20:25" x14ac:dyDescent="0.25">
      <c r="T149" s="118"/>
      <c r="V149" s="93"/>
      <c r="Y149" s="93"/>
    </row>
    <row r="150" spans="20:25" x14ac:dyDescent="0.25">
      <c r="T150" s="118"/>
      <c r="V150" s="93"/>
      <c r="Y150" s="93"/>
    </row>
    <row r="151" spans="20:25" x14ac:dyDescent="0.25">
      <c r="T151" s="118"/>
      <c r="V151" s="93"/>
      <c r="Y151" s="93"/>
    </row>
    <row r="152" spans="20:25" x14ac:dyDescent="0.25">
      <c r="T152" s="118"/>
      <c r="V152" s="93"/>
      <c r="Y152" s="93"/>
    </row>
    <row r="153" spans="20:25" x14ac:dyDescent="0.25">
      <c r="T153" s="118"/>
      <c r="V153" s="93"/>
      <c r="Y153" s="93"/>
    </row>
    <row r="154" spans="20:25" x14ac:dyDescent="0.25">
      <c r="T154" s="118"/>
      <c r="V154" s="93"/>
      <c r="Y154" s="93"/>
    </row>
    <row r="155" spans="20:25" x14ac:dyDescent="0.25">
      <c r="T155" s="118"/>
      <c r="V155" s="93"/>
      <c r="Y155" s="93"/>
    </row>
    <row r="156" spans="20:25" x14ac:dyDescent="0.25">
      <c r="T156" s="118"/>
      <c r="V156" s="93"/>
      <c r="Y156" s="93"/>
    </row>
    <row r="157" spans="20:25" x14ac:dyDescent="0.25">
      <c r="T157" s="118"/>
      <c r="V157" s="93"/>
      <c r="Y157" s="93"/>
    </row>
    <row r="158" spans="20:25" x14ac:dyDescent="0.25">
      <c r="T158" s="118"/>
      <c r="V158" s="93"/>
      <c r="Y158" s="93"/>
    </row>
    <row r="159" spans="20:25" x14ac:dyDescent="0.25">
      <c r="T159" s="118"/>
      <c r="V159" s="93"/>
      <c r="Y159" s="93"/>
    </row>
    <row r="160" spans="20:25" x14ac:dyDescent="0.25">
      <c r="T160" s="118"/>
      <c r="V160" s="93"/>
      <c r="Y160" s="93"/>
    </row>
    <row r="161" spans="20:25" x14ac:dyDescent="0.25">
      <c r="T161" s="118"/>
      <c r="V161" s="93"/>
      <c r="Y161" s="93"/>
    </row>
    <row r="162" spans="20:25" x14ac:dyDescent="0.25">
      <c r="T162" s="118"/>
      <c r="V162" s="93"/>
      <c r="Y162" s="93"/>
    </row>
    <row r="163" spans="20:25" x14ac:dyDescent="0.25">
      <c r="T163" s="118"/>
      <c r="V163" s="93"/>
      <c r="Y163" s="93"/>
    </row>
    <row r="164" spans="20:25" x14ac:dyDescent="0.25">
      <c r="T164" s="118"/>
      <c r="V164" s="93"/>
      <c r="Y164" s="93"/>
    </row>
    <row r="165" spans="20:25" x14ac:dyDescent="0.25">
      <c r="T165" s="118"/>
      <c r="V165" s="93"/>
      <c r="Y165" s="93"/>
    </row>
    <row r="166" spans="20:25" x14ac:dyDescent="0.25">
      <c r="T166" s="118"/>
      <c r="V166" s="93"/>
      <c r="Y166" s="93"/>
    </row>
    <row r="167" spans="20:25" x14ac:dyDescent="0.25">
      <c r="T167" s="118"/>
      <c r="V167" s="93"/>
      <c r="Y167" s="93"/>
    </row>
    <row r="168" spans="20:25" x14ac:dyDescent="0.25">
      <c r="T168" s="118"/>
      <c r="V168" s="93"/>
      <c r="Y168" s="93"/>
    </row>
    <row r="169" spans="20:25" x14ac:dyDescent="0.25">
      <c r="T169" s="118"/>
      <c r="V169" s="93"/>
      <c r="Y169" s="93"/>
    </row>
    <row r="170" spans="20:25" x14ac:dyDescent="0.25">
      <c r="T170" s="118"/>
      <c r="V170" s="93"/>
      <c r="Y170" s="93"/>
    </row>
    <row r="171" spans="20:25" x14ac:dyDescent="0.25">
      <c r="T171" s="118"/>
      <c r="V171" s="93"/>
      <c r="Y171" s="93"/>
    </row>
    <row r="172" spans="20:25" x14ac:dyDescent="0.25">
      <c r="T172" s="118"/>
      <c r="V172" s="93"/>
      <c r="Y172" s="93"/>
    </row>
    <row r="173" spans="20:25" x14ac:dyDescent="0.25">
      <c r="T173" s="118"/>
      <c r="V173" s="93"/>
      <c r="Y173" s="93"/>
    </row>
    <row r="174" spans="20:25" x14ac:dyDescent="0.25">
      <c r="T174" s="118"/>
      <c r="V174" s="93"/>
      <c r="Y174" s="93"/>
    </row>
    <row r="175" spans="20:25" x14ac:dyDescent="0.25">
      <c r="T175" s="118"/>
      <c r="V175" s="93"/>
      <c r="Y175" s="93"/>
    </row>
    <row r="176" spans="20:25" x14ac:dyDescent="0.25">
      <c r="T176" s="118"/>
      <c r="V176" s="93"/>
      <c r="Y176" s="93"/>
    </row>
    <row r="177" spans="20:25" x14ac:dyDescent="0.25">
      <c r="T177" s="118"/>
      <c r="V177" s="93"/>
      <c r="Y177" s="93"/>
    </row>
    <row r="178" spans="20:25" x14ac:dyDescent="0.25">
      <c r="T178" s="118"/>
      <c r="V178" s="93"/>
      <c r="Y178" s="93"/>
    </row>
    <row r="179" spans="20:25" x14ac:dyDescent="0.25">
      <c r="T179" s="118"/>
      <c r="V179" s="93"/>
      <c r="Y179" s="93"/>
    </row>
    <row r="180" spans="20:25" x14ac:dyDescent="0.25">
      <c r="T180" s="118"/>
      <c r="V180" s="93"/>
      <c r="Y180" s="93"/>
    </row>
    <row r="181" spans="20:25" x14ac:dyDescent="0.25">
      <c r="T181" s="118"/>
      <c r="V181" s="93"/>
      <c r="Y181" s="93"/>
    </row>
    <row r="182" spans="20:25" x14ac:dyDescent="0.25">
      <c r="T182" s="118"/>
      <c r="V182" s="93"/>
      <c r="Y182" s="93"/>
    </row>
    <row r="183" spans="20:25" x14ac:dyDescent="0.25">
      <c r="T183" s="118"/>
      <c r="V183" s="93"/>
      <c r="Y183" s="93"/>
    </row>
    <row r="184" spans="20:25" x14ac:dyDescent="0.25">
      <c r="T184" s="118"/>
      <c r="V184" s="93"/>
      <c r="Y184" s="93"/>
    </row>
    <row r="185" spans="20:25" x14ac:dyDescent="0.25">
      <c r="T185" s="118"/>
      <c r="V185" s="93"/>
      <c r="Y185" s="93"/>
    </row>
    <row r="186" spans="20:25" x14ac:dyDescent="0.25">
      <c r="T186" s="118"/>
      <c r="V186" s="93"/>
      <c r="Y186" s="93"/>
    </row>
    <row r="187" spans="20:25" x14ac:dyDescent="0.25">
      <c r="T187" s="118"/>
      <c r="V187" s="93"/>
      <c r="Y187" s="93"/>
    </row>
    <row r="188" spans="20:25" x14ac:dyDescent="0.25">
      <c r="T188" s="118"/>
      <c r="V188" s="93"/>
      <c r="Y188" s="93"/>
    </row>
    <row r="189" spans="20:25" x14ac:dyDescent="0.25">
      <c r="T189" s="118"/>
      <c r="V189" s="93"/>
      <c r="Y189" s="93"/>
    </row>
    <row r="190" spans="20:25" x14ac:dyDescent="0.25">
      <c r="T190" s="118"/>
      <c r="V190" s="93"/>
      <c r="Y190" s="93"/>
    </row>
    <row r="191" spans="20:25" x14ac:dyDescent="0.25">
      <c r="T191" s="118"/>
      <c r="V191" s="93"/>
      <c r="Y191" s="93"/>
    </row>
    <row r="192" spans="20:25" x14ac:dyDescent="0.25">
      <c r="T192" s="118"/>
      <c r="V192" s="93"/>
      <c r="Y192" s="93"/>
    </row>
    <row r="193" spans="20:25" x14ac:dyDescent="0.25">
      <c r="T193" s="118"/>
      <c r="V193" s="93"/>
      <c r="Y193" s="93"/>
    </row>
    <row r="194" spans="20:25" x14ac:dyDescent="0.25">
      <c r="T194" s="118"/>
      <c r="V194" s="93"/>
      <c r="Y194" s="93"/>
    </row>
    <row r="195" spans="20:25" x14ac:dyDescent="0.25">
      <c r="T195" s="118"/>
      <c r="V195" s="93"/>
      <c r="Y195" s="93"/>
    </row>
    <row r="196" spans="20:25" x14ac:dyDescent="0.25">
      <c r="T196" s="118"/>
      <c r="V196" s="93"/>
      <c r="Y196" s="93"/>
    </row>
    <row r="197" spans="20:25" x14ac:dyDescent="0.25">
      <c r="T197" s="118"/>
      <c r="V197" s="93"/>
      <c r="Y197" s="93"/>
    </row>
    <row r="198" spans="20:25" x14ac:dyDescent="0.25">
      <c r="T198" s="118"/>
      <c r="V198" s="93"/>
      <c r="Y198" s="93"/>
    </row>
    <row r="199" spans="20:25" x14ac:dyDescent="0.25">
      <c r="T199" s="118"/>
      <c r="V199" s="93"/>
      <c r="Y199" s="93"/>
    </row>
    <row r="200" spans="20:25" x14ac:dyDescent="0.25">
      <c r="T200" s="118"/>
      <c r="V200" s="93"/>
      <c r="Y200" s="93"/>
    </row>
    <row r="201" spans="20:25" x14ac:dyDescent="0.25">
      <c r="T201" s="118"/>
      <c r="V201" s="93"/>
      <c r="Y201" s="93"/>
    </row>
    <row r="202" spans="20:25" x14ac:dyDescent="0.25">
      <c r="T202" s="118"/>
      <c r="V202" s="93"/>
      <c r="Y202" s="93"/>
    </row>
    <row r="203" spans="20:25" x14ac:dyDescent="0.25">
      <c r="T203" s="118"/>
      <c r="V203" s="93"/>
      <c r="Y203" s="93"/>
    </row>
    <row r="204" spans="20:25" x14ac:dyDescent="0.25">
      <c r="T204" s="118"/>
      <c r="V204" s="93"/>
      <c r="Y204" s="93"/>
    </row>
    <row r="205" spans="20:25" x14ac:dyDescent="0.25">
      <c r="T205" s="118"/>
      <c r="V205" s="93"/>
      <c r="Y205" s="93"/>
    </row>
    <row r="206" spans="20:25" x14ac:dyDescent="0.25">
      <c r="T206" s="118"/>
      <c r="V206" s="93"/>
      <c r="Y206" s="93"/>
    </row>
    <row r="207" spans="20:25" x14ac:dyDescent="0.25">
      <c r="T207" s="118"/>
      <c r="V207" s="93"/>
      <c r="Y207" s="93"/>
    </row>
    <row r="208" spans="20:25" x14ac:dyDescent="0.25">
      <c r="T208" s="118"/>
      <c r="V208" s="93"/>
      <c r="Y208" s="93"/>
    </row>
    <row r="209" spans="20:25" x14ac:dyDescent="0.25">
      <c r="T209" s="118"/>
      <c r="V209" s="93"/>
      <c r="Y209" s="93"/>
    </row>
    <row r="210" spans="20:25" x14ac:dyDescent="0.25">
      <c r="T210" s="118"/>
      <c r="V210" s="93"/>
      <c r="Y210" s="93"/>
    </row>
    <row r="211" spans="20:25" x14ac:dyDescent="0.25">
      <c r="T211" s="118"/>
      <c r="V211" s="93"/>
      <c r="Y211" s="93"/>
    </row>
    <row r="212" spans="20:25" x14ac:dyDescent="0.25">
      <c r="T212" s="118"/>
      <c r="V212" s="93"/>
      <c r="Y212" s="93"/>
    </row>
    <row r="213" spans="20:25" x14ac:dyDescent="0.25">
      <c r="T213" s="118"/>
      <c r="V213" s="93"/>
      <c r="Y213" s="93"/>
    </row>
    <row r="214" spans="20:25" x14ac:dyDescent="0.25">
      <c r="T214" s="118"/>
      <c r="V214" s="93"/>
      <c r="Y214" s="93"/>
    </row>
    <row r="215" spans="20:25" x14ac:dyDescent="0.25">
      <c r="T215" s="118"/>
      <c r="V215" s="93"/>
      <c r="Y215" s="93"/>
    </row>
    <row r="216" spans="20:25" x14ac:dyDescent="0.25">
      <c r="T216" s="118"/>
      <c r="V216" s="93"/>
      <c r="Y216" s="93"/>
    </row>
    <row r="217" spans="20:25" x14ac:dyDescent="0.25">
      <c r="T217" s="118"/>
      <c r="V217" s="93"/>
      <c r="Y217" s="93"/>
    </row>
    <row r="218" spans="20:25" x14ac:dyDescent="0.25">
      <c r="T218" s="118"/>
      <c r="V218" s="93"/>
      <c r="Y218" s="93"/>
    </row>
    <row r="219" spans="20:25" x14ac:dyDescent="0.25">
      <c r="T219" s="118"/>
      <c r="V219" s="93"/>
      <c r="Y219" s="93"/>
    </row>
    <row r="220" spans="20:25" x14ac:dyDescent="0.25">
      <c r="T220" s="118"/>
      <c r="V220" s="93"/>
      <c r="Y220" s="93"/>
    </row>
    <row r="221" spans="20:25" x14ac:dyDescent="0.25">
      <c r="T221" s="118"/>
      <c r="V221" s="93"/>
      <c r="Y221" s="93"/>
    </row>
    <row r="222" spans="20:25" x14ac:dyDescent="0.25">
      <c r="T222" s="118"/>
      <c r="V222" s="93"/>
      <c r="Y222" s="93"/>
    </row>
    <row r="223" spans="20:25" x14ac:dyDescent="0.25">
      <c r="T223" s="118"/>
      <c r="V223" s="93"/>
      <c r="Y223" s="93"/>
    </row>
    <row r="224" spans="20:25" x14ac:dyDescent="0.25">
      <c r="T224" s="118"/>
      <c r="V224" s="93"/>
      <c r="Y224" s="93"/>
    </row>
    <row r="225" spans="20:25" x14ac:dyDescent="0.25">
      <c r="T225" s="118"/>
      <c r="V225" s="93"/>
      <c r="Y225" s="93"/>
    </row>
    <row r="226" spans="20:25" x14ac:dyDescent="0.25">
      <c r="T226" s="118"/>
      <c r="V226" s="93"/>
      <c r="Y226" s="93"/>
    </row>
    <row r="227" spans="20:25" x14ac:dyDescent="0.25">
      <c r="T227" s="118"/>
      <c r="V227" s="93"/>
      <c r="Y227" s="93"/>
    </row>
    <row r="228" spans="20:25" x14ac:dyDescent="0.25">
      <c r="T228" s="118"/>
      <c r="V228" s="93"/>
      <c r="Y228" s="93"/>
    </row>
    <row r="229" spans="20:25" x14ac:dyDescent="0.25">
      <c r="T229" s="118"/>
      <c r="V229" s="93"/>
      <c r="Y229" s="93"/>
    </row>
    <row r="230" spans="20:25" x14ac:dyDescent="0.25">
      <c r="T230" s="118"/>
      <c r="V230" s="93"/>
      <c r="Y230" s="93"/>
    </row>
    <row r="231" spans="20:25" x14ac:dyDescent="0.25">
      <c r="T231" s="118"/>
      <c r="V231" s="93"/>
      <c r="Y231" s="93"/>
    </row>
    <row r="232" spans="20:25" x14ac:dyDescent="0.25">
      <c r="T232" s="118"/>
      <c r="V232" s="93"/>
      <c r="Y232" s="93"/>
    </row>
    <row r="233" spans="20:25" x14ac:dyDescent="0.25">
      <c r="T233" s="118"/>
      <c r="V233" s="93"/>
      <c r="Y233" s="93"/>
    </row>
    <row r="234" spans="20:25" x14ac:dyDescent="0.25">
      <c r="T234" s="118"/>
      <c r="V234" s="93"/>
      <c r="Y234" s="93"/>
    </row>
    <row r="235" spans="20:25" x14ac:dyDescent="0.25">
      <c r="T235" s="118"/>
      <c r="V235" s="93"/>
      <c r="Y235" s="93"/>
    </row>
    <row r="236" spans="20:25" x14ac:dyDescent="0.25">
      <c r="T236" s="118"/>
      <c r="V236" s="93"/>
      <c r="Y236" s="93"/>
    </row>
    <row r="237" spans="20:25" x14ac:dyDescent="0.25">
      <c r="T237" s="118"/>
      <c r="V237" s="93"/>
      <c r="Y237" s="93"/>
    </row>
    <row r="238" spans="20:25" x14ac:dyDescent="0.25">
      <c r="T238" s="118"/>
      <c r="V238" s="93"/>
      <c r="Y238" s="93"/>
    </row>
    <row r="239" spans="20:25" x14ac:dyDescent="0.25">
      <c r="T239" s="118"/>
      <c r="V239" s="93"/>
      <c r="Y239" s="93"/>
    </row>
    <row r="240" spans="20:25" x14ac:dyDescent="0.25">
      <c r="T240" s="118"/>
      <c r="V240" s="93"/>
      <c r="Y240" s="93"/>
    </row>
    <row r="241" spans="20:25" x14ac:dyDescent="0.25">
      <c r="T241" s="118"/>
      <c r="V241" s="93"/>
      <c r="Y241" s="93"/>
    </row>
    <row r="242" spans="20:25" x14ac:dyDescent="0.25">
      <c r="T242" s="118"/>
      <c r="V242" s="93"/>
      <c r="Y242" s="93"/>
    </row>
    <row r="243" spans="20:25" x14ac:dyDescent="0.25">
      <c r="T243" s="118"/>
      <c r="V243" s="93"/>
      <c r="Y243" s="93"/>
    </row>
    <row r="244" spans="20:25" x14ac:dyDescent="0.25">
      <c r="T244" s="118"/>
      <c r="V244" s="93"/>
      <c r="Y244" s="93"/>
    </row>
    <row r="245" spans="20:25" x14ac:dyDescent="0.25">
      <c r="T245" s="118"/>
      <c r="V245" s="93"/>
      <c r="Y245" s="93"/>
    </row>
    <row r="246" spans="20:25" x14ac:dyDescent="0.25">
      <c r="T246" s="118"/>
      <c r="V246" s="93"/>
      <c r="Y246" s="93"/>
    </row>
    <row r="247" spans="20:25" x14ac:dyDescent="0.25">
      <c r="T247" s="118"/>
      <c r="V247" s="93"/>
      <c r="Y247" s="93"/>
    </row>
    <row r="248" spans="20:25" x14ac:dyDescent="0.25">
      <c r="T248" s="118"/>
      <c r="V248" s="93"/>
      <c r="Y248" s="93"/>
    </row>
    <row r="249" spans="20:25" x14ac:dyDescent="0.25">
      <c r="T249" s="118"/>
      <c r="V249" s="93"/>
      <c r="Y249" s="93"/>
    </row>
    <row r="250" spans="20:25" x14ac:dyDescent="0.25">
      <c r="T250" s="118"/>
      <c r="V250" s="93"/>
      <c r="Y250" s="93"/>
    </row>
    <row r="251" spans="20:25" x14ac:dyDescent="0.25">
      <c r="T251" s="118"/>
      <c r="V251" s="93"/>
      <c r="Y251" s="93"/>
    </row>
    <row r="252" spans="20:25" x14ac:dyDescent="0.25">
      <c r="T252" s="118"/>
      <c r="V252" s="93"/>
      <c r="Y252" s="93"/>
    </row>
    <row r="253" spans="20:25" x14ac:dyDescent="0.25">
      <c r="T253" s="118"/>
      <c r="V253" s="93"/>
      <c r="Y253" s="93"/>
    </row>
    <row r="254" spans="20:25" x14ac:dyDescent="0.25">
      <c r="T254" s="118"/>
      <c r="V254" s="93"/>
      <c r="Y254" s="93"/>
    </row>
    <row r="255" spans="20:25" x14ac:dyDescent="0.25">
      <c r="T255" s="118"/>
      <c r="V255" s="93"/>
      <c r="Y255" s="93"/>
    </row>
    <row r="256" spans="20:25" x14ac:dyDescent="0.25">
      <c r="T256" s="118"/>
      <c r="V256" s="93"/>
      <c r="Y256" s="93"/>
    </row>
    <row r="257" spans="20:25" x14ac:dyDescent="0.25">
      <c r="T257" s="118"/>
      <c r="V257" s="93"/>
      <c r="Y257" s="93"/>
    </row>
    <row r="258" spans="20:25" x14ac:dyDescent="0.25">
      <c r="T258" s="118"/>
      <c r="V258" s="93"/>
      <c r="Y258" s="93"/>
    </row>
    <row r="259" spans="20:25" x14ac:dyDescent="0.25">
      <c r="T259" s="118"/>
      <c r="V259" s="93"/>
      <c r="Y259" s="93"/>
    </row>
    <row r="260" spans="20:25" x14ac:dyDescent="0.25">
      <c r="T260" s="118"/>
      <c r="V260" s="93"/>
      <c r="Y260" s="93"/>
    </row>
    <row r="261" spans="20:25" x14ac:dyDescent="0.25">
      <c r="T261" s="118"/>
      <c r="V261" s="93"/>
      <c r="Y261" s="93"/>
    </row>
    <row r="262" spans="20:25" x14ac:dyDescent="0.25">
      <c r="T262" s="118"/>
      <c r="V262" s="93"/>
      <c r="Y262" s="93"/>
    </row>
    <row r="263" spans="20:25" x14ac:dyDescent="0.25">
      <c r="T263" s="118"/>
      <c r="V263" s="93"/>
      <c r="Y263" s="93"/>
    </row>
    <row r="264" spans="20:25" x14ac:dyDescent="0.25">
      <c r="T264" s="118"/>
      <c r="V264" s="93"/>
      <c r="Y264" s="93"/>
    </row>
    <row r="265" spans="20:25" x14ac:dyDescent="0.25">
      <c r="T265" s="118"/>
      <c r="V265" s="93"/>
      <c r="Y265" s="93"/>
    </row>
    <row r="266" spans="20:25" x14ac:dyDescent="0.25">
      <c r="T266" s="118"/>
      <c r="V266" s="93"/>
      <c r="Y266" s="93"/>
    </row>
    <row r="267" spans="20:25" x14ac:dyDescent="0.25">
      <c r="T267" s="118"/>
      <c r="V267" s="93"/>
      <c r="Y267" s="93"/>
    </row>
    <row r="268" spans="20:25" x14ac:dyDescent="0.25">
      <c r="T268" s="118"/>
      <c r="V268" s="93"/>
      <c r="Y268" s="93"/>
    </row>
    <row r="269" spans="20:25" x14ac:dyDescent="0.25">
      <c r="T269" s="118"/>
      <c r="V269" s="93"/>
      <c r="Y269" s="93"/>
    </row>
    <row r="270" spans="20:25" x14ac:dyDescent="0.25">
      <c r="T270" s="118"/>
      <c r="V270" s="93"/>
      <c r="Y270" s="93"/>
    </row>
    <row r="271" spans="20:25" x14ac:dyDescent="0.25">
      <c r="T271" s="118"/>
      <c r="V271" s="93"/>
      <c r="Y271" s="93"/>
    </row>
    <row r="272" spans="20:25" x14ac:dyDescent="0.25">
      <c r="T272" s="118"/>
      <c r="V272" s="93"/>
      <c r="Y272" s="93"/>
    </row>
    <row r="273" spans="20:25" x14ac:dyDescent="0.25">
      <c r="T273" s="118"/>
      <c r="V273" s="93"/>
      <c r="Y273" s="93"/>
    </row>
    <row r="274" spans="20:25" x14ac:dyDescent="0.25">
      <c r="T274" s="118"/>
      <c r="V274" s="93"/>
      <c r="Y274" s="93"/>
    </row>
    <row r="275" spans="20:25" x14ac:dyDescent="0.25">
      <c r="T275" s="118"/>
      <c r="V275" s="93"/>
      <c r="Y275" s="93"/>
    </row>
    <row r="276" spans="20:25" x14ac:dyDescent="0.25">
      <c r="T276" s="118"/>
      <c r="V276" s="93"/>
      <c r="Y276" s="93"/>
    </row>
    <row r="277" spans="20:25" x14ac:dyDescent="0.25">
      <c r="T277" s="118"/>
      <c r="V277" s="93"/>
      <c r="Y277" s="93"/>
    </row>
    <row r="278" spans="20:25" x14ac:dyDescent="0.25">
      <c r="T278" s="118"/>
      <c r="V278" s="93"/>
      <c r="Y278" s="93"/>
    </row>
    <row r="279" spans="20:25" x14ac:dyDescent="0.25">
      <c r="T279" s="118"/>
      <c r="V279" s="93"/>
      <c r="Y279" s="93"/>
    </row>
    <row r="280" spans="20:25" x14ac:dyDescent="0.25">
      <c r="T280" s="118"/>
      <c r="V280" s="93"/>
      <c r="Y280" s="93"/>
    </row>
    <row r="281" spans="20:25" x14ac:dyDescent="0.25">
      <c r="T281" s="118"/>
      <c r="V281" s="93"/>
      <c r="Y281" s="93"/>
    </row>
    <row r="282" spans="20:25" x14ac:dyDescent="0.25">
      <c r="T282" s="118"/>
      <c r="V282" s="93"/>
      <c r="Y282" s="93"/>
    </row>
    <row r="283" spans="20:25" x14ac:dyDescent="0.25">
      <c r="T283" s="118"/>
      <c r="V283" s="93"/>
      <c r="Y283" s="93"/>
    </row>
    <row r="284" spans="20:25" x14ac:dyDescent="0.25">
      <c r="T284" s="118"/>
      <c r="V284" s="93"/>
      <c r="Y284" s="93"/>
    </row>
    <row r="285" spans="20:25" x14ac:dyDescent="0.25">
      <c r="T285" s="118"/>
      <c r="V285" s="93"/>
      <c r="Y285" s="93"/>
    </row>
    <row r="286" spans="20:25" x14ac:dyDescent="0.25">
      <c r="T286" s="118"/>
      <c r="V286" s="93"/>
      <c r="Y286" s="93"/>
    </row>
    <row r="287" spans="20:25" x14ac:dyDescent="0.25">
      <c r="T287" s="118"/>
      <c r="V287" s="93"/>
      <c r="Y287" s="93"/>
    </row>
    <row r="288" spans="20:25" x14ac:dyDescent="0.25">
      <c r="T288" s="118"/>
      <c r="V288" s="93"/>
      <c r="Y288" s="93"/>
    </row>
    <row r="289" spans="20:25" x14ac:dyDescent="0.25">
      <c r="T289" s="118"/>
      <c r="V289" s="93"/>
      <c r="Y289" s="93"/>
    </row>
    <row r="290" spans="20:25" x14ac:dyDescent="0.25">
      <c r="T290" s="118"/>
      <c r="V290" s="93"/>
      <c r="Y290" s="93"/>
    </row>
    <row r="291" spans="20:25" x14ac:dyDescent="0.25">
      <c r="T291" s="118"/>
      <c r="V291" s="93"/>
      <c r="Y291" s="93"/>
    </row>
    <row r="292" spans="20:25" x14ac:dyDescent="0.25">
      <c r="T292" s="118"/>
      <c r="V292" s="93"/>
      <c r="Y292" s="93"/>
    </row>
    <row r="293" spans="20:25" x14ac:dyDescent="0.25">
      <c r="T293" s="118"/>
      <c r="V293" s="93"/>
      <c r="Y293" s="93"/>
    </row>
    <row r="294" spans="20:25" x14ac:dyDescent="0.25">
      <c r="T294" s="118"/>
      <c r="V294" s="93"/>
      <c r="Y294" s="93"/>
    </row>
    <row r="295" spans="20:25" x14ac:dyDescent="0.25">
      <c r="T295" s="118"/>
      <c r="V295" s="93"/>
      <c r="Y295" s="93"/>
    </row>
    <row r="296" spans="20:25" x14ac:dyDescent="0.25">
      <c r="T296" s="118"/>
      <c r="V296" s="93"/>
      <c r="Y296" s="93"/>
    </row>
    <row r="297" spans="20:25" x14ac:dyDescent="0.25">
      <c r="T297" s="118"/>
      <c r="V297" s="93"/>
      <c r="Y297" s="93"/>
    </row>
    <row r="298" spans="20:25" x14ac:dyDescent="0.25">
      <c r="T298" s="118"/>
      <c r="V298" s="93"/>
      <c r="Y298" s="93"/>
    </row>
    <row r="299" spans="20:25" x14ac:dyDescent="0.25">
      <c r="T299" s="118"/>
      <c r="V299" s="93"/>
      <c r="Y299" s="93"/>
    </row>
    <row r="300" spans="20:25" x14ac:dyDescent="0.25">
      <c r="T300" s="118"/>
      <c r="V300" s="93"/>
      <c r="Y300" s="93"/>
    </row>
    <row r="301" spans="20:25" x14ac:dyDescent="0.25">
      <c r="T301" s="118"/>
      <c r="V301" s="93"/>
      <c r="Y301" s="93"/>
    </row>
    <row r="302" spans="20:25" x14ac:dyDescent="0.25">
      <c r="T302" s="118"/>
      <c r="V302" s="93"/>
      <c r="Y302" s="93"/>
    </row>
    <row r="303" spans="20:25" x14ac:dyDescent="0.25">
      <c r="T303" s="118"/>
      <c r="V303" s="93"/>
      <c r="Y303" s="93"/>
    </row>
    <row r="304" spans="20:25" x14ac:dyDescent="0.25">
      <c r="T304" s="118"/>
      <c r="V304" s="93"/>
      <c r="Y304" s="93"/>
    </row>
    <row r="305" spans="20:25" x14ac:dyDescent="0.25">
      <c r="T305" s="118"/>
      <c r="V305" s="93"/>
      <c r="Y305" s="93"/>
    </row>
    <row r="306" spans="20:25" x14ac:dyDescent="0.25">
      <c r="T306" s="118"/>
      <c r="V306" s="93"/>
      <c r="Y306" s="93"/>
    </row>
    <row r="307" spans="20:25" x14ac:dyDescent="0.25">
      <c r="T307" s="118"/>
      <c r="V307" s="93"/>
      <c r="Y307" s="93"/>
    </row>
    <row r="308" spans="20:25" x14ac:dyDescent="0.25">
      <c r="T308" s="118"/>
      <c r="V308" s="93"/>
      <c r="Y308" s="93"/>
    </row>
    <row r="309" spans="20:25" x14ac:dyDescent="0.25">
      <c r="T309" s="118"/>
      <c r="V309" s="93"/>
      <c r="Y309" s="93"/>
    </row>
    <row r="310" spans="20:25" x14ac:dyDescent="0.25">
      <c r="T310" s="118"/>
      <c r="V310" s="93"/>
      <c r="Y310" s="93"/>
    </row>
    <row r="311" spans="20:25" x14ac:dyDescent="0.25">
      <c r="T311" s="118"/>
      <c r="V311" s="93"/>
      <c r="Y311" s="93"/>
    </row>
    <row r="312" spans="20:25" x14ac:dyDescent="0.25">
      <c r="T312" s="118"/>
      <c r="V312" s="93"/>
      <c r="Y312" s="93"/>
    </row>
    <row r="313" spans="20:25" x14ac:dyDescent="0.25">
      <c r="T313" s="118"/>
      <c r="V313" s="93"/>
      <c r="Y313" s="93"/>
    </row>
    <row r="314" spans="20:25" x14ac:dyDescent="0.25">
      <c r="T314" s="118"/>
      <c r="V314" s="93"/>
      <c r="Y314" s="93"/>
    </row>
    <row r="315" spans="20:25" x14ac:dyDescent="0.25">
      <c r="T315" s="118"/>
      <c r="V315" s="93"/>
      <c r="Y315" s="93"/>
    </row>
    <row r="316" spans="20:25" x14ac:dyDescent="0.25">
      <c r="T316" s="118"/>
      <c r="V316" s="93"/>
      <c r="Y316" s="93"/>
    </row>
    <row r="317" spans="20:25" x14ac:dyDescent="0.25">
      <c r="T317" s="118"/>
      <c r="V317" s="93"/>
      <c r="Y317" s="93"/>
    </row>
    <row r="318" spans="20:25" x14ac:dyDescent="0.25">
      <c r="T318" s="118"/>
      <c r="V318" s="93"/>
      <c r="Y318" s="93"/>
    </row>
    <row r="319" spans="20:25" x14ac:dyDescent="0.25">
      <c r="T319" s="118"/>
      <c r="V319" s="93"/>
      <c r="Y319" s="93"/>
    </row>
    <row r="320" spans="20:25" x14ac:dyDescent="0.25">
      <c r="T320" s="118"/>
      <c r="V320" s="93"/>
      <c r="Y320" s="93"/>
    </row>
    <row r="321" spans="20:25" x14ac:dyDescent="0.25">
      <c r="T321" s="118"/>
      <c r="V321" s="93"/>
      <c r="Y321" s="93"/>
    </row>
    <row r="322" spans="20:25" x14ac:dyDescent="0.25">
      <c r="T322" s="118"/>
      <c r="V322" s="93"/>
      <c r="Y322" s="93"/>
    </row>
    <row r="323" spans="20:25" x14ac:dyDescent="0.25">
      <c r="T323" s="118"/>
      <c r="V323" s="93"/>
      <c r="Y323" s="93"/>
    </row>
    <row r="324" spans="20:25" x14ac:dyDescent="0.25">
      <c r="T324" s="118"/>
      <c r="V324" s="93"/>
      <c r="Y324" s="93"/>
    </row>
    <row r="325" spans="20:25" x14ac:dyDescent="0.25">
      <c r="T325" s="118"/>
      <c r="V325" s="93"/>
      <c r="Y325" s="93"/>
    </row>
    <row r="326" spans="20:25" x14ac:dyDescent="0.25">
      <c r="T326" s="118"/>
      <c r="V326" s="93"/>
      <c r="Y326" s="93"/>
    </row>
    <row r="327" spans="20:25" x14ac:dyDescent="0.25">
      <c r="T327" s="118"/>
      <c r="V327" s="93"/>
      <c r="Y327" s="93"/>
    </row>
    <row r="328" spans="20:25" x14ac:dyDescent="0.25">
      <c r="T328" s="118"/>
      <c r="V328" s="93"/>
      <c r="Y328" s="93"/>
    </row>
    <row r="329" spans="20:25" x14ac:dyDescent="0.25">
      <c r="T329" s="118"/>
      <c r="V329" s="93"/>
      <c r="Y329" s="93"/>
    </row>
    <row r="330" spans="20:25" x14ac:dyDescent="0.25">
      <c r="T330" s="118"/>
      <c r="V330" s="93"/>
      <c r="Y330" s="93"/>
    </row>
    <row r="331" spans="20:25" x14ac:dyDescent="0.25">
      <c r="T331" s="118"/>
      <c r="V331" s="93"/>
      <c r="Y331" s="93"/>
    </row>
    <row r="332" spans="20:25" x14ac:dyDescent="0.25">
      <c r="T332" s="118"/>
      <c r="V332" s="93"/>
      <c r="Y332" s="93"/>
    </row>
    <row r="333" spans="20:25" x14ac:dyDescent="0.25">
      <c r="T333" s="118"/>
      <c r="V333" s="93"/>
      <c r="Y333" s="93"/>
    </row>
    <row r="334" spans="20:25" x14ac:dyDescent="0.25">
      <c r="T334" s="118"/>
      <c r="V334" s="93"/>
      <c r="Y334" s="93"/>
    </row>
    <row r="335" spans="20:25" x14ac:dyDescent="0.25">
      <c r="T335" s="118"/>
      <c r="V335" s="93"/>
      <c r="Y335" s="93"/>
    </row>
    <row r="336" spans="20:25" x14ac:dyDescent="0.25">
      <c r="T336" s="118"/>
      <c r="V336" s="93"/>
      <c r="Y336" s="93"/>
    </row>
    <row r="337" spans="20:25" x14ac:dyDescent="0.25">
      <c r="T337" s="118"/>
      <c r="V337" s="93"/>
      <c r="Y337" s="93"/>
    </row>
    <row r="338" spans="20:25" x14ac:dyDescent="0.25">
      <c r="T338" s="118"/>
      <c r="V338" s="93"/>
      <c r="Y338" s="93"/>
    </row>
    <row r="339" spans="20:25" x14ac:dyDescent="0.25">
      <c r="T339" s="118"/>
      <c r="V339" s="93"/>
      <c r="Y339" s="93"/>
    </row>
    <row r="340" spans="20:25" x14ac:dyDescent="0.25">
      <c r="T340" s="118"/>
      <c r="V340" s="93"/>
      <c r="Y340" s="93"/>
    </row>
    <row r="341" spans="20:25" x14ac:dyDescent="0.25">
      <c r="T341" s="118"/>
      <c r="V341" s="93"/>
      <c r="Y341" s="93"/>
    </row>
    <row r="342" spans="20:25" x14ac:dyDescent="0.25">
      <c r="T342" s="118"/>
      <c r="V342" s="93"/>
      <c r="Y342" s="93"/>
    </row>
    <row r="343" spans="20:25" x14ac:dyDescent="0.25">
      <c r="T343" s="118"/>
      <c r="V343" s="93"/>
      <c r="Y343" s="93"/>
    </row>
    <row r="344" spans="20:25" x14ac:dyDescent="0.25">
      <c r="T344" s="118"/>
      <c r="V344" s="93"/>
      <c r="Y344" s="93"/>
    </row>
    <row r="345" spans="20:25" x14ac:dyDescent="0.25">
      <c r="T345" s="118"/>
      <c r="V345" s="93"/>
      <c r="Y345" s="93"/>
    </row>
    <row r="346" spans="20:25" x14ac:dyDescent="0.25">
      <c r="T346" s="118"/>
      <c r="V346" s="93"/>
      <c r="Y346" s="93"/>
    </row>
    <row r="347" spans="20:25" x14ac:dyDescent="0.25">
      <c r="T347" s="118"/>
      <c r="V347" s="93"/>
      <c r="Y347" s="93"/>
    </row>
    <row r="348" spans="20:25" x14ac:dyDescent="0.25">
      <c r="T348" s="118"/>
      <c r="V348" s="93"/>
      <c r="Y348" s="93"/>
    </row>
    <row r="349" spans="20:25" x14ac:dyDescent="0.25">
      <c r="T349" s="118"/>
      <c r="V349" s="93"/>
      <c r="Y349" s="93"/>
    </row>
    <row r="350" spans="20:25" x14ac:dyDescent="0.25">
      <c r="T350" s="118"/>
      <c r="V350" s="93"/>
      <c r="Y350" s="93"/>
    </row>
    <row r="351" spans="20:25" x14ac:dyDescent="0.25">
      <c r="T351" s="118"/>
      <c r="V351" s="93"/>
      <c r="Y351" s="93"/>
    </row>
    <row r="352" spans="20:25" x14ac:dyDescent="0.25">
      <c r="T352" s="118"/>
      <c r="V352" s="93"/>
      <c r="Y352" s="93"/>
    </row>
    <row r="353" spans="20:25" x14ac:dyDescent="0.25">
      <c r="T353" s="118"/>
      <c r="V353" s="93"/>
      <c r="Y353" s="93"/>
    </row>
    <row r="354" spans="20:25" x14ac:dyDescent="0.25">
      <c r="T354" s="118"/>
      <c r="V354" s="93"/>
      <c r="Y354" s="93"/>
    </row>
    <row r="355" spans="20:25" x14ac:dyDescent="0.25">
      <c r="T355" s="118"/>
      <c r="V355" s="93"/>
      <c r="Y355" s="93"/>
    </row>
    <row r="356" spans="20:25" x14ac:dyDescent="0.25">
      <c r="T356" s="118"/>
      <c r="V356" s="93"/>
      <c r="Y356" s="93"/>
    </row>
    <row r="357" spans="20:25" x14ac:dyDescent="0.25">
      <c r="T357" s="118"/>
      <c r="V357" s="93"/>
      <c r="Y357" s="93"/>
    </row>
    <row r="358" spans="20:25" x14ac:dyDescent="0.25">
      <c r="T358" s="118"/>
      <c r="V358" s="93"/>
      <c r="Y358" s="93"/>
    </row>
    <row r="359" spans="20:25" x14ac:dyDescent="0.25">
      <c r="T359" s="118"/>
      <c r="V359" s="93"/>
      <c r="Y359" s="93"/>
    </row>
    <row r="360" spans="20:25" x14ac:dyDescent="0.25">
      <c r="T360" s="118"/>
      <c r="V360" s="93"/>
      <c r="Y360" s="93"/>
    </row>
    <row r="361" spans="20:25" x14ac:dyDescent="0.25">
      <c r="T361" s="118"/>
      <c r="V361" s="93"/>
      <c r="Y361" s="93"/>
    </row>
    <row r="362" spans="20:25" x14ac:dyDescent="0.25">
      <c r="T362" s="118"/>
      <c r="V362" s="93"/>
      <c r="Y362" s="93"/>
    </row>
    <row r="363" spans="20:25" x14ac:dyDescent="0.25">
      <c r="T363" s="118"/>
      <c r="V363" s="93"/>
      <c r="Y363" s="93"/>
    </row>
    <row r="364" spans="20:25" x14ac:dyDescent="0.25">
      <c r="T364" s="118"/>
      <c r="V364" s="93"/>
      <c r="Y364" s="93"/>
    </row>
    <row r="365" spans="20:25" x14ac:dyDescent="0.25">
      <c r="T365" s="118"/>
      <c r="V365" s="93"/>
      <c r="Y365" s="93"/>
    </row>
    <row r="366" spans="20:25" x14ac:dyDescent="0.25">
      <c r="T366" s="118"/>
      <c r="V366" s="93"/>
      <c r="Y366" s="93"/>
    </row>
    <row r="367" spans="20:25" x14ac:dyDescent="0.25">
      <c r="T367" s="118"/>
      <c r="V367" s="93"/>
      <c r="Y367" s="93"/>
    </row>
    <row r="368" spans="20:25" x14ac:dyDescent="0.25">
      <c r="T368" s="118"/>
      <c r="V368" s="93"/>
      <c r="Y368" s="93"/>
    </row>
    <row r="369" spans="20:25" x14ac:dyDescent="0.25">
      <c r="T369" s="118"/>
      <c r="V369" s="93"/>
      <c r="Y369" s="93"/>
    </row>
    <row r="370" spans="20:25" x14ac:dyDescent="0.25">
      <c r="T370" s="118"/>
      <c r="V370" s="93"/>
      <c r="Y370" s="93"/>
    </row>
    <row r="371" spans="20:25" x14ac:dyDescent="0.25">
      <c r="T371" s="118"/>
      <c r="V371" s="93"/>
      <c r="Y371" s="93"/>
    </row>
    <row r="372" spans="20:25" x14ac:dyDescent="0.25">
      <c r="T372" s="118"/>
      <c r="V372" s="93"/>
      <c r="Y372" s="93"/>
    </row>
    <row r="373" spans="20:25" x14ac:dyDescent="0.25">
      <c r="T373" s="118"/>
      <c r="V373" s="93"/>
      <c r="Y373" s="93"/>
    </row>
    <row r="374" spans="20:25" x14ac:dyDescent="0.25">
      <c r="T374" s="118"/>
      <c r="V374" s="93"/>
      <c r="Y374" s="93"/>
    </row>
    <row r="375" spans="20:25" x14ac:dyDescent="0.25">
      <c r="T375" s="118"/>
      <c r="V375" s="93"/>
      <c r="Y375" s="93"/>
    </row>
    <row r="376" spans="20:25" x14ac:dyDescent="0.25">
      <c r="T376" s="118"/>
      <c r="V376" s="93"/>
      <c r="Y376" s="93"/>
    </row>
    <row r="377" spans="20:25" x14ac:dyDescent="0.25">
      <c r="T377" s="118"/>
      <c r="V377" s="93"/>
      <c r="Y377" s="93"/>
    </row>
    <row r="378" spans="20:25" x14ac:dyDescent="0.25">
      <c r="T378" s="118"/>
      <c r="V378" s="93"/>
      <c r="Y378" s="93"/>
    </row>
    <row r="379" spans="20:25" x14ac:dyDescent="0.25">
      <c r="T379" s="118"/>
      <c r="V379" s="93"/>
      <c r="Y379" s="93"/>
    </row>
    <row r="380" spans="20:25" x14ac:dyDescent="0.25">
      <c r="T380" s="118"/>
      <c r="V380" s="93"/>
      <c r="Y380" s="93"/>
    </row>
    <row r="381" spans="20:25" x14ac:dyDescent="0.25">
      <c r="T381" s="118"/>
      <c r="V381" s="93"/>
      <c r="Y381" s="93"/>
    </row>
    <row r="382" spans="20:25" x14ac:dyDescent="0.25">
      <c r="T382" s="118"/>
      <c r="V382" s="93"/>
      <c r="Y382" s="93"/>
    </row>
    <row r="383" spans="20:25" x14ac:dyDescent="0.25">
      <c r="T383" s="118"/>
      <c r="V383" s="93"/>
      <c r="Y383" s="93"/>
    </row>
    <row r="384" spans="20:25" x14ac:dyDescent="0.25">
      <c r="T384" s="118"/>
      <c r="V384" s="93"/>
      <c r="Y384" s="93"/>
    </row>
    <row r="385" spans="20:25" x14ac:dyDescent="0.25">
      <c r="T385" s="118"/>
      <c r="V385" s="93"/>
      <c r="Y385" s="93"/>
    </row>
    <row r="386" spans="20:25" x14ac:dyDescent="0.25">
      <c r="T386" s="118"/>
      <c r="V386" s="93"/>
      <c r="Y386" s="93"/>
    </row>
    <row r="387" spans="20:25" x14ac:dyDescent="0.25">
      <c r="T387" s="118"/>
      <c r="V387" s="93"/>
      <c r="Y387" s="93"/>
    </row>
    <row r="388" spans="20:25" x14ac:dyDescent="0.25">
      <c r="T388" s="118"/>
      <c r="V388" s="93"/>
      <c r="Y388" s="93"/>
    </row>
    <row r="389" spans="20:25" x14ac:dyDescent="0.25">
      <c r="T389" s="118"/>
      <c r="V389" s="93"/>
      <c r="Y389" s="93"/>
    </row>
    <row r="390" spans="20:25" x14ac:dyDescent="0.25">
      <c r="T390" s="118"/>
      <c r="V390" s="93"/>
      <c r="Y390" s="93"/>
    </row>
    <row r="391" spans="20:25" x14ac:dyDescent="0.25">
      <c r="T391" s="118"/>
      <c r="V391" s="93"/>
      <c r="Y391" s="93"/>
    </row>
    <row r="392" spans="20:25" x14ac:dyDescent="0.25">
      <c r="T392" s="118"/>
      <c r="V392" s="93"/>
      <c r="Y392" s="93"/>
    </row>
    <row r="393" spans="20:25" x14ac:dyDescent="0.25">
      <c r="T393" s="118"/>
      <c r="V393" s="93"/>
      <c r="Y393" s="93"/>
    </row>
    <row r="394" spans="20:25" x14ac:dyDescent="0.25">
      <c r="T394" s="118"/>
      <c r="V394" s="93"/>
      <c r="Y394" s="93"/>
    </row>
    <row r="395" spans="20:25" x14ac:dyDescent="0.25">
      <c r="T395" s="118"/>
      <c r="V395" s="93"/>
      <c r="Y395" s="93"/>
    </row>
    <row r="396" spans="20:25" x14ac:dyDescent="0.25">
      <c r="T396" s="118"/>
      <c r="V396" s="93"/>
      <c r="Y396" s="93"/>
    </row>
    <row r="397" spans="20:25" x14ac:dyDescent="0.25">
      <c r="T397" s="118"/>
      <c r="V397" s="93"/>
      <c r="Y397" s="93"/>
    </row>
    <row r="398" spans="20:25" x14ac:dyDescent="0.25">
      <c r="T398" s="118"/>
      <c r="V398" s="93"/>
      <c r="Y398" s="93"/>
    </row>
    <row r="399" spans="20:25" x14ac:dyDescent="0.25">
      <c r="T399" s="118"/>
      <c r="V399" s="93"/>
      <c r="Y399" s="93"/>
    </row>
    <row r="400" spans="20:25" x14ac:dyDescent="0.25">
      <c r="T400" s="118"/>
      <c r="V400" s="93"/>
      <c r="Y400" s="93"/>
    </row>
    <row r="401" spans="20:25" x14ac:dyDescent="0.25">
      <c r="T401" s="118"/>
      <c r="V401" s="93"/>
      <c r="Y401" s="93"/>
    </row>
    <row r="402" spans="20:25" x14ac:dyDescent="0.25">
      <c r="T402" s="118"/>
      <c r="V402" s="93"/>
      <c r="Y402" s="93"/>
    </row>
    <row r="403" spans="20:25" x14ac:dyDescent="0.25">
      <c r="T403" s="118"/>
      <c r="V403" s="93"/>
      <c r="Y403" s="93"/>
    </row>
    <row r="404" spans="20:25" x14ac:dyDescent="0.25">
      <c r="T404" s="118"/>
      <c r="V404" s="93"/>
      <c r="Y404" s="93"/>
    </row>
    <row r="405" spans="20:25" x14ac:dyDescent="0.25">
      <c r="T405" s="118"/>
      <c r="V405" s="93"/>
      <c r="Y405" s="93"/>
    </row>
    <row r="406" spans="20:25" x14ac:dyDescent="0.25">
      <c r="T406" s="118"/>
      <c r="V406" s="93"/>
      <c r="Y406" s="93"/>
    </row>
    <row r="407" spans="20:25" x14ac:dyDescent="0.25">
      <c r="T407" s="118"/>
      <c r="V407" s="93"/>
      <c r="Y407" s="93"/>
    </row>
    <row r="408" spans="20:25" x14ac:dyDescent="0.25">
      <c r="T408" s="118"/>
      <c r="V408" s="93"/>
      <c r="Y408" s="93"/>
    </row>
    <row r="409" spans="20:25" x14ac:dyDescent="0.25">
      <c r="T409" s="118"/>
      <c r="V409" s="93"/>
      <c r="Y409" s="93"/>
    </row>
    <row r="410" spans="20:25" x14ac:dyDescent="0.25">
      <c r="T410" s="118"/>
      <c r="V410" s="93"/>
      <c r="Y410" s="93"/>
    </row>
    <row r="411" spans="20:25" x14ac:dyDescent="0.25">
      <c r="T411" s="118"/>
      <c r="V411" s="93"/>
      <c r="Y411" s="93"/>
    </row>
    <row r="412" spans="20:25" x14ac:dyDescent="0.25">
      <c r="T412" s="118"/>
      <c r="V412" s="93"/>
      <c r="Y412" s="93"/>
    </row>
    <row r="413" spans="20:25" x14ac:dyDescent="0.25">
      <c r="T413" s="118"/>
      <c r="V413" s="93"/>
      <c r="Y413" s="93"/>
    </row>
    <row r="414" spans="20:25" x14ac:dyDescent="0.25">
      <c r="T414" s="118"/>
      <c r="V414" s="93"/>
      <c r="Y414" s="93"/>
    </row>
    <row r="415" spans="20:25" x14ac:dyDescent="0.25">
      <c r="T415" s="118"/>
      <c r="V415" s="93"/>
      <c r="Y415" s="93"/>
    </row>
    <row r="416" spans="20:25" x14ac:dyDescent="0.25">
      <c r="T416" s="118"/>
      <c r="V416" s="93"/>
      <c r="Y416" s="93"/>
    </row>
    <row r="417" spans="20:25" x14ac:dyDescent="0.25">
      <c r="T417" s="118"/>
      <c r="V417" s="93"/>
      <c r="Y417" s="93"/>
    </row>
    <row r="418" spans="20:25" x14ac:dyDescent="0.25">
      <c r="T418" s="118"/>
      <c r="V418" s="93"/>
      <c r="Y418" s="93"/>
    </row>
    <row r="419" spans="20:25" x14ac:dyDescent="0.25">
      <c r="T419" s="118"/>
      <c r="V419" s="93"/>
      <c r="Y419" s="93"/>
    </row>
    <row r="420" spans="20:25" x14ac:dyDescent="0.25">
      <c r="T420" s="118"/>
      <c r="V420" s="93"/>
      <c r="Y420" s="93"/>
    </row>
    <row r="421" spans="20:25" x14ac:dyDescent="0.25">
      <c r="T421" s="118"/>
      <c r="V421" s="93"/>
      <c r="Y421" s="93"/>
    </row>
    <row r="422" spans="20:25" x14ac:dyDescent="0.25">
      <c r="T422" s="118"/>
      <c r="V422" s="93"/>
      <c r="Y422" s="93"/>
    </row>
    <row r="423" spans="20:25" x14ac:dyDescent="0.25">
      <c r="T423" s="118"/>
      <c r="V423" s="93"/>
      <c r="Y423" s="93"/>
    </row>
    <row r="424" spans="20:25" x14ac:dyDescent="0.25">
      <c r="T424" s="118"/>
      <c r="V424" s="93"/>
      <c r="Y424" s="93"/>
    </row>
    <row r="425" spans="20:25" x14ac:dyDescent="0.25">
      <c r="T425" s="118"/>
      <c r="V425" s="93"/>
      <c r="Y425" s="93"/>
    </row>
    <row r="426" spans="20:25" x14ac:dyDescent="0.25">
      <c r="T426" s="118"/>
      <c r="V426" s="93"/>
      <c r="Y426" s="93"/>
    </row>
    <row r="427" spans="20:25" x14ac:dyDescent="0.25">
      <c r="T427" s="118"/>
      <c r="V427" s="93"/>
      <c r="Y427" s="93"/>
    </row>
    <row r="428" spans="20:25" x14ac:dyDescent="0.25">
      <c r="T428" s="118"/>
      <c r="V428" s="93"/>
      <c r="Y428" s="93"/>
    </row>
    <row r="429" spans="20:25" x14ac:dyDescent="0.25">
      <c r="T429" s="118"/>
      <c r="V429" s="93"/>
      <c r="Y429" s="93"/>
    </row>
    <row r="430" spans="20:25" x14ac:dyDescent="0.25">
      <c r="T430" s="118"/>
      <c r="V430" s="93"/>
      <c r="Y430" s="93"/>
    </row>
    <row r="431" spans="20:25" x14ac:dyDescent="0.25">
      <c r="T431" s="118"/>
      <c r="V431" s="93"/>
      <c r="Y431" s="93"/>
    </row>
    <row r="432" spans="20:25" x14ac:dyDescent="0.25">
      <c r="T432" s="118"/>
      <c r="V432" s="93"/>
      <c r="Y432" s="93"/>
    </row>
    <row r="433" spans="20:25" x14ac:dyDescent="0.25">
      <c r="T433" s="118"/>
      <c r="V433" s="93"/>
      <c r="Y433" s="93"/>
    </row>
    <row r="434" spans="20:25" x14ac:dyDescent="0.25">
      <c r="T434" s="118"/>
      <c r="V434" s="93"/>
      <c r="Y434" s="93"/>
    </row>
    <row r="435" spans="20:25" x14ac:dyDescent="0.25">
      <c r="T435" s="118"/>
      <c r="V435" s="93"/>
      <c r="Y435" s="93"/>
    </row>
    <row r="436" spans="20:25" x14ac:dyDescent="0.25">
      <c r="T436" s="118"/>
      <c r="V436" s="93"/>
      <c r="Y436" s="93"/>
    </row>
    <row r="437" spans="20:25" x14ac:dyDescent="0.25">
      <c r="T437" s="118"/>
      <c r="V437" s="93"/>
      <c r="Y437" s="93"/>
    </row>
    <row r="438" spans="20:25" x14ac:dyDescent="0.25">
      <c r="T438" s="118"/>
      <c r="V438" s="93"/>
      <c r="Y438" s="93"/>
    </row>
    <row r="439" spans="20:25" x14ac:dyDescent="0.25">
      <c r="T439" s="118"/>
      <c r="V439" s="93"/>
      <c r="Y439" s="93"/>
    </row>
    <row r="440" spans="20:25" x14ac:dyDescent="0.25">
      <c r="T440" s="118"/>
      <c r="V440" s="93"/>
      <c r="Y440" s="93"/>
    </row>
    <row r="441" spans="20:25" x14ac:dyDescent="0.25">
      <c r="T441" s="118"/>
      <c r="V441" s="93"/>
      <c r="Y441" s="93"/>
    </row>
    <row r="442" spans="20:25" x14ac:dyDescent="0.25">
      <c r="T442" s="118"/>
      <c r="V442" s="93"/>
      <c r="Y442" s="93"/>
    </row>
    <row r="443" spans="20:25" x14ac:dyDescent="0.25">
      <c r="T443" s="118"/>
      <c r="V443" s="93"/>
      <c r="Y443" s="93"/>
    </row>
    <row r="444" spans="20:25" x14ac:dyDescent="0.25">
      <c r="T444" s="118"/>
      <c r="V444" s="93"/>
      <c r="Y444" s="93"/>
    </row>
    <row r="445" spans="20:25" x14ac:dyDescent="0.25">
      <c r="T445" s="118"/>
      <c r="V445" s="93"/>
      <c r="Y445" s="93"/>
    </row>
    <row r="446" spans="20:25" x14ac:dyDescent="0.25">
      <c r="T446" s="118"/>
      <c r="V446" s="93"/>
      <c r="Y446" s="93"/>
    </row>
    <row r="447" spans="20:25" x14ac:dyDescent="0.25">
      <c r="T447" s="118"/>
      <c r="V447" s="93"/>
      <c r="Y447" s="93"/>
    </row>
    <row r="448" spans="20:25" x14ac:dyDescent="0.25">
      <c r="T448" s="118"/>
      <c r="V448" s="93"/>
      <c r="Y448" s="93"/>
    </row>
    <row r="449" spans="20:25" x14ac:dyDescent="0.25">
      <c r="T449" s="118"/>
      <c r="V449" s="93"/>
      <c r="Y449" s="93"/>
    </row>
    <row r="450" spans="20:25" x14ac:dyDescent="0.25">
      <c r="T450" s="118"/>
      <c r="V450" s="93"/>
      <c r="Y450" s="93"/>
    </row>
    <row r="451" spans="20:25" x14ac:dyDescent="0.25">
      <c r="T451" s="118"/>
      <c r="V451" s="93"/>
      <c r="Y451" s="93"/>
    </row>
    <row r="452" spans="20:25" x14ac:dyDescent="0.25">
      <c r="T452" s="118"/>
      <c r="V452" s="93"/>
      <c r="Y452" s="93"/>
    </row>
    <row r="453" spans="20:25" x14ac:dyDescent="0.25">
      <c r="T453" s="118"/>
      <c r="V453" s="93"/>
      <c r="Y453" s="93"/>
    </row>
    <row r="454" spans="20:25" x14ac:dyDescent="0.25">
      <c r="T454" s="118"/>
      <c r="V454" s="93"/>
      <c r="Y454" s="93"/>
    </row>
    <row r="455" spans="20:25" x14ac:dyDescent="0.25">
      <c r="T455" s="118"/>
      <c r="V455" s="93"/>
      <c r="Y455" s="93"/>
    </row>
    <row r="456" spans="20:25" x14ac:dyDescent="0.25">
      <c r="T456" s="118"/>
      <c r="V456" s="93"/>
      <c r="Y456" s="93"/>
    </row>
    <row r="457" spans="20:25" x14ac:dyDescent="0.25">
      <c r="T457" s="118"/>
      <c r="V457" s="93"/>
      <c r="Y457" s="93"/>
    </row>
    <row r="458" spans="20:25" x14ac:dyDescent="0.25">
      <c r="T458" s="118"/>
      <c r="V458" s="93"/>
      <c r="Y458" s="93"/>
    </row>
    <row r="459" spans="20:25" x14ac:dyDescent="0.25">
      <c r="T459" s="118"/>
      <c r="V459" s="93"/>
      <c r="Y459" s="93"/>
    </row>
    <row r="460" spans="20:25" x14ac:dyDescent="0.25">
      <c r="T460" s="118"/>
      <c r="V460" s="93"/>
      <c r="Y460" s="93"/>
    </row>
    <row r="461" spans="20:25" x14ac:dyDescent="0.25">
      <c r="T461" s="118"/>
      <c r="V461" s="93"/>
      <c r="Y461" s="93"/>
    </row>
    <row r="462" spans="20:25" x14ac:dyDescent="0.25">
      <c r="T462" s="118"/>
      <c r="V462" s="93"/>
      <c r="Y462" s="93"/>
    </row>
    <row r="463" spans="20:25" x14ac:dyDescent="0.25">
      <c r="T463" s="118"/>
      <c r="V463" s="93"/>
      <c r="Y463" s="93"/>
    </row>
    <row r="464" spans="20:25" x14ac:dyDescent="0.25">
      <c r="T464" s="118"/>
      <c r="V464" s="93"/>
      <c r="Y464" s="93"/>
    </row>
    <row r="465" spans="20:25" x14ac:dyDescent="0.25">
      <c r="T465" s="118"/>
      <c r="V465" s="93"/>
      <c r="Y465" s="93"/>
    </row>
    <row r="466" spans="20:25" x14ac:dyDescent="0.25">
      <c r="T466" s="118"/>
      <c r="V466" s="93"/>
      <c r="Y466" s="93"/>
    </row>
    <row r="467" spans="20:25" x14ac:dyDescent="0.25">
      <c r="T467" s="118"/>
      <c r="V467" s="93"/>
      <c r="Y467" s="93"/>
    </row>
    <row r="468" spans="20:25" x14ac:dyDescent="0.25">
      <c r="T468" s="118"/>
      <c r="V468" s="93"/>
      <c r="Y468" s="93"/>
    </row>
    <row r="469" spans="20:25" x14ac:dyDescent="0.25">
      <c r="T469" s="118"/>
      <c r="V469" s="93"/>
      <c r="Y469" s="93"/>
    </row>
    <row r="470" spans="20:25" x14ac:dyDescent="0.25">
      <c r="T470" s="118"/>
      <c r="V470" s="93"/>
      <c r="Y470" s="93"/>
    </row>
    <row r="471" spans="20:25" x14ac:dyDescent="0.25">
      <c r="T471" s="118"/>
      <c r="V471" s="93"/>
      <c r="Y471" s="93"/>
    </row>
    <row r="472" spans="20:25" x14ac:dyDescent="0.25">
      <c r="T472" s="118"/>
      <c r="V472" s="93"/>
      <c r="Y472" s="93"/>
    </row>
    <row r="473" spans="20:25" x14ac:dyDescent="0.25">
      <c r="T473" s="118"/>
      <c r="V473" s="93"/>
      <c r="Y473" s="93"/>
    </row>
    <row r="474" spans="20:25" x14ac:dyDescent="0.25">
      <c r="T474" s="118"/>
      <c r="V474" s="93"/>
      <c r="Y474" s="93"/>
    </row>
    <row r="475" spans="20:25" x14ac:dyDescent="0.25">
      <c r="T475" s="118"/>
      <c r="V475" s="93"/>
      <c r="Y475" s="93"/>
    </row>
    <row r="476" spans="20:25" x14ac:dyDescent="0.25">
      <c r="T476" s="118"/>
      <c r="V476" s="93"/>
      <c r="Y476" s="93"/>
    </row>
    <row r="477" spans="20:25" x14ac:dyDescent="0.25">
      <c r="T477" s="118"/>
      <c r="V477" s="93"/>
      <c r="Y477" s="93"/>
    </row>
    <row r="478" spans="20:25" x14ac:dyDescent="0.25">
      <c r="T478" s="118"/>
      <c r="V478" s="93"/>
      <c r="Y478" s="93"/>
    </row>
    <row r="479" spans="20:25" x14ac:dyDescent="0.25">
      <c r="T479" s="118"/>
      <c r="V479" s="93"/>
      <c r="Y479" s="93"/>
    </row>
    <row r="480" spans="20:25" x14ac:dyDescent="0.25">
      <c r="T480" s="118"/>
      <c r="V480" s="93"/>
      <c r="Y480" s="93"/>
    </row>
    <row r="481" spans="20:25" x14ac:dyDescent="0.25">
      <c r="T481" s="118"/>
      <c r="V481" s="93"/>
      <c r="Y481" s="93"/>
    </row>
    <row r="482" spans="20:25" x14ac:dyDescent="0.25">
      <c r="T482" s="118"/>
      <c r="V482" s="93"/>
      <c r="Y482" s="93"/>
    </row>
    <row r="483" spans="20:25" x14ac:dyDescent="0.25">
      <c r="T483" s="118"/>
      <c r="V483" s="93"/>
      <c r="Y483" s="93"/>
    </row>
    <row r="484" spans="20:25" x14ac:dyDescent="0.25">
      <c r="T484" s="118"/>
      <c r="V484" s="93"/>
      <c r="Y484" s="93"/>
    </row>
    <row r="485" spans="20:25" x14ac:dyDescent="0.25">
      <c r="T485" s="118"/>
      <c r="V485" s="93"/>
      <c r="Y485" s="93"/>
    </row>
    <row r="486" spans="20:25" x14ac:dyDescent="0.25">
      <c r="T486" s="118"/>
      <c r="V486" s="93"/>
      <c r="Y486" s="93"/>
    </row>
    <row r="487" spans="20:25" x14ac:dyDescent="0.25">
      <c r="T487" s="118"/>
      <c r="V487" s="93"/>
      <c r="Y487" s="93"/>
    </row>
    <row r="488" spans="20:25" x14ac:dyDescent="0.25">
      <c r="T488" s="118"/>
      <c r="V488" s="93"/>
      <c r="Y488" s="93"/>
    </row>
    <row r="489" spans="20:25" x14ac:dyDescent="0.25">
      <c r="T489" s="118"/>
      <c r="V489" s="93"/>
      <c r="Y489" s="93"/>
    </row>
    <row r="490" spans="20:25" x14ac:dyDescent="0.25">
      <c r="T490" s="118"/>
      <c r="V490" s="93"/>
      <c r="Y490" s="93"/>
    </row>
    <row r="491" spans="20:25" x14ac:dyDescent="0.25">
      <c r="T491" s="118"/>
      <c r="V491" s="93"/>
      <c r="Y491" s="93"/>
    </row>
    <row r="492" spans="20:25" x14ac:dyDescent="0.25">
      <c r="T492" s="118"/>
      <c r="V492" s="93"/>
      <c r="Y492" s="93"/>
    </row>
    <row r="493" spans="20:25" x14ac:dyDescent="0.25">
      <c r="T493" s="118"/>
      <c r="V493" s="93"/>
      <c r="Y493" s="93"/>
    </row>
    <row r="494" spans="20:25" x14ac:dyDescent="0.25">
      <c r="T494" s="118"/>
      <c r="V494" s="93"/>
      <c r="Y494" s="93"/>
    </row>
    <row r="495" spans="20:25" x14ac:dyDescent="0.25">
      <c r="T495" s="118"/>
      <c r="V495" s="93"/>
      <c r="Y495" s="93"/>
    </row>
    <row r="496" spans="20:25" x14ac:dyDescent="0.25">
      <c r="T496" s="118"/>
      <c r="V496" s="93"/>
      <c r="Y496" s="93"/>
    </row>
    <row r="497" spans="20:25" x14ac:dyDescent="0.25">
      <c r="T497" s="118"/>
      <c r="V497" s="93"/>
      <c r="Y497" s="93"/>
    </row>
    <row r="498" spans="20:25" x14ac:dyDescent="0.25">
      <c r="T498" s="118"/>
      <c r="V498" s="93"/>
      <c r="Y498" s="93"/>
    </row>
    <row r="499" spans="20:25" x14ac:dyDescent="0.25">
      <c r="T499" s="118"/>
      <c r="V499" s="93"/>
      <c r="Y499" s="93"/>
    </row>
    <row r="500" spans="20:25" x14ac:dyDescent="0.25">
      <c r="T500" s="118"/>
      <c r="V500" s="93"/>
      <c r="Y500" s="93"/>
    </row>
    <row r="501" spans="20:25" x14ac:dyDescent="0.25">
      <c r="T501" s="118"/>
      <c r="V501" s="93"/>
      <c r="Y501" s="93"/>
    </row>
    <row r="502" spans="20:25" x14ac:dyDescent="0.25">
      <c r="T502" s="118"/>
      <c r="V502" s="93"/>
      <c r="Y502" s="93"/>
    </row>
    <row r="503" spans="20:25" x14ac:dyDescent="0.25">
      <c r="T503" s="118"/>
      <c r="V503" s="93"/>
      <c r="Y503" s="93"/>
    </row>
    <row r="504" spans="20:25" x14ac:dyDescent="0.25">
      <c r="T504" s="118"/>
      <c r="V504" s="93"/>
      <c r="Y504" s="93"/>
    </row>
    <row r="505" spans="20:25" x14ac:dyDescent="0.25">
      <c r="T505" s="118"/>
      <c r="V505" s="93"/>
      <c r="Y505" s="93"/>
    </row>
    <row r="506" spans="20:25" x14ac:dyDescent="0.25">
      <c r="T506" s="118"/>
      <c r="V506" s="93"/>
      <c r="Y506" s="93"/>
    </row>
    <row r="507" spans="20:25" x14ac:dyDescent="0.25">
      <c r="T507" s="118"/>
      <c r="V507" s="93"/>
      <c r="Y507" s="93"/>
    </row>
    <row r="508" spans="20:25" x14ac:dyDescent="0.25">
      <c r="T508" s="118"/>
      <c r="V508" s="93"/>
      <c r="Y508" s="93"/>
    </row>
    <row r="509" spans="20:25" x14ac:dyDescent="0.25">
      <c r="T509" s="118"/>
      <c r="V509" s="93"/>
      <c r="Y509" s="93"/>
    </row>
    <row r="510" spans="20:25" x14ac:dyDescent="0.25">
      <c r="T510" s="118"/>
      <c r="V510" s="93"/>
      <c r="Y510" s="93"/>
    </row>
    <row r="511" spans="20:25" x14ac:dyDescent="0.25">
      <c r="T511" s="118"/>
      <c r="V511" s="93"/>
      <c r="Y511" s="93"/>
    </row>
    <row r="512" spans="20:25" x14ac:dyDescent="0.25">
      <c r="T512" s="118"/>
      <c r="V512" s="93"/>
      <c r="Y512" s="93"/>
    </row>
    <row r="513" spans="20:25" x14ac:dyDescent="0.25">
      <c r="T513" s="118"/>
      <c r="V513" s="93"/>
      <c r="Y513" s="93"/>
    </row>
    <row r="514" spans="20:25" x14ac:dyDescent="0.25">
      <c r="T514" s="118"/>
      <c r="V514" s="93"/>
      <c r="Y514" s="93"/>
    </row>
    <row r="515" spans="20:25" x14ac:dyDescent="0.25">
      <c r="T515" s="118"/>
      <c r="V515" s="93"/>
      <c r="Y515" s="93"/>
    </row>
    <row r="516" spans="20:25" x14ac:dyDescent="0.25">
      <c r="T516" s="118"/>
      <c r="V516" s="93"/>
      <c r="Y516" s="93"/>
    </row>
    <row r="517" spans="20:25" x14ac:dyDescent="0.25">
      <c r="T517" s="118"/>
      <c r="V517" s="93"/>
      <c r="Y517" s="93"/>
    </row>
    <row r="518" spans="20:25" x14ac:dyDescent="0.25">
      <c r="T518" s="118"/>
      <c r="V518" s="93"/>
      <c r="Y518" s="93"/>
    </row>
    <row r="519" spans="20:25" x14ac:dyDescent="0.25">
      <c r="T519" s="118"/>
      <c r="V519" s="93"/>
      <c r="Y519" s="93"/>
    </row>
    <row r="520" spans="20:25" x14ac:dyDescent="0.25">
      <c r="T520" s="118"/>
      <c r="V520" s="93"/>
      <c r="Y520" s="93"/>
    </row>
    <row r="521" spans="20:25" x14ac:dyDescent="0.25">
      <c r="T521" s="118"/>
      <c r="V521" s="93"/>
      <c r="Y521" s="93"/>
    </row>
    <row r="522" spans="20:25" x14ac:dyDescent="0.25">
      <c r="T522" s="118"/>
      <c r="V522" s="93"/>
      <c r="Y522" s="93"/>
    </row>
    <row r="523" spans="20:25" x14ac:dyDescent="0.25">
      <c r="T523" s="118"/>
      <c r="V523" s="93"/>
      <c r="Y523" s="93"/>
    </row>
    <row r="524" spans="20:25" x14ac:dyDescent="0.25">
      <c r="T524" s="118"/>
      <c r="V524" s="93"/>
      <c r="Y524" s="93"/>
    </row>
    <row r="525" spans="20:25" x14ac:dyDescent="0.25">
      <c r="T525" s="118"/>
      <c r="V525" s="93"/>
      <c r="Y525" s="93"/>
    </row>
    <row r="526" spans="20:25" x14ac:dyDescent="0.25">
      <c r="T526" s="118"/>
      <c r="V526" s="93"/>
      <c r="Y526" s="93"/>
    </row>
    <row r="527" spans="20:25" x14ac:dyDescent="0.25">
      <c r="T527" s="118"/>
      <c r="V527" s="93"/>
      <c r="Y527" s="93"/>
    </row>
    <row r="528" spans="20:25" x14ac:dyDescent="0.25">
      <c r="T528" s="118"/>
      <c r="V528" s="93"/>
      <c r="Y528" s="93"/>
    </row>
    <row r="529" spans="20:25" x14ac:dyDescent="0.25">
      <c r="T529" s="118"/>
      <c r="V529" s="93"/>
      <c r="Y529" s="93"/>
    </row>
    <row r="530" spans="20:25" x14ac:dyDescent="0.25">
      <c r="T530" s="118"/>
      <c r="V530" s="93"/>
      <c r="Y530" s="93"/>
    </row>
    <row r="531" spans="20:25" x14ac:dyDescent="0.25">
      <c r="T531" s="118"/>
      <c r="V531" s="93"/>
      <c r="Y531" s="93"/>
    </row>
    <row r="532" spans="20:25" x14ac:dyDescent="0.25">
      <c r="T532" s="118"/>
      <c r="V532" s="93"/>
      <c r="Y532" s="93"/>
    </row>
    <row r="533" spans="20:25" x14ac:dyDescent="0.25">
      <c r="T533" s="118"/>
      <c r="V533" s="93"/>
      <c r="Y533" s="93"/>
    </row>
    <row r="534" spans="20:25" x14ac:dyDescent="0.25">
      <c r="T534" s="118"/>
      <c r="V534" s="93"/>
      <c r="Y534" s="93"/>
    </row>
    <row r="535" spans="20:25" x14ac:dyDescent="0.25">
      <c r="T535" s="118"/>
      <c r="V535" s="93"/>
      <c r="Y535" s="93"/>
    </row>
    <row r="536" spans="20:25" x14ac:dyDescent="0.25">
      <c r="T536" s="118"/>
      <c r="V536" s="93"/>
      <c r="Y536" s="93"/>
    </row>
    <row r="537" spans="20:25" x14ac:dyDescent="0.25">
      <c r="T537" s="118"/>
      <c r="V537" s="93"/>
      <c r="Y537" s="93"/>
    </row>
    <row r="538" spans="20:25" x14ac:dyDescent="0.25">
      <c r="T538" s="118"/>
      <c r="V538" s="93"/>
      <c r="Y538" s="93"/>
    </row>
    <row r="539" spans="20:25" x14ac:dyDescent="0.25">
      <c r="T539" s="118"/>
      <c r="V539" s="93"/>
      <c r="Y539" s="93"/>
    </row>
    <row r="540" spans="20:25" x14ac:dyDescent="0.25">
      <c r="T540" s="118"/>
      <c r="V540" s="93"/>
      <c r="Y540" s="93"/>
    </row>
    <row r="541" spans="20:25" x14ac:dyDescent="0.25">
      <c r="T541" s="118"/>
      <c r="V541" s="93"/>
      <c r="Y541" s="93"/>
    </row>
    <row r="542" spans="20:25" x14ac:dyDescent="0.25">
      <c r="T542" s="118"/>
      <c r="V542" s="93"/>
      <c r="Y542" s="93"/>
    </row>
    <row r="543" spans="20:25" x14ac:dyDescent="0.25">
      <c r="T543" s="118"/>
      <c r="V543" s="93"/>
      <c r="Y543" s="93"/>
    </row>
    <row r="544" spans="20:25" x14ac:dyDescent="0.25">
      <c r="T544" s="118"/>
      <c r="V544" s="93"/>
      <c r="Y544" s="93"/>
    </row>
    <row r="545" spans="20:25" x14ac:dyDescent="0.25">
      <c r="T545" s="118"/>
      <c r="V545" s="93"/>
      <c r="Y545" s="93"/>
    </row>
    <row r="546" spans="20:25" x14ac:dyDescent="0.25">
      <c r="T546" s="118"/>
      <c r="V546" s="93"/>
      <c r="Y546" s="93"/>
    </row>
    <row r="547" spans="20:25" x14ac:dyDescent="0.25">
      <c r="T547" s="118"/>
      <c r="V547" s="93"/>
      <c r="Y547" s="93"/>
    </row>
    <row r="548" spans="20:25" x14ac:dyDescent="0.25">
      <c r="T548" s="118"/>
      <c r="V548" s="93"/>
      <c r="Y548" s="93"/>
    </row>
    <row r="549" spans="20:25" x14ac:dyDescent="0.25">
      <c r="T549" s="118"/>
      <c r="V549" s="93"/>
      <c r="Y549" s="93"/>
    </row>
    <row r="550" spans="20:25" x14ac:dyDescent="0.25">
      <c r="T550" s="118"/>
      <c r="V550" s="93"/>
      <c r="Y550" s="93"/>
    </row>
    <row r="551" spans="20:25" x14ac:dyDescent="0.25">
      <c r="T551" s="118"/>
      <c r="V551" s="93"/>
      <c r="Y551" s="93"/>
    </row>
    <row r="552" spans="20:25" x14ac:dyDescent="0.25">
      <c r="T552" s="118"/>
      <c r="V552" s="93"/>
      <c r="Y552" s="93"/>
    </row>
    <row r="553" spans="20:25" x14ac:dyDescent="0.25">
      <c r="T553" s="118"/>
      <c r="V553" s="93"/>
      <c r="Y553" s="93"/>
    </row>
    <row r="554" spans="20:25" x14ac:dyDescent="0.25">
      <c r="T554" s="118"/>
      <c r="V554" s="93"/>
      <c r="Y554" s="93"/>
    </row>
    <row r="555" spans="20:25" x14ac:dyDescent="0.25">
      <c r="T555" s="118"/>
      <c r="V555" s="93"/>
      <c r="Y555" s="93"/>
    </row>
    <row r="556" spans="20:25" x14ac:dyDescent="0.25">
      <c r="T556" s="118"/>
      <c r="V556" s="93"/>
      <c r="Y556" s="93"/>
    </row>
    <row r="557" spans="20:25" x14ac:dyDescent="0.25">
      <c r="T557" s="118"/>
      <c r="V557" s="93"/>
      <c r="Y557" s="93"/>
    </row>
    <row r="558" spans="20:25" x14ac:dyDescent="0.25">
      <c r="T558" s="118"/>
      <c r="V558" s="93"/>
      <c r="Y558" s="93"/>
    </row>
    <row r="559" spans="20:25" x14ac:dyDescent="0.25">
      <c r="T559" s="118"/>
      <c r="V559" s="93"/>
      <c r="Y559" s="93"/>
    </row>
    <row r="560" spans="20:25" x14ac:dyDescent="0.25">
      <c r="T560" s="118"/>
      <c r="V560" s="93"/>
      <c r="Y560" s="93"/>
    </row>
    <row r="561" spans="20:25" x14ac:dyDescent="0.25">
      <c r="T561" s="118"/>
      <c r="V561" s="93"/>
      <c r="Y561" s="93"/>
    </row>
    <row r="562" spans="20:25" x14ac:dyDescent="0.25">
      <c r="T562" s="118"/>
      <c r="V562" s="93"/>
      <c r="Y562" s="93"/>
    </row>
    <row r="563" spans="20:25" x14ac:dyDescent="0.25">
      <c r="T563" s="118"/>
      <c r="V563" s="93"/>
      <c r="Y563" s="93"/>
    </row>
    <row r="564" spans="20:25" x14ac:dyDescent="0.25">
      <c r="T564" s="118"/>
      <c r="V564" s="93"/>
      <c r="Y564" s="93"/>
    </row>
    <row r="565" spans="20:25" x14ac:dyDescent="0.25">
      <c r="T565" s="118"/>
      <c r="V565" s="93"/>
      <c r="Y565" s="93"/>
    </row>
    <row r="566" spans="20:25" x14ac:dyDescent="0.25">
      <c r="T566" s="118"/>
      <c r="V566" s="93"/>
      <c r="Y566" s="93"/>
    </row>
    <row r="567" spans="20:25" x14ac:dyDescent="0.25">
      <c r="T567" s="118"/>
      <c r="V567" s="93"/>
      <c r="Y567" s="93"/>
    </row>
    <row r="568" spans="20:25" x14ac:dyDescent="0.25">
      <c r="T568" s="118"/>
      <c r="V568" s="93"/>
      <c r="Y568" s="93"/>
    </row>
    <row r="569" spans="20:25" x14ac:dyDescent="0.25">
      <c r="T569" s="118"/>
      <c r="V569" s="93"/>
      <c r="Y569" s="93"/>
    </row>
    <row r="570" spans="20:25" x14ac:dyDescent="0.25">
      <c r="T570" s="118"/>
      <c r="V570" s="93"/>
      <c r="Y570" s="93"/>
    </row>
  </sheetData>
  <sheetProtection password="FFFD" sheet="1" formatCells="0" formatColumns="0" formatRows="0" insertColumns="0" insertRows="0" insertHyperlinks="0" deleteColumns="0" deleteRows="0" selectLockedCells="1"/>
  <mergeCells count="61">
    <mergeCell ref="C9:C10"/>
    <mergeCell ref="D9:D10"/>
    <mergeCell ref="Q80:Q87"/>
    <mergeCell ref="Q9:Q10"/>
    <mergeCell ref="R9:R10"/>
    <mergeCell ref="E9:E10"/>
    <mergeCell ref="F9:O9"/>
    <mergeCell ref="F63:O63"/>
    <mergeCell ref="Q63:AD63"/>
    <mergeCell ref="F64:O64"/>
    <mergeCell ref="S64:S70"/>
    <mergeCell ref="U9:AD9"/>
    <mergeCell ref="S9:S10"/>
    <mergeCell ref="T9:T10"/>
    <mergeCell ref="B61:C61"/>
    <mergeCell ref="D64:D70"/>
    <mergeCell ref="C4:H4"/>
    <mergeCell ref="I4:O4"/>
    <mergeCell ref="P4:AD4"/>
    <mergeCell ref="D5:H5"/>
    <mergeCell ref="I5:K5"/>
    <mergeCell ref="L5:O5"/>
    <mergeCell ref="P5:AD7"/>
    <mergeCell ref="D6:H6"/>
    <mergeCell ref="I6:K6"/>
    <mergeCell ref="L6:O6"/>
    <mergeCell ref="D7:H7"/>
    <mergeCell ref="I7:K7"/>
    <mergeCell ref="L7:O7"/>
    <mergeCell ref="E64:E70"/>
    <mergeCell ref="Q64:Q70"/>
    <mergeCell ref="F69:O69"/>
    <mergeCell ref="F70:O70"/>
    <mergeCell ref="F71:O71"/>
    <mergeCell ref="Q71:AD71"/>
    <mergeCell ref="U64:AD70"/>
    <mergeCell ref="F66:O66"/>
    <mergeCell ref="F67:O67"/>
    <mergeCell ref="F68:O68"/>
    <mergeCell ref="F65:O65"/>
    <mergeCell ref="U80:AD87"/>
    <mergeCell ref="F81:O81"/>
    <mergeCell ref="F82:O82"/>
    <mergeCell ref="F83:O83"/>
    <mergeCell ref="F78:O78"/>
    <mergeCell ref="F79:O79"/>
    <mergeCell ref="Q79:AD79"/>
    <mergeCell ref="F80:O80"/>
    <mergeCell ref="U72:AD78"/>
    <mergeCell ref="F75:O75"/>
    <mergeCell ref="F76:O76"/>
    <mergeCell ref="F77:O77"/>
    <mergeCell ref="F72:O72"/>
    <mergeCell ref="F73:O73"/>
    <mergeCell ref="F74:O74"/>
    <mergeCell ref="Q72:Q78"/>
    <mergeCell ref="F87:O87"/>
    <mergeCell ref="B89:C89"/>
    <mergeCell ref="F84:O84"/>
    <mergeCell ref="F85:O85"/>
    <mergeCell ref="F86:O86"/>
  </mergeCells>
  <conditionalFormatting sqref="R34">
    <cfRule type="expression" dxfId="9" priority="4">
      <formula>$R$34=0</formula>
    </cfRule>
  </conditionalFormatting>
  <conditionalFormatting sqref="S11:S13">
    <cfRule type="cellIs" dxfId="8" priority="14" stopIfTrue="1" operator="notBetween">
      <formula>0</formula>
      <formula>999999999</formula>
    </cfRule>
  </conditionalFormatting>
  <conditionalFormatting sqref="S15:S19">
    <cfRule type="cellIs" dxfId="7" priority="13" stopIfTrue="1" operator="notBetween">
      <formula>0</formula>
      <formula>999999999</formula>
    </cfRule>
  </conditionalFormatting>
  <conditionalFormatting sqref="S21:S32">
    <cfRule type="cellIs" dxfId="6" priority="12" stopIfTrue="1" operator="notBetween">
      <formula>0</formula>
      <formula>999999999</formula>
    </cfRule>
  </conditionalFormatting>
  <conditionalFormatting sqref="S34:S47">
    <cfRule type="cellIs" dxfId="5" priority="5" stopIfTrue="1" operator="notBetween">
      <formula>0</formula>
      <formula>999999999</formula>
    </cfRule>
  </conditionalFormatting>
  <conditionalFormatting sqref="S49:S60">
    <cfRule type="cellIs" dxfId="4" priority="10" stopIfTrue="1" operator="notBetween">
      <formula>0</formula>
      <formula>999999999</formula>
    </cfRule>
  </conditionalFormatting>
  <conditionalFormatting sqref="S72:S78">
    <cfRule type="cellIs" dxfId="3" priority="2" stopIfTrue="1" operator="notBetween">
      <formula>0</formula>
      <formula>999999999</formula>
    </cfRule>
  </conditionalFormatting>
  <conditionalFormatting sqref="S80:S88">
    <cfRule type="cellIs" dxfId="2" priority="1" stopIfTrue="1" operator="notBetween">
      <formula>0</formula>
      <formula>999999999</formula>
    </cfRule>
  </conditionalFormatting>
  <conditionalFormatting sqref="S91:S98">
    <cfRule type="cellIs" dxfId="1" priority="7" stopIfTrue="1" operator="notBetween">
      <formula>0</formula>
      <formula>999999999</formula>
    </cfRule>
  </conditionalFormatting>
  <conditionalFormatting sqref="U34:AD34">
    <cfRule type="expression" dxfId="0" priority="3">
      <formula>U$34=0</formula>
    </cfRule>
  </conditionalFormatting>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5</vt:i4>
      </vt:variant>
    </vt:vector>
  </HeadingPairs>
  <TitlesOfParts>
    <vt:vector size="11" baseType="lpstr">
      <vt:lpstr>Overview IB</vt:lpstr>
      <vt:lpstr>Drop Down</vt:lpstr>
      <vt:lpstr>1. ZWB</vt:lpstr>
      <vt:lpstr>2. ZWB</vt:lpstr>
      <vt:lpstr>3. ZWB</vt:lpstr>
      <vt:lpstr>EB</vt:lpstr>
      <vt:lpstr>'1. ZWB'!Druckbereich</vt:lpstr>
      <vt:lpstr>'2. ZWB'!Druckbereich</vt:lpstr>
      <vt:lpstr>'3. ZWB'!Druckbereich</vt:lpstr>
      <vt:lpstr>EB!Druckbereich</vt:lpstr>
      <vt:lpstr>'Overview IB'!Druckbereich</vt:lpstr>
    </vt:vector>
  </TitlesOfParts>
  <Company>BKA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Indikatorenbericht - Vorlage</dc:title>
  <dc:creator>BKA</dc:creator>
  <cp:lastModifiedBy>FA, Arpad</cp:lastModifiedBy>
  <cp:lastPrinted>2020-02-26T07:40:23Z</cp:lastPrinted>
  <dcterms:created xsi:type="dcterms:W3CDTF">2018-04-16T09:43:52Z</dcterms:created>
  <dcterms:modified xsi:type="dcterms:W3CDTF">2026-04-30T08:47:05Z</dcterms:modified>
</cp:coreProperties>
</file>