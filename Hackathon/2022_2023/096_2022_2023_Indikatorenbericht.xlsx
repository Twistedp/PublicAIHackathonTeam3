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H:\BKA\Sektion_II\II_3\3_NATIONAL\13_Monitoring Indikatoren\Hackaton Daten\2022_2023\"/>
    </mc:Choice>
  </mc:AlternateContent>
  <xr:revisionPtr revIDLastSave="0" documentId="13_ncr:1_{60999AB8-80E4-4828-B437-501100CC80C1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Overview IB" sheetId="1" r:id="rId1"/>
    <sheet name="1. ZWB " sheetId="6" r:id="rId2"/>
    <sheet name="2. ZWB " sheetId="7" r:id="rId3"/>
    <sheet name="3. ZWB " sheetId="8" r:id="rId4"/>
    <sheet name="EB " sheetId="9" r:id="rId5"/>
  </sheets>
  <externalReferences>
    <externalReference r:id="rId6"/>
    <externalReference r:id="rId7"/>
  </externalReferences>
  <definedNames>
    <definedName name="A_Ja_Nein_Liste">[1]sysAuswahl!$A$5:$A$6</definedName>
    <definedName name="A_Ja_Nein_Rev">[1]sysAuswahl!$F$5:$G$7</definedName>
    <definedName name="A_Ja_Nein_Wert">[1]sysAuswahl!$C$5:$D$7</definedName>
    <definedName name="A_MASSN_Liste">[1]sysAuswahl!$A$23:$A$31</definedName>
    <definedName name="A_MASSN_Rev">[1]sysAuswahl!$F$23:$G$32</definedName>
    <definedName name="A_MASSN_Wert">[1]sysAuswahl!$C$23:$D$32</definedName>
    <definedName name="A_ProjArt_Liste">[1]sysAuswahl!$A$14:$A$16</definedName>
    <definedName name="_xlnm.Print_Area" localSheetId="0">'Overview IB'!$B$2:$S$92,'Overview IB'!#REF!,'Overview IB'!$U$2:$V$92</definedName>
    <definedName name="F_FondsBez">[1]Eingabe_1_bis_4!$F$15</definedName>
    <definedName name="F_Massnahme">[1]Eingabe_1_bis_4!$F$19</definedName>
    <definedName name="F_MONSYS_Aktenzeichen">[1]Eingabe_1_bis_4!$F$7</definedName>
    <definedName name="F_MONSYS_Eingangsdatum">[1]Eingabe_1_bis_4!$F$5</definedName>
    <definedName name="F_MONSYS_eingegangenBei">[1]Eingabe_1_bis_4!$F$4</definedName>
    <definedName name="F_MONSYS_FassungVom">[1]Eingabe_1_bis_4!$F$6</definedName>
    <definedName name="F_MONSYS_Projektcode">[1]Eingabe_1_bis_4!$F$9</definedName>
    <definedName name="F_MONSYS_Vertragsnummer">[1]Eingabe_1_bis_4!$F$8</definedName>
    <definedName name="F_PA1_Ansprech">[1]Eingabe_5!$F$20</definedName>
    <definedName name="F_PA1_Email">[1]Eingabe_5!$F$26</definedName>
    <definedName name="F_PA1_Fax">[1]Eingabe_5!$F$24</definedName>
    <definedName name="F_PA1_Telefon">[1]Eingabe_5!$F$22</definedName>
    <definedName name="F_PA2_Ansprech">[1]Eingabe_5!$F$44</definedName>
    <definedName name="F_PA2_Email">[1]Eingabe_5!$F$50</definedName>
    <definedName name="F_PA2_Fax">[1]Eingabe_5!$F$48</definedName>
    <definedName name="F_PA2_Telefon">[1]Eingabe_5!$F$46</definedName>
    <definedName name="F_PK_KACode_L00">[1]Eingabe_6!$F$48</definedName>
    <definedName name="F_PK_KACode_L01">[1]Eingabe_6!$F$52</definedName>
    <definedName name="F_PK_KACode_L02">[1]Eingabe_6!$F$56</definedName>
    <definedName name="F_PK_KACode_L03">[1]Eingabe_6!$F$60</definedName>
    <definedName name="F_PK_KACode_L04">[1]Eingabe_6!$F$64</definedName>
    <definedName name="F_PK_KACode_L05">[1]Eingabe_6!$F$68</definedName>
    <definedName name="F_PK_KACode_L06">[1]Eingabe_6!$F$72</definedName>
    <definedName name="F_PK_KACode_L07">[1]Eingabe_6!$F$76</definedName>
    <definedName name="F_PK_KACode_L08">[1]Eingabe_6!$F$80</definedName>
    <definedName name="F_PK_KACode_L09">[1]Eingabe_6!$F$84</definedName>
    <definedName name="F_PK_PK_Notiz_L00">[1]Eingabe_6!$F$50</definedName>
    <definedName name="F_PK_PK_Notiz_L01">[1]Eingabe_6!$F$54</definedName>
    <definedName name="F_PK_PK_Notiz_L02">[1]Eingabe_6!$F$58</definedName>
    <definedName name="F_PK_PK_Notiz_L03">[1]Eingabe_6!$F$62</definedName>
    <definedName name="F_PK_PK_Notiz_L04">[1]Eingabe_6!$F$66</definedName>
    <definedName name="F_PK_PK_Notiz_L05">[1]Eingabe_6!$F$70</definedName>
    <definedName name="F_PK_PK_Notiz_L06">[1]Eingabe_6!$F$74</definedName>
    <definedName name="F_PK_PK_Notiz_L07">[1]Eingabe_6!$F$78</definedName>
    <definedName name="F_PK_PK_Notiz_L08">[1]Eingabe_6!$F$82</definedName>
    <definedName name="F_PK_PK_Notiz_L09">[1]Eingabe_6!$F$86</definedName>
    <definedName name="F_PK_Z01">[1]Eingabe_6!$F$34</definedName>
    <definedName name="F_PK_Z02">[1]Eingabe_6!$F$36</definedName>
    <definedName name="F_PK_Z03">[1]Eingabe_6!$F$38</definedName>
    <definedName name="F_PK_Z04">[1]Eingabe_6!$F$40</definedName>
    <definedName name="F_PR_AZVFS">[1]Eingabe_1_bis_4!$F$25</definedName>
    <definedName name="F_PR_FEAnsprech">[1]Eingabe_1_bis_4!$F$71</definedName>
    <definedName name="F_PR_FEAnsprech_Email">[1]Eingabe_1_bis_4!$F$77</definedName>
    <definedName name="F_PR_FEAnsprech_Fax">[1]Eingabe_1_bis_4!$F$75</definedName>
    <definedName name="F_PR_FEAnsprech_Telefon">[1]Eingabe_1_bis_4!$F$73</definedName>
    <definedName name="F_PR_FEBLZ">[1]Eingabe_1_bis_4!$F$87</definedName>
    <definedName name="F_PR_FEKontonr">[1]Eingabe_1_bis_4!$F$85</definedName>
    <definedName name="F_PR_FeMWST">[1]Eingabe_1_bis_4!$F$61</definedName>
    <definedName name="F_PR_FEZeichBerecht">[1]Eingabe_1_bis_4!$F$57</definedName>
    <definedName name="F_PR_Grenzland">[1]Eingabe_1_bis_4!$F$67</definedName>
    <definedName name="F_PR_Link">[1]Eingabe_1_bis_4!$F$81</definedName>
    <definedName name="F_PR_Projdf_anf">[1]Eingabe_6!$F$7</definedName>
    <definedName name="F_PR_Projdf_end">[1]Eingabe_6!$F$9</definedName>
    <definedName name="F_PR_Projektbeschreibung1">[1]Eingabe_6!$F$27</definedName>
    <definedName name="F_PR_Projektbeschreibung2">[1]Eingabe_6!$F$28</definedName>
    <definedName name="F_PR_Projinfo">[1]Eingabe_6!$F$25</definedName>
    <definedName name="F_PR_Projtitel">[1]Eingabe_1_bis_4!$F$23</definedName>
    <definedName name="F_PR_Standort">[1]Eingabe_6!$F$44</definedName>
    <definedName name="F_PR_Ziele">[1]Eingabe_6!$F$30</definedName>
    <definedName name="Handlungsfeld">'[2]Angaben zum Projekt'!$D$6</definedName>
    <definedName name="Maßnahmenbereich" localSheetId="1">#REF!</definedName>
    <definedName name="Maßnahmenbereich" localSheetId="2">#REF!</definedName>
    <definedName name="Maßnahmenbereich" localSheetId="3">#REF!</definedName>
    <definedName name="Maßnahmenbereich" localSheetId="4">#REF!</definedName>
    <definedName name="Maßnahmenbereich">#REF!</definedName>
    <definedName name="Sprache_und_Bildung">'Overview IB'!$D$7</definedName>
    <definedName name="Version_Dok">[1]Version!$B$1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10" i="7" l="1"/>
  <c r="H16" i="6"/>
  <c r="H10" i="6" s="1"/>
  <c r="H24" i="6" l="1"/>
  <c r="Q87" i="1" l="1"/>
  <c r="Q88" i="1"/>
  <c r="Q89" i="1"/>
  <c r="Q90" i="1"/>
  <c r="Q91" i="1"/>
  <c r="Q92" i="1"/>
  <c r="Q86" i="1"/>
  <c r="N87" i="1"/>
  <c r="N88" i="1"/>
  <c r="N89" i="1"/>
  <c r="N90" i="1"/>
  <c r="N91" i="1"/>
  <c r="N92" i="1"/>
  <c r="N86" i="1"/>
  <c r="K87" i="1"/>
  <c r="K88" i="1"/>
  <c r="K89" i="1"/>
  <c r="K90" i="1"/>
  <c r="K91" i="1"/>
  <c r="K92" i="1"/>
  <c r="K86" i="1"/>
  <c r="Q66" i="1"/>
  <c r="Q67" i="1"/>
  <c r="Q68" i="1"/>
  <c r="Q69" i="1"/>
  <c r="Q70" i="1"/>
  <c r="Q71" i="1"/>
  <c r="Q73" i="1"/>
  <c r="Q74" i="1"/>
  <c r="Q75" i="1"/>
  <c r="Q76" i="1"/>
  <c r="Q78" i="1"/>
  <c r="Q79" i="1"/>
  <c r="Q80" i="1"/>
  <c r="Q81" i="1"/>
  <c r="Q82" i="1"/>
  <c r="Q83" i="1"/>
  <c r="Q84" i="1"/>
  <c r="N66" i="1"/>
  <c r="N67" i="1"/>
  <c r="N68" i="1"/>
  <c r="N69" i="1"/>
  <c r="N70" i="1"/>
  <c r="N71" i="1"/>
  <c r="N73" i="1"/>
  <c r="N74" i="1"/>
  <c r="N75" i="1"/>
  <c r="N76" i="1"/>
  <c r="N78" i="1"/>
  <c r="N79" i="1"/>
  <c r="N80" i="1"/>
  <c r="N81" i="1"/>
  <c r="N82" i="1"/>
  <c r="N83" i="1"/>
  <c r="N84" i="1"/>
  <c r="K66" i="1"/>
  <c r="K67" i="1"/>
  <c r="K68" i="1"/>
  <c r="K69" i="1"/>
  <c r="K70" i="1"/>
  <c r="K71" i="1"/>
  <c r="K73" i="1"/>
  <c r="K74" i="1"/>
  <c r="K75" i="1"/>
  <c r="K76" i="1"/>
  <c r="K78" i="1"/>
  <c r="K79" i="1"/>
  <c r="K80" i="1"/>
  <c r="K81" i="1"/>
  <c r="K82" i="1"/>
  <c r="K83" i="1"/>
  <c r="K84" i="1"/>
  <c r="H65" i="1"/>
  <c r="Q65" i="1"/>
  <c r="N65" i="1"/>
  <c r="K65" i="1"/>
  <c r="H87" i="1"/>
  <c r="H88" i="1"/>
  <c r="H89" i="1"/>
  <c r="H90" i="1"/>
  <c r="H91" i="1"/>
  <c r="H92" i="1"/>
  <c r="H86" i="1"/>
  <c r="H66" i="1"/>
  <c r="H67" i="1"/>
  <c r="H68" i="1"/>
  <c r="H69" i="1"/>
  <c r="H70" i="1"/>
  <c r="H71" i="1"/>
  <c r="H73" i="1"/>
  <c r="H74" i="1"/>
  <c r="H75" i="1"/>
  <c r="H76" i="1"/>
  <c r="H78" i="1"/>
  <c r="H79" i="1"/>
  <c r="H80" i="1"/>
  <c r="H81" i="1"/>
  <c r="H82" i="1"/>
  <c r="H83" i="1"/>
  <c r="H84" i="1"/>
  <c r="D15" i="8" l="1"/>
  <c r="E12" i="8"/>
  <c r="E14" i="6"/>
  <c r="E10" i="9" l="1"/>
  <c r="E10" i="8"/>
  <c r="E10" i="7"/>
  <c r="E50" i="9"/>
  <c r="E50" i="8"/>
  <c r="E48" i="9"/>
  <c r="E48" i="8"/>
  <c r="E47" i="9"/>
  <c r="E47" i="8"/>
  <c r="E44" i="9"/>
  <c r="E44" i="8"/>
  <c r="E32" i="9"/>
  <c r="E32" i="8"/>
  <c r="E25" i="9"/>
  <c r="E25" i="8"/>
  <c r="E19" i="9"/>
  <c r="E19" i="8"/>
  <c r="E14" i="9"/>
  <c r="E14" i="8"/>
  <c r="E12" i="9"/>
  <c r="E53" i="9"/>
  <c r="E53" i="8"/>
  <c r="E53" i="7"/>
  <c r="E50" i="7"/>
  <c r="E48" i="7"/>
  <c r="E47" i="7"/>
  <c r="E44" i="7"/>
  <c r="E32" i="7"/>
  <c r="E25" i="7"/>
  <c r="E19" i="7"/>
  <c r="E19" i="6"/>
  <c r="E14" i="7"/>
  <c r="E12" i="7"/>
  <c r="E53" i="6"/>
  <c r="E50" i="6"/>
  <c r="E48" i="6"/>
  <c r="E47" i="6"/>
  <c r="E44" i="6"/>
  <c r="E32" i="6"/>
  <c r="E25" i="6"/>
  <c r="E12" i="6"/>
  <c r="E10" i="6"/>
  <c r="Q54" i="1"/>
  <c r="Q55" i="1"/>
  <c r="Q56" i="1"/>
  <c r="Q57" i="1"/>
  <c r="Q58" i="1"/>
  <c r="Q59" i="1"/>
  <c r="Q60" i="1"/>
  <c r="Q61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26" i="1"/>
  <c r="Q27" i="1"/>
  <c r="Q28" i="1"/>
  <c r="Q29" i="1"/>
  <c r="Q30" i="1"/>
  <c r="Q31" i="1"/>
  <c r="Q32" i="1"/>
  <c r="Q33" i="1"/>
  <c r="Q34" i="1"/>
  <c r="Q35" i="1"/>
  <c r="Q36" i="1"/>
  <c r="Q19" i="1"/>
  <c r="Q20" i="1"/>
  <c r="Q21" i="1"/>
  <c r="Q22" i="1"/>
  <c r="Q23" i="1"/>
  <c r="N54" i="1"/>
  <c r="N55" i="1"/>
  <c r="N56" i="1"/>
  <c r="N57" i="1"/>
  <c r="N58" i="1"/>
  <c r="N59" i="1"/>
  <c r="N60" i="1"/>
  <c r="N61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26" i="1"/>
  <c r="N27" i="1"/>
  <c r="N28" i="1"/>
  <c r="N29" i="1"/>
  <c r="N30" i="1"/>
  <c r="N31" i="1"/>
  <c r="N32" i="1"/>
  <c r="N33" i="1"/>
  <c r="N34" i="1"/>
  <c r="N35" i="1"/>
  <c r="N36" i="1"/>
  <c r="N19" i="1"/>
  <c r="N20" i="1"/>
  <c r="N21" i="1"/>
  <c r="N22" i="1"/>
  <c r="N23" i="1"/>
  <c r="D48" i="9"/>
  <c r="D49" i="9"/>
  <c r="D50" i="9"/>
  <c r="D51" i="9"/>
  <c r="D52" i="9"/>
  <c r="D53" i="9"/>
  <c r="D54" i="9"/>
  <c r="D55" i="9"/>
  <c r="D33" i="9"/>
  <c r="D34" i="9"/>
  <c r="D35" i="9"/>
  <c r="D36" i="9"/>
  <c r="D37" i="9"/>
  <c r="D38" i="9"/>
  <c r="D39" i="9"/>
  <c r="D40" i="9"/>
  <c r="D41" i="9"/>
  <c r="D42" i="9"/>
  <c r="D43" i="9"/>
  <c r="D44" i="9"/>
  <c r="D45" i="9"/>
  <c r="D20" i="9"/>
  <c r="D21" i="9"/>
  <c r="D22" i="9"/>
  <c r="D23" i="9"/>
  <c r="D24" i="9"/>
  <c r="D25" i="9"/>
  <c r="D26" i="9"/>
  <c r="D27" i="9"/>
  <c r="D28" i="9"/>
  <c r="D29" i="9"/>
  <c r="D30" i="9"/>
  <c r="D13" i="9"/>
  <c r="D14" i="9"/>
  <c r="D15" i="9"/>
  <c r="D16" i="9"/>
  <c r="D17" i="9"/>
  <c r="D48" i="8"/>
  <c r="D49" i="8"/>
  <c r="D50" i="8"/>
  <c r="D51" i="8"/>
  <c r="D52" i="8"/>
  <c r="D53" i="8"/>
  <c r="D54" i="8"/>
  <c r="D55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20" i="8"/>
  <c r="D21" i="8"/>
  <c r="D22" i="8"/>
  <c r="D23" i="8"/>
  <c r="D24" i="8"/>
  <c r="D25" i="8"/>
  <c r="D26" i="8"/>
  <c r="D27" i="8"/>
  <c r="D28" i="8"/>
  <c r="D29" i="8"/>
  <c r="D30" i="8"/>
  <c r="D13" i="8"/>
  <c r="D14" i="8"/>
  <c r="D16" i="8"/>
  <c r="D17" i="8"/>
  <c r="D47" i="9"/>
  <c r="D19" i="9"/>
  <c r="D12" i="9"/>
  <c r="D10" i="9"/>
  <c r="D47" i="8"/>
  <c r="D19" i="8"/>
  <c r="D12" i="8"/>
  <c r="D10" i="8"/>
  <c r="D48" i="7"/>
  <c r="D49" i="7"/>
  <c r="D50" i="7"/>
  <c r="D51" i="7"/>
  <c r="D52" i="7"/>
  <c r="D53" i="7"/>
  <c r="D54" i="7"/>
  <c r="D55" i="7"/>
  <c r="D47" i="7"/>
  <c r="D33" i="7"/>
  <c r="D34" i="7"/>
  <c r="D35" i="7"/>
  <c r="D36" i="7"/>
  <c r="D37" i="7"/>
  <c r="D38" i="7"/>
  <c r="D39" i="7"/>
  <c r="D40" i="7"/>
  <c r="D41" i="7"/>
  <c r="D42" i="7"/>
  <c r="D43" i="7"/>
  <c r="D44" i="7"/>
  <c r="D45" i="7"/>
  <c r="D20" i="7"/>
  <c r="D21" i="7"/>
  <c r="D22" i="7"/>
  <c r="D23" i="7"/>
  <c r="D24" i="7"/>
  <c r="D25" i="7"/>
  <c r="D26" i="7"/>
  <c r="D27" i="7"/>
  <c r="D28" i="7"/>
  <c r="D29" i="7"/>
  <c r="D30" i="7"/>
  <c r="D19" i="7"/>
  <c r="D13" i="7"/>
  <c r="D14" i="7"/>
  <c r="D15" i="7"/>
  <c r="D16" i="7"/>
  <c r="D17" i="7"/>
  <c r="D12" i="7"/>
  <c r="D48" i="6"/>
  <c r="D49" i="6"/>
  <c r="D50" i="6"/>
  <c r="D51" i="6"/>
  <c r="D52" i="6"/>
  <c r="D53" i="6"/>
  <c r="D54" i="6"/>
  <c r="D55" i="6"/>
  <c r="D47" i="6"/>
  <c r="D33" i="6"/>
  <c r="D34" i="6"/>
  <c r="D35" i="6"/>
  <c r="D36" i="6"/>
  <c r="D37" i="6"/>
  <c r="D38" i="6"/>
  <c r="D39" i="6"/>
  <c r="D40" i="6"/>
  <c r="D41" i="6"/>
  <c r="D42" i="6"/>
  <c r="D43" i="6"/>
  <c r="D44" i="6"/>
  <c r="D45" i="6"/>
  <c r="D20" i="6"/>
  <c r="D21" i="6"/>
  <c r="D22" i="6"/>
  <c r="D23" i="6"/>
  <c r="D24" i="6"/>
  <c r="D25" i="6"/>
  <c r="D26" i="6"/>
  <c r="D27" i="6"/>
  <c r="D28" i="6"/>
  <c r="D29" i="6"/>
  <c r="D30" i="6"/>
  <c r="D19" i="6"/>
  <c r="D14" i="6"/>
  <c r="D13" i="6"/>
  <c r="D15" i="6"/>
  <c r="D16" i="6"/>
  <c r="D17" i="6"/>
  <c r="D12" i="6"/>
  <c r="D10" i="6"/>
  <c r="D10" i="7"/>
  <c r="L6" i="9" l="1"/>
  <c r="L5" i="9"/>
  <c r="L6" i="8"/>
  <c r="L5" i="8"/>
  <c r="L6" i="7"/>
  <c r="L5" i="7"/>
  <c r="I10" i="7"/>
  <c r="I12" i="7"/>
  <c r="L7" i="7" l="1"/>
  <c r="D7" i="7" s="1"/>
  <c r="L14" i="1" s="1"/>
  <c r="L7" i="8"/>
  <c r="D7" i="8" s="1"/>
  <c r="O14" i="1" s="1"/>
  <c r="L7" i="9"/>
  <c r="D7" i="9" s="1"/>
  <c r="R14" i="1" s="1"/>
  <c r="D13" i="1"/>
  <c r="L6" i="6"/>
  <c r="L5" i="6"/>
  <c r="L7" i="6" l="1"/>
  <c r="D7" i="6" s="1"/>
  <c r="I14" i="1" s="1"/>
  <c r="I10" i="6"/>
  <c r="H32" i="9" l="1"/>
  <c r="H32" i="8"/>
  <c r="H32" i="7"/>
  <c r="H32" i="6"/>
  <c r="Q53" i="1" l="1"/>
  <c r="Q38" i="1"/>
  <c r="Q25" i="1"/>
  <c r="Q18" i="1"/>
  <c r="Q16" i="1"/>
  <c r="N53" i="1"/>
  <c r="N38" i="1"/>
  <c r="N25" i="1"/>
  <c r="N18" i="1"/>
  <c r="N16" i="1"/>
  <c r="K54" i="1"/>
  <c r="K55" i="1"/>
  <c r="K56" i="1"/>
  <c r="K57" i="1"/>
  <c r="K58" i="1"/>
  <c r="K59" i="1"/>
  <c r="K60" i="1"/>
  <c r="K61" i="1"/>
  <c r="K53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38" i="1"/>
  <c r="H54" i="1"/>
  <c r="H55" i="1"/>
  <c r="H56" i="1"/>
  <c r="H57" i="1"/>
  <c r="H58" i="1"/>
  <c r="H59" i="1"/>
  <c r="H60" i="1"/>
  <c r="H61" i="1"/>
  <c r="H53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38" i="1"/>
  <c r="K26" i="1"/>
  <c r="K27" i="1"/>
  <c r="K28" i="1"/>
  <c r="K29" i="1"/>
  <c r="K30" i="1"/>
  <c r="K31" i="1"/>
  <c r="K32" i="1"/>
  <c r="K33" i="1"/>
  <c r="K34" i="1"/>
  <c r="K35" i="1"/>
  <c r="K36" i="1"/>
  <c r="K25" i="1"/>
  <c r="L18" i="1"/>
  <c r="L16" i="1"/>
  <c r="K19" i="1"/>
  <c r="K20" i="1"/>
  <c r="K21" i="1"/>
  <c r="K22" i="1"/>
  <c r="K23" i="1"/>
  <c r="K18" i="1"/>
  <c r="K16" i="1"/>
  <c r="D38" i="1"/>
  <c r="H26" i="1"/>
  <c r="H27" i="1"/>
  <c r="H28" i="1"/>
  <c r="H29" i="1"/>
  <c r="H30" i="1"/>
  <c r="H31" i="1"/>
  <c r="H32" i="1"/>
  <c r="H33" i="1"/>
  <c r="H34" i="1"/>
  <c r="H35" i="1"/>
  <c r="H36" i="1"/>
  <c r="H25" i="1"/>
  <c r="H16" i="1"/>
  <c r="H18" i="1"/>
  <c r="H19" i="1"/>
  <c r="H20" i="1"/>
  <c r="H21" i="1"/>
  <c r="H22" i="1"/>
  <c r="H23" i="1"/>
  <c r="I55" i="9"/>
  <c r="R61" i="1" s="1"/>
  <c r="I54" i="9"/>
  <c r="R60" i="1" s="1"/>
  <c r="I53" i="9"/>
  <c r="R59" i="1" s="1"/>
  <c r="I52" i="9"/>
  <c r="R58" i="1" s="1"/>
  <c r="I51" i="9"/>
  <c r="R57" i="1" s="1"/>
  <c r="I50" i="9"/>
  <c r="R56" i="1" s="1"/>
  <c r="I49" i="9"/>
  <c r="R55" i="1" s="1"/>
  <c r="I48" i="9"/>
  <c r="R54" i="1" s="1"/>
  <c r="I47" i="9"/>
  <c r="R53" i="1" s="1"/>
  <c r="I45" i="9"/>
  <c r="R51" i="1" s="1"/>
  <c r="I44" i="9"/>
  <c r="R50" i="1" s="1"/>
  <c r="I43" i="9"/>
  <c r="R49" i="1" s="1"/>
  <c r="I42" i="9"/>
  <c r="R48" i="1" s="1"/>
  <c r="I41" i="9"/>
  <c r="R47" i="1" s="1"/>
  <c r="I40" i="9"/>
  <c r="R46" i="1" s="1"/>
  <c r="I39" i="9"/>
  <c r="R45" i="1" s="1"/>
  <c r="I38" i="9"/>
  <c r="R44" i="1" s="1"/>
  <c r="I37" i="9"/>
  <c r="R43" i="1" s="1"/>
  <c r="I36" i="9"/>
  <c r="R42" i="1" s="1"/>
  <c r="I35" i="9"/>
  <c r="R41" i="1" s="1"/>
  <c r="I34" i="9"/>
  <c r="R40" i="1" s="1"/>
  <c r="I33" i="9"/>
  <c r="R39" i="1" s="1"/>
  <c r="I32" i="9"/>
  <c r="R38" i="1" s="1"/>
  <c r="I30" i="9"/>
  <c r="R36" i="1" s="1"/>
  <c r="I29" i="9"/>
  <c r="R35" i="1" s="1"/>
  <c r="I28" i="9"/>
  <c r="R34" i="1" s="1"/>
  <c r="I27" i="9"/>
  <c r="R33" i="1" s="1"/>
  <c r="I26" i="9"/>
  <c r="R32" i="1" s="1"/>
  <c r="I25" i="9"/>
  <c r="R31" i="1" s="1"/>
  <c r="I24" i="9"/>
  <c r="R30" i="1" s="1"/>
  <c r="I23" i="9"/>
  <c r="R29" i="1" s="1"/>
  <c r="I22" i="9"/>
  <c r="R28" i="1" s="1"/>
  <c r="I21" i="9"/>
  <c r="R27" i="1" s="1"/>
  <c r="I20" i="9"/>
  <c r="R26" i="1" s="1"/>
  <c r="I19" i="9"/>
  <c r="R25" i="1" s="1"/>
  <c r="I17" i="9"/>
  <c r="R23" i="1" s="1"/>
  <c r="I16" i="9"/>
  <c r="R22" i="1" s="1"/>
  <c r="I15" i="9"/>
  <c r="R21" i="1" s="1"/>
  <c r="I14" i="9"/>
  <c r="R20" i="1" s="1"/>
  <c r="I13" i="9"/>
  <c r="R19" i="1" s="1"/>
  <c r="I12" i="9"/>
  <c r="R18" i="1" s="1"/>
  <c r="I10" i="9"/>
  <c r="R16" i="1" s="1"/>
  <c r="I55" i="8"/>
  <c r="O61" i="1" s="1"/>
  <c r="I54" i="8"/>
  <c r="O60" i="1" s="1"/>
  <c r="I53" i="8"/>
  <c r="O59" i="1" s="1"/>
  <c r="I52" i="8"/>
  <c r="O58" i="1" s="1"/>
  <c r="I51" i="8"/>
  <c r="O57" i="1" s="1"/>
  <c r="I50" i="8"/>
  <c r="O56" i="1" s="1"/>
  <c r="I49" i="8"/>
  <c r="O55" i="1" s="1"/>
  <c r="I48" i="8"/>
  <c r="O54" i="1" s="1"/>
  <c r="I47" i="8"/>
  <c r="O53" i="1" s="1"/>
  <c r="I45" i="8"/>
  <c r="O51" i="1" s="1"/>
  <c r="I44" i="8"/>
  <c r="O50" i="1" s="1"/>
  <c r="I43" i="8"/>
  <c r="O49" i="1" s="1"/>
  <c r="I42" i="8"/>
  <c r="O48" i="1" s="1"/>
  <c r="I41" i="8"/>
  <c r="O47" i="1" s="1"/>
  <c r="I40" i="8"/>
  <c r="O46" i="1" s="1"/>
  <c r="I39" i="8"/>
  <c r="O45" i="1" s="1"/>
  <c r="I38" i="8"/>
  <c r="O44" i="1" s="1"/>
  <c r="I37" i="8"/>
  <c r="O43" i="1" s="1"/>
  <c r="I36" i="8"/>
  <c r="O42" i="1" s="1"/>
  <c r="I35" i="8"/>
  <c r="O41" i="1" s="1"/>
  <c r="I34" i="8"/>
  <c r="O40" i="1" s="1"/>
  <c r="I33" i="8"/>
  <c r="O39" i="1" s="1"/>
  <c r="I32" i="8"/>
  <c r="O38" i="1" s="1"/>
  <c r="I30" i="8"/>
  <c r="O36" i="1" s="1"/>
  <c r="I29" i="8"/>
  <c r="O35" i="1" s="1"/>
  <c r="I28" i="8"/>
  <c r="O34" i="1" s="1"/>
  <c r="I27" i="8"/>
  <c r="O33" i="1" s="1"/>
  <c r="I26" i="8"/>
  <c r="O32" i="1" s="1"/>
  <c r="I25" i="8"/>
  <c r="O31" i="1" s="1"/>
  <c r="I24" i="8"/>
  <c r="O30" i="1" s="1"/>
  <c r="I23" i="8"/>
  <c r="O29" i="1" s="1"/>
  <c r="I22" i="8"/>
  <c r="O28" i="1" s="1"/>
  <c r="I21" i="8"/>
  <c r="O27" i="1" s="1"/>
  <c r="I20" i="8"/>
  <c r="O26" i="1" s="1"/>
  <c r="I19" i="8"/>
  <c r="O25" i="1" s="1"/>
  <c r="I17" i="8"/>
  <c r="O23" i="1" s="1"/>
  <c r="I16" i="8"/>
  <c r="O22" i="1" s="1"/>
  <c r="I15" i="8"/>
  <c r="O21" i="1" s="1"/>
  <c r="I14" i="8"/>
  <c r="O20" i="1" s="1"/>
  <c r="I13" i="8"/>
  <c r="O19" i="1" s="1"/>
  <c r="I12" i="8"/>
  <c r="O18" i="1" s="1"/>
  <c r="I10" i="8"/>
  <c r="O16" i="1" s="1"/>
  <c r="I55" i="7"/>
  <c r="L61" i="1" s="1"/>
  <c r="I54" i="7"/>
  <c r="L60" i="1" s="1"/>
  <c r="I53" i="7"/>
  <c r="L59" i="1" s="1"/>
  <c r="I52" i="7"/>
  <c r="L58" i="1" s="1"/>
  <c r="I51" i="7"/>
  <c r="L57" i="1" s="1"/>
  <c r="I50" i="7"/>
  <c r="L56" i="1" s="1"/>
  <c r="I49" i="7"/>
  <c r="L55" i="1" s="1"/>
  <c r="I48" i="7"/>
  <c r="L54" i="1" s="1"/>
  <c r="I47" i="7"/>
  <c r="L53" i="1" s="1"/>
  <c r="I45" i="7"/>
  <c r="L51" i="1" s="1"/>
  <c r="I44" i="7"/>
  <c r="L50" i="1" s="1"/>
  <c r="I43" i="7"/>
  <c r="L49" i="1" s="1"/>
  <c r="I42" i="7"/>
  <c r="L48" i="1" s="1"/>
  <c r="I41" i="7"/>
  <c r="L47" i="1" s="1"/>
  <c r="I40" i="7"/>
  <c r="L46" i="1" s="1"/>
  <c r="I39" i="7"/>
  <c r="L45" i="1" s="1"/>
  <c r="I38" i="7"/>
  <c r="L44" i="1" s="1"/>
  <c r="I37" i="7"/>
  <c r="L43" i="1" s="1"/>
  <c r="I36" i="7"/>
  <c r="L42" i="1" s="1"/>
  <c r="I35" i="7"/>
  <c r="L41" i="1" s="1"/>
  <c r="I34" i="7"/>
  <c r="L40" i="1" s="1"/>
  <c r="I33" i="7"/>
  <c r="L39" i="1" s="1"/>
  <c r="I32" i="7"/>
  <c r="L38" i="1" s="1"/>
  <c r="I30" i="7"/>
  <c r="L36" i="1" s="1"/>
  <c r="I29" i="7"/>
  <c r="L35" i="1" s="1"/>
  <c r="I28" i="7"/>
  <c r="L34" i="1" s="1"/>
  <c r="I27" i="7"/>
  <c r="L33" i="1" s="1"/>
  <c r="I26" i="7"/>
  <c r="L32" i="1" s="1"/>
  <c r="I25" i="7"/>
  <c r="L31" i="1" s="1"/>
  <c r="I24" i="7"/>
  <c r="L30" i="1" s="1"/>
  <c r="I23" i="7"/>
  <c r="L29" i="1" s="1"/>
  <c r="I22" i="7"/>
  <c r="L28" i="1" s="1"/>
  <c r="I21" i="7"/>
  <c r="L27" i="1" s="1"/>
  <c r="I20" i="7"/>
  <c r="L26" i="1" s="1"/>
  <c r="I19" i="7"/>
  <c r="L25" i="1" s="1"/>
  <c r="I17" i="7"/>
  <c r="L23" i="1" s="1"/>
  <c r="I16" i="7"/>
  <c r="L22" i="1" s="1"/>
  <c r="I15" i="7"/>
  <c r="L21" i="1" s="1"/>
  <c r="I14" i="7"/>
  <c r="L20" i="1" s="1"/>
  <c r="I13" i="7"/>
  <c r="L19" i="1" s="1"/>
  <c r="D32" i="7" l="1"/>
  <c r="D32" i="9"/>
  <c r="D32" i="6"/>
  <c r="D32" i="8"/>
  <c r="I48" i="6"/>
  <c r="I54" i="1" s="1"/>
  <c r="I49" i="6"/>
  <c r="I55" i="1" s="1"/>
  <c r="I50" i="6"/>
  <c r="I56" i="1" s="1"/>
  <c r="I51" i="6"/>
  <c r="I57" i="1" s="1"/>
  <c r="I52" i="6"/>
  <c r="I58" i="1" s="1"/>
  <c r="I53" i="6"/>
  <c r="I59" i="1" s="1"/>
  <c r="I54" i="6"/>
  <c r="I60" i="1" s="1"/>
  <c r="I55" i="6"/>
  <c r="I61" i="1" s="1"/>
  <c r="I47" i="6"/>
  <c r="I53" i="1" s="1"/>
  <c r="I33" i="6"/>
  <c r="I39" i="1" s="1"/>
  <c r="I34" i="6"/>
  <c r="I40" i="1" s="1"/>
  <c r="I35" i="6"/>
  <c r="I41" i="1" s="1"/>
  <c r="I36" i="6"/>
  <c r="I42" i="1" s="1"/>
  <c r="I37" i="6"/>
  <c r="I43" i="1" s="1"/>
  <c r="I38" i="6"/>
  <c r="I44" i="1" s="1"/>
  <c r="I39" i="6"/>
  <c r="I45" i="1" s="1"/>
  <c r="I40" i="6"/>
  <c r="I46" i="1" s="1"/>
  <c r="I41" i="6"/>
  <c r="I47" i="1" s="1"/>
  <c r="I42" i="6"/>
  <c r="I48" i="1" s="1"/>
  <c r="I43" i="6"/>
  <c r="I49" i="1" s="1"/>
  <c r="I44" i="6"/>
  <c r="I50" i="1" s="1"/>
  <c r="I45" i="6"/>
  <c r="I51" i="1" s="1"/>
  <c r="I32" i="6"/>
  <c r="I38" i="1" s="1"/>
  <c r="I20" i="6"/>
  <c r="I26" i="1" s="1"/>
  <c r="I21" i="6"/>
  <c r="I27" i="1" s="1"/>
  <c r="I22" i="6"/>
  <c r="I28" i="1" s="1"/>
  <c r="I23" i="6"/>
  <c r="I29" i="1" s="1"/>
  <c r="I24" i="6"/>
  <c r="I30" i="1" s="1"/>
  <c r="I25" i="6"/>
  <c r="I31" i="1" s="1"/>
  <c r="I26" i="6"/>
  <c r="I32" i="1" s="1"/>
  <c r="I27" i="6"/>
  <c r="I33" i="1" s="1"/>
  <c r="I28" i="6"/>
  <c r="I34" i="1" s="1"/>
  <c r="I29" i="6"/>
  <c r="I35" i="1" s="1"/>
  <c r="I30" i="6"/>
  <c r="I36" i="1" s="1"/>
  <c r="I19" i="6"/>
  <c r="I25" i="1" s="1"/>
  <c r="I13" i="6"/>
  <c r="I19" i="1" s="1"/>
  <c r="I14" i="6"/>
  <c r="I20" i="1" s="1"/>
  <c r="I15" i="6"/>
  <c r="I21" i="1" s="1"/>
  <c r="I16" i="6"/>
  <c r="I22" i="1" s="1"/>
  <c r="I17" i="6"/>
  <c r="I23" i="1" s="1"/>
  <c r="I12" i="6"/>
  <c r="I18" i="1" s="1"/>
  <c r="I16" i="1" l="1"/>
  <c r="P16" i="1" l="1"/>
</calcChain>
</file>

<file path=xl/sharedStrings.xml><?xml version="1.0" encoding="utf-8"?>
<sst xmlns="http://schemas.openxmlformats.org/spreadsheetml/2006/main" count="729" uniqueCount="192">
  <si>
    <t xml:space="preserve"> </t>
  </si>
  <si>
    <t>Frauen</t>
  </si>
  <si>
    <t>Deutsch</t>
  </si>
  <si>
    <t>Arbeitsmarkt</t>
  </si>
  <si>
    <t>Wohnen und die regionale Dimension der Integration</t>
  </si>
  <si>
    <t>Sport und Freizeit</t>
  </si>
  <si>
    <t>Interkultureller Dialog</t>
  </si>
  <si>
    <t>Gesundheit und Soziales</t>
  </si>
  <si>
    <t>Rechtsstaat und Werte</t>
  </si>
  <si>
    <t>Arbeit und Beruf</t>
  </si>
  <si>
    <t>Sprache und Bildung</t>
  </si>
  <si>
    <t>Erfüllt in %</t>
  </si>
  <si>
    <t>Projekttitel</t>
  </si>
  <si>
    <t>Projektnummer</t>
  </si>
  <si>
    <t>Anzahl der Hausbesuche</t>
  </si>
  <si>
    <t>Handlungsfeld</t>
  </si>
  <si>
    <t>Förderschwerpunkt</t>
  </si>
  <si>
    <t>Laufzeit Beginn</t>
  </si>
  <si>
    <t>Laufzeit Ende</t>
  </si>
  <si>
    <t>Burgenland</t>
  </si>
  <si>
    <t>Wien</t>
  </si>
  <si>
    <t>Vorarlberg</t>
  </si>
  <si>
    <t>Tirol</t>
  </si>
  <si>
    <t>Steiermark</t>
  </si>
  <si>
    <t>Salzburg</t>
  </si>
  <si>
    <t>Kärnten</t>
  </si>
  <si>
    <t>Niederösterreich</t>
  </si>
  <si>
    <t>Oberösterreich</t>
  </si>
  <si>
    <t>x</t>
  </si>
  <si>
    <t>Bitte auswählen!</t>
  </si>
  <si>
    <t>Anzahl der Unterrichtseinheiten gesamt</t>
  </si>
  <si>
    <t>Kinder, Jugendliche und Elternarbeit</t>
  </si>
  <si>
    <t>Gemeinde und Identität</t>
  </si>
  <si>
    <t>Standort Projektmanagment</t>
  </si>
  <si>
    <t>Haupttprojektstandort</t>
  </si>
  <si>
    <t>Projektträger/-in</t>
  </si>
  <si>
    <t>Anteil an Laufzeit</t>
  </si>
  <si>
    <t>IST</t>
  </si>
  <si>
    <t>Evaluierungsindikatoren</t>
  </si>
  <si>
    <t>Anzahl der erstmalig am Projekt teilnehmenden Personen</t>
  </si>
  <si>
    <t>Anzahl der Frauen</t>
  </si>
  <si>
    <t>Anzahl der Männer</t>
  </si>
  <si>
    <t>Zielindikatoren</t>
  </si>
  <si>
    <t>Anzahl der Asyl- und subsidiär Schutzberechtigten</t>
  </si>
  <si>
    <t>Anzahl der Drittstaatsangehörigen</t>
  </si>
  <si>
    <t>Anzahl der Personen aus der Mehrheitsbevölkerung</t>
  </si>
  <si>
    <t>Wirkungsindikatoren</t>
  </si>
  <si>
    <t>davon Alphabetisierung</t>
  </si>
  <si>
    <t>davon A1</t>
  </si>
  <si>
    <t>davon A2</t>
  </si>
  <si>
    <t>davon B1</t>
  </si>
  <si>
    <t>davon B2</t>
  </si>
  <si>
    <t>Anteil der Teilnehmenden mit positiv absolvierter Abschlussprüfung in %</t>
  </si>
  <si>
    <t>Anzahl der niederschwelligen Sprachlerntreffen</t>
  </si>
  <si>
    <t>Anzahl der durchgeführten wissenschaftlichen Studien</t>
  </si>
  <si>
    <t>Bereich Beratung</t>
  </si>
  <si>
    <t>Anzahl der Gruppenberatungs-/Betreuungsstunden</t>
  </si>
  <si>
    <t>Anzahl der in Einzelberatung beratenen, betreuten oder gecoachten Personen</t>
  </si>
  <si>
    <t>Anzahl der in Gruppenberatung beratenen oder betreuten Personen</t>
  </si>
  <si>
    <t>Anzahl der Familienberatungen (pro Familie)</t>
  </si>
  <si>
    <t>Anzahl der Beratungs-/Betreuungsstunden für Familien</t>
  </si>
  <si>
    <t>Anzahl der familienberatenen oder betreuten Personen</t>
  </si>
  <si>
    <t>Bereich Sprache</t>
  </si>
  <si>
    <t>Anzahl der Kursangebote mit Kinderbetreuung</t>
  </si>
  <si>
    <t>Bereich Sonstige Maßnahmen</t>
  </si>
  <si>
    <t xml:space="preserve">Anzahl der Kurs-, Workshop- bzw. Trainingsplätze </t>
  </si>
  <si>
    <t>Anzahl der Teilnehmenden an Kursen/Workshops/ Trainings</t>
  </si>
  <si>
    <t xml:space="preserve">Anzahl der Veranstaltungen </t>
  </si>
  <si>
    <t>Anzahl der Kurse/Workshops/Trainings</t>
  </si>
  <si>
    <t>davon ÖIF zertifiziert</t>
  </si>
  <si>
    <t>Anzahl der Kurs-, Workshop- bzw. Trainingsstunden</t>
  </si>
  <si>
    <t xml:space="preserve">Anzahl der Einzelberatungs-/Betreuungs-/ Coachingstunden </t>
  </si>
  <si>
    <t>Projektdauer in Monaten</t>
  </si>
  <si>
    <t>Anzahl der unbegleiteten minderjährigen Flüchtlinge</t>
  </si>
  <si>
    <t>Anmerkungen</t>
  </si>
  <si>
    <t>Anzahl besuchter Haushalte</t>
  </si>
  <si>
    <t>Anzahl besuchter Personen</t>
  </si>
  <si>
    <t>von diesen geleistete Gesamtstunden</t>
  </si>
  <si>
    <t>Anzahl der betreuten Kinder</t>
  </si>
  <si>
    <t>Anzahl der Fachsprach- bzw. Sprachkurse gesamt</t>
  </si>
  <si>
    <t>Anzahl der Fachsprach- bzw. Sprachkursplätze gesamt</t>
  </si>
  <si>
    <t>Anzahl der Fachsprach- bzw. Sprachkursteilnehmenden gesamt</t>
  </si>
  <si>
    <t>Anzahl der Ehrenamtlichen</t>
  </si>
  <si>
    <t>Anzahl der Einzelberatungen bzw. -betreuung</t>
  </si>
  <si>
    <t>Anzahl der Gruppenberatungen bzw. -betreuung  
(min 3 Personen)</t>
  </si>
  <si>
    <r>
      <t xml:space="preserve">FSWP </t>
    </r>
    <r>
      <rPr>
        <sz val="8"/>
        <rFont val="Calibri"/>
        <family val="2"/>
      </rPr>
      <t>(Drop-down-Menü)</t>
    </r>
  </si>
  <si>
    <t>Anzahl SOLL</t>
  </si>
  <si>
    <t>Bereich Veranstaltungen</t>
  </si>
  <si>
    <t>Anzahl der erreichten Teilnehmenden durch Medien</t>
  </si>
  <si>
    <t>davon erreichte Teilnehmende durch digitale Medien</t>
  </si>
  <si>
    <t>davon erreichte Teilnehmende durch Printmedien</t>
  </si>
  <si>
    <t>Bezeichnung der Maßnahme 
(lt. Projektbeschreibung)</t>
  </si>
  <si>
    <t>Anzahl der Teilnehmenden mit einer Verbesserung um eine Schulnote bis zwei Monate nach Projektteilnahme</t>
  </si>
  <si>
    <t>Anzahl der Teilnehmenden in weiterführenden externen Bildungsmaßnahmen, auf die im Projekt vorbereitet wurde, bis zwei Monate nach Projektteilnahme</t>
  </si>
  <si>
    <t>Anzahl der Teilnehmenden mit erfolgreicher Arbeitsmarktintegration bis zwei Monate nach Projektteilnahme</t>
  </si>
  <si>
    <t>Anzahl der Teilnehmenden mit Praktikumsplatz bis zwei Monate nach Projektteilnahme</t>
  </si>
  <si>
    <t>Anzahl der Teilnehmenden, die innerhalb von zwei Monaten nach Projektteilnahme ein Zertifikat erwerben</t>
  </si>
  <si>
    <t>Anzahl der Teilnehmenden an niederschwelligem Sprachlernangebot</t>
  </si>
  <si>
    <t>Anzahl der Personen über 30 Jahre</t>
  </si>
  <si>
    <t>Anzahl der Personen - divers</t>
  </si>
  <si>
    <t>Anzahl der Personen - offen</t>
  </si>
  <si>
    <t>Anzahl der Personen - eigene Angaben</t>
  </si>
  <si>
    <t>Anzahl der Personen - keine Angaben</t>
  </si>
  <si>
    <t>Anzahl der Personen bis 14 Jahre</t>
  </si>
  <si>
    <t>Anzahl der Personen von 15 -17 Jahre</t>
  </si>
  <si>
    <t>Anzahl der Personen von 18 -29 Jahre</t>
  </si>
  <si>
    <t>Anzahl der Multiplikator*innen mit konkreter Aktivität bis zwei Monate nach Projektteilnahme</t>
  </si>
  <si>
    <t>Anzahl der Österreicher*innen mit Migrationshintergrund</t>
  </si>
  <si>
    <t>Anzahl der EU-Bürger*innen</t>
  </si>
  <si>
    <t>Zeitraum des Indikatorenberichts</t>
  </si>
  <si>
    <t>von</t>
  </si>
  <si>
    <t>bis</t>
  </si>
  <si>
    <t>IST
bis 1.ZWB</t>
  </si>
  <si>
    <t>IST
bis 2.ZWB</t>
  </si>
  <si>
    <t>IST
bis 3.ZWB</t>
  </si>
  <si>
    <t>IST
bis Endbericht</t>
  </si>
  <si>
    <r>
      <t xml:space="preserve">FSWP </t>
    </r>
    <r>
      <rPr>
        <sz val="11"/>
        <rFont val="Calibri"/>
        <family val="2"/>
      </rPr>
      <t>(Drop-down-Menü)</t>
    </r>
  </si>
  <si>
    <t>Projektteilnehmende nach Alter</t>
  </si>
  <si>
    <t xml:space="preserve">Projektteilnehmende nach Geschlecht </t>
  </si>
  <si>
    <t>Angaben zum Projekt</t>
  </si>
  <si>
    <r>
      <t xml:space="preserve">Indikatorenbericht
</t>
    </r>
    <r>
      <rPr>
        <b/>
        <sz val="14"/>
        <color indexed="9"/>
        <rFont val="Calibri"/>
        <family val="2"/>
      </rPr>
      <t>Nationale Integrationsförderung 2022 und 2023</t>
    </r>
  </si>
  <si>
    <t>Anzahl der Projektteilnehmenden gesamt</t>
  </si>
  <si>
    <t>Anzahl der Veranstaltungsteilnehmenden gesamt</t>
  </si>
  <si>
    <t>Anzahl der Teilnehmenden, die Elternteil betreuter Kinder sind</t>
  </si>
  <si>
    <t>Anzahl der Gruppenberatungen bzw. -betreuung  
(min. 3 Personen)</t>
  </si>
  <si>
    <t xml:space="preserve">Projektteilnehmende nach Zielgruppe </t>
  </si>
  <si>
    <t>Anzahl der Teilnehmenden an einer zertifizierten Abschlussprüfung</t>
  </si>
  <si>
    <t>Anzahl der Teilnehmenden mit einer vermittelten Lehrstelle bis zwei Monate nach Projektteilnahme</t>
  </si>
  <si>
    <t>Anzahl der Vertriebenen gemäß § 62 AsylG 2005</t>
  </si>
  <si>
    <t>Gesundheit, Soziales</t>
  </si>
  <si>
    <t>Elterninfo parallel zum TRT Programm</t>
  </si>
  <si>
    <t>a) Traumapädagogische Seminare für Lehrkräfte
b) Aus- und Fortbildung von mutterprachlichen TRT TrainerInnen</t>
  </si>
  <si>
    <t>Begleitgespräche zum Traumaprogramm</t>
  </si>
  <si>
    <t>i) TRT Programm
ii) Gesundheitskreise für Eltern</t>
  </si>
  <si>
    <t>TRT Family</t>
  </si>
  <si>
    <t>2 ToT TRT á 24h, 1 WS 8h, 2 WS 3h,  2 ZOOM FB (Ukraine)  á 1,5h</t>
  </si>
  <si>
    <t>Covidbedingt wg Eltern-Veranstaltungen an Schulen</t>
  </si>
  <si>
    <t xml:space="preserve">s.o. </t>
  </si>
  <si>
    <t>2 ToT TRT, 1 WS, 2 Schule, 2 ZOOM/Ukraine</t>
  </si>
  <si>
    <t>12 TRT, 1 GK</t>
  </si>
  <si>
    <t>96 TRT, 9 GK</t>
  </si>
  <si>
    <t>Ukraine Kurzinterventionen</t>
  </si>
  <si>
    <t xml:space="preserve">pro Familie; </t>
  </si>
  <si>
    <t xml:space="preserve">ToT TRT 12 u 8, WS Tirol 22, Pädagoginnen gesamt 35, . Päd Zoom 85 </t>
  </si>
  <si>
    <t xml:space="preserve">TRT Ukraine,  TfA, Wien x-tra, PH Ukr, PH wieNGs; PH, PH Sbg, BBU     10+15+14+10+23+12+15+18 </t>
  </si>
  <si>
    <t>50 + 24 ToT TRT</t>
  </si>
  <si>
    <t>22 TRT + 2 GK</t>
  </si>
  <si>
    <t>überwiegend Pädagog:innen</t>
  </si>
  <si>
    <t xml:space="preserve">überwiegend PädagogInnen </t>
  </si>
  <si>
    <t>TRT Ukraine,  TfA, Wien x-tra, PH Ukr, PH wieNGs; PH, PH Sbg, BBU, SFZ, FoBi TrainerInnen AFYA</t>
  </si>
  <si>
    <t>nur 3.Quartal</t>
  </si>
  <si>
    <t>TRT Schule+GK+TRT Familie+Elterngruppe+Fortbildung</t>
  </si>
  <si>
    <t>553 TRT-Teilnehmer:innen + 64 GK Teilnehmer:innen</t>
  </si>
  <si>
    <t xml:space="preserve">450 Termine TRT + 62 GK - Termine á2,5h </t>
  </si>
  <si>
    <t xml:space="preserve">105 Termine á2,5 h </t>
  </si>
  <si>
    <t>Lehrkräfte + TN aus TRT Schulung + Mitarbeiter:innen</t>
  </si>
  <si>
    <t>TRT-Ausbildung, Fortbildungen Team + Pädagogen-Schulungen</t>
  </si>
  <si>
    <t>250 Traumap. Seminare+42 muttersprachl. TRT Trainer:innen</t>
  </si>
  <si>
    <t xml:space="preserve">inklusive Fortbildungen Team </t>
  </si>
  <si>
    <t xml:space="preserve">62 TRT-Gruppen + 8 Gesundheitskreise </t>
  </si>
  <si>
    <t xml:space="preserve">Pro Termin 1 Hausbesuch </t>
  </si>
  <si>
    <t xml:space="preserve">Teilnehmer:innen </t>
  </si>
  <si>
    <t xml:space="preserve">233 TRT + 161 Elterngruppe + 0 TRT Familie + 34 GK </t>
  </si>
  <si>
    <t>190 TRT+176 Elterngruppe+37Familie+64GK+231Pädagogen</t>
  </si>
  <si>
    <t xml:space="preserve">363 TRT+57 Elterngruppen+25Familie+0GK+61 Pädagogen </t>
  </si>
  <si>
    <t xml:space="preserve">343TRT+29 TRT Familie </t>
  </si>
  <si>
    <t>144 TRT+8 TRT Familie</t>
  </si>
  <si>
    <t>2 Elterngruppe+2TRT Familie+6GK (Altersgruppe 19-25Jahre)</t>
  </si>
  <si>
    <t>67 Eltern+20 Familie+56GK (Altersgruppe ab 26 Jahre)</t>
  </si>
  <si>
    <t>527 Alter unbekannt, da keine Altersangabe v.a. bei Vorträge/Schulungen</t>
  </si>
  <si>
    <t xml:space="preserve">Elterninfo-Veranstaltungstermine (30 Elterngruppen, 1-2 Termine pro Gruppe) </t>
  </si>
  <si>
    <t xml:space="preserve">190 TRT + 59 Elterngruppe + 62TRT Familie + 23 GK </t>
  </si>
  <si>
    <t xml:space="preserve">ohne Angabe </t>
  </si>
  <si>
    <t>TRT Schule+GK+TRT Familie+Elterngruppe+Fortbildung (alt 1.413)</t>
  </si>
  <si>
    <t xml:space="preserve">Elterngruppen (alt 38)  </t>
  </si>
  <si>
    <t xml:space="preserve">TeilnehmerInnen (alt 282) </t>
  </si>
  <si>
    <t xml:space="preserve">(alt 335) </t>
  </si>
  <si>
    <t>(alt 167)</t>
  </si>
  <si>
    <t xml:space="preserve">56 TRT + 3 GK </t>
  </si>
  <si>
    <t xml:space="preserve">486 TRT + 27 GK </t>
  </si>
  <si>
    <t>432 Einheiten á 2,5 Stunden (alt 1.038)</t>
  </si>
  <si>
    <t>(alt 13)</t>
  </si>
  <si>
    <t>(alt 58)</t>
  </si>
  <si>
    <t>alt 662</t>
  </si>
  <si>
    <t>alt 483</t>
  </si>
  <si>
    <t>alt 6</t>
  </si>
  <si>
    <t xml:space="preserve">alt 50 </t>
  </si>
  <si>
    <t>alt 40</t>
  </si>
  <si>
    <t>alt 836</t>
  </si>
  <si>
    <t>alt 576</t>
  </si>
  <si>
    <t>Wurzeln fassen – Traumasensible Begleitung</t>
  </si>
  <si>
    <t>TARO - Verein zur interkulturellen Gesundheitsförderung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</si>
</sst>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€&quot;\ * #,##0.00_-;\-&quot;€&quot;\ * #,##0.00_-;_-&quot;€&quot;\ * &quot;-&quot;??_-;_-@_-"/>
  </numFmts>
  <fonts count="21" x14ac:knownFonts="1">
    <font>
      <sz val="10"/>
      <name val="arial"/>
    </font>
    <font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8"/>
      <name val="Calibri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0"/>
      <name val="Calibri"/>
      <family val="2"/>
      <scheme val="minor"/>
    </font>
    <font>
      <sz val="11"/>
      <color theme="0" tint="-0.14999847407452621"/>
      <name val="Calibri"/>
      <family val="2"/>
      <scheme val="minor"/>
    </font>
    <font>
      <b/>
      <sz val="11"/>
      <color theme="0" tint="-0.14999847407452621"/>
      <name val="Calibri"/>
      <family val="2"/>
      <scheme val="minor"/>
    </font>
    <font>
      <sz val="10"/>
      <color theme="0" tint="-0.14999847407452621"/>
      <name val="Calibri"/>
      <family val="2"/>
      <scheme val="minor"/>
    </font>
    <font>
      <sz val="11"/>
      <name val="Calibri"/>
      <family val="2"/>
    </font>
    <font>
      <b/>
      <sz val="14"/>
      <color theme="0"/>
      <name val="Calibri"/>
      <family val="2"/>
      <scheme val="minor"/>
    </font>
    <font>
      <b/>
      <sz val="14"/>
      <color indexed="9"/>
      <name val="Calibri"/>
      <family val="2"/>
    </font>
  </fonts>
  <fills count="23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rgb="FFDDDDDD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7999816888943144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4">
    <xf numFmtId="0" fontId="0" fillId="0" borderId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5" borderId="0" applyNumberFormat="0" applyBorder="0" applyAlignment="0" applyProtection="0"/>
    <xf numFmtId="0" fontId="3" fillId="8" borderId="0" applyNumberFormat="0" applyBorder="0" applyAlignment="0" applyProtection="0"/>
    <xf numFmtId="0" fontId="3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44" fontId="2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4" fontId="1" fillId="0" borderId="0" applyFont="0" applyFill="0" applyBorder="0" applyAlignment="0" applyProtection="0"/>
  </cellStyleXfs>
  <cellXfs count="300">
    <xf numFmtId="0" fontId="0" fillId="0" borderId="0" xfId="0"/>
    <xf numFmtId="0" fontId="9" fillId="0" borderId="1" xfId="0" applyFont="1" applyBorder="1"/>
    <xf numFmtId="0" fontId="9" fillId="0" borderId="2" xfId="0" applyFont="1" applyBorder="1"/>
    <xf numFmtId="0" fontId="9" fillId="0" borderId="3" xfId="0" applyFont="1" applyBorder="1"/>
    <xf numFmtId="0" fontId="9" fillId="16" borderId="0" xfId="0" applyFont="1" applyFill="1"/>
    <xf numFmtId="0" fontId="9" fillId="0" borderId="4" xfId="0" applyFont="1" applyBorder="1"/>
    <xf numFmtId="0" fontId="7" fillId="0" borderId="5" xfId="0" applyFont="1" applyBorder="1"/>
    <xf numFmtId="0" fontId="9" fillId="0" borderId="6" xfId="0" applyFont="1" applyBorder="1"/>
    <xf numFmtId="0" fontId="8" fillId="17" borderId="7" xfId="0" applyFont="1" applyFill="1" applyBorder="1" applyAlignment="1">
      <alignment vertical="center" wrapText="1"/>
    </xf>
    <xf numFmtId="0" fontId="9" fillId="16" borderId="0" xfId="0" applyFont="1" applyFill="1" applyAlignment="1">
      <alignment vertical="center"/>
    </xf>
    <xf numFmtId="0" fontId="9" fillId="0" borderId="2" xfId="0" applyFont="1" applyBorder="1" applyAlignment="1">
      <alignment horizontal="center" wrapText="1"/>
    </xf>
    <xf numFmtId="0" fontId="9" fillId="18" borderId="8" xfId="0" applyFont="1" applyFill="1" applyBorder="1" applyAlignment="1">
      <alignment horizontal="center" vertical="center" wrapText="1"/>
    </xf>
    <xf numFmtId="0" fontId="9" fillId="16" borderId="0" xfId="0" applyFont="1" applyFill="1" applyAlignment="1">
      <alignment horizontal="center" wrapText="1"/>
    </xf>
    <xf numFmtId="0" fontId="7" fillId="0" borderId="2" xfId="0" applyFont="1" applyBorder="1"/>
    <xf numFmtId="0" fontId="7" fillId="18" borderId="8" xfId="0" applyFont="1" applyFill="1" applyBorder="1" applyAlignment="1">
      <alignment vertical="center"/>
    </xf>
    <xf numFmtId="0" fontId="7" fillId="16" borderId="0" xfId="0" applyFont="1" applyFill="1"/>
    <xf numFmtId="0" fontId="9" fillId="0" borderId="4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9" fillId="16" borderId="0" xfId="0" applyFont="1" applyFill="1" applyAlignment="1">
      <alignment horizontal="center" vertical="center"/>
    </xf>
    <xf numFmtId="0" fontId="9" fillId="0" borderId="4" xfId="0" applyFont="1" applyBorder="1" applyAlignment="1">
      <alignment horizontal="left" vertical="center"/>
    </xf>
    <xf numFmtId="0" fontId="9" fillId="0" borderId="6" xfId="0" applyFont="1" applyBorder="1" applyAlignment="1">
      <alignment horizontal="left" vertical="center"/>
    </xf>
    <xf numFmtId="0" fontId="9" fillId="16" borderId="0" xfId="0" applyFont="1" applyFill="1" applyAlignment="1">
      <alignment horizontal="left" vertical="center"/>
    </xf>
    <xf numFmtId="9" fontId="7" fillId="18" borderId="0" xfId="0" applyNumberFormat="1" applyFont="1" applyFill="1" applyAlignment="1">
      <alignment horizontal="center" vertical="center"/>
    </xf>
    <xf numFmtId="0" fontId="7" fillId="18" borderId="5" xfId="0" applyFont="1" applyFill="1" applyBorder="1"/>
    <xf numFmtId="0" fontId="8" fillId="18" borderId="5" xfId="0" applyFont="1" applyFill="1" applyBorder="1" applyAlignment="1">
      <alignment horizontal="center" vertical="center"/>
    </xf>
    <xf numFmtId="3" fontId="10" fillId="18" borderId="5" xfId="0" applyNumberFormat="1" applyFont="1" applyFill="1" applyBorder="1" applyAlignment="1">
      <alignment horizontal="center" vertical="center"/>
    </xf>
    <xf numFmtId="0" fontId="8" fillId="18" borderId="5" xfId="0" applyFont="1" applyFill="1" applyBorder="1" applyAlignment="1">
      <alignment horizontal="left" vertical="center" wrapText="1"/>
    </xf>
    <xf numFmtId="9" fontId="8" fillId="18" borderId="5" xfId="0" applyNumberFormat="1" applyFont="1" applyFill="1" applyBorder="1" applyAlignment="1">
      <alignment horizontal="center" vertical="center"/>
    </xf>
    <xf numFmtId="9" fontId="7" fillId="18" borderId="5" xfId="0" applyNumberFormat="1" applyFont="1" applyFill="1" applyBorder="1" applyAlignment="1">
      <alignment horizontal="center" vertical="center"/>
    </xf>
    <xf numFmtId="9" fontId="10" fillId="18" borderId="5" xfId="0" applyNumberFormat="1" applyFont="1" applyFill="1" applyBorder="1" applyAlignment="1">
      <alignment horizontal="center" vertical="center"/>
    </xf>
    <xf numFmtId="9" fontId="9" fillId="18" borderId="5" xfId="0" applyNumberFormat="1" applyFont="1" applyFill="1" applyBorder="1" applyAlignment="1">
      <alignment horizontal="center" vertical="center"/>
    </xf>
    <xf numFmtId="0" fontId="9" fillId="18" borderId="0" xfId="0" applyFont="1" applyFill="1"/>
    <xf numFmtId="0" fontId="9" fillId="18" borderId="6" xfId="0" applyFont="1" applyFill="1" applyBorder="1"/>
    <xf numFmtId="0" fontId="10" fillId="18" borderId="5" xfId="0" applyFont="1" applyFill="1" applyBorder="1" applyAlignment="1">
      <alignment horizontal="center" vertical="center"/>
    </xf>
    <xf numFmtId="0" fontId="7" fillId="0" borderId="6" xfId="0" applyFont="1" applyBorder="1"/>
    <xf numFmtId="0" fontId="9" fillId="18" borderId="8" xfId="0" applyFont="1" applyFill="1" applyBorder="1" applyAlignment="1">
      <alignment vertical="center"/>
    </xf>
    <xf numFmtId="0" fontId="11" fillId="18" borderId="4" xfId="0" applyFont="1" applyFill="1" applyBorder="1"/>
    <xf numFmtId="0" fontId="12" fillId="18" borderId="5" xfId="0" applyFont="1" applyFill="1" applyBorder="1" applyAlignment="1">
      <alignment horizontal="center" vertical="center"/>
    </xf>
    <xf numFmtId="0" fontId="13" fillId="17" borderId="11" xfId="0" applyFont="1" applyFill="1" applyBorder="1" applyAlignment="1">
      <alignment horizontal="center" vertical="center" wrapText="1"/>
    </xf>
    <xf numFmtId="0" fontId="13" fillId="17" borderId="12" xfId="0" applyFont="1" applyFill="1" applyBorder="1" applyAlignment="1">
      <alignment horizontal="center" vertical="center" wrapText="1"/>
    </xf>
    <xf numFmtId="3" fontId="14" fillId="18" borderId="5" xfId="0" applyNumberFormat="1" applyFont="1" applyFill="1" applyBorder="1" applyAlignment="1" applyProtection="1">
      <alignment horizontal="center" vertical="center"/>
      <protection locked="0"/>
    </xf>
    <xf numFmtId="3" fontId="11" fillId="18" borderId="5" xfId="0" applyNumberFormat="1" applyFont="1" applyFill="1" applyBorder="1" applyAlignment="1" applyProtection="1">
      <alignment horizontal="center" vertical="center"/>
      <protection locked="0"/>
    </xf>
    <xf numFmtId="0" fontId="13" fillId="18" borderId="5" xfId="0" applyFont="1" applyFill="1" applyBorder="1" applyAlignment="1">
      <alignment horizontal="center" vertical="center"/>
    </xf>
    <xf numFmtId="3" fontId="13" fillId="18" borderId="5" xfId="0" applyNumberFormat="1" applyFont="1" applyFill="1" applyBorder="1" applyAlignment="1" applyProtection="1">
      <alignment horizontal="center" vertical="center"/>
      <protection locked="0"/>
    </xf>
    <xf numFmtId="3" fontId="12" fillId="18" borderId="5" xfId="0" applyNumberFormat="1" applyFont="1" applyFill="1" applyBorder="1" applyAlignment="1">
      <alignment horizontal="center" vertical="center"/>
    </xf>
    <xf numFmtId="3" fontId="12" fillId="18" borderId="9" xfId="0" applyNumberFormat="1" applyFont="1" applyFill="1" applyBorder="1" applyAlignment="1">
      <alignment horizontal="center" vertical="center"/>
    </xf>
    <xf numFmtId="9" fontId="12" fillId="20" borderId="13" xfId="0" applyNumberFormat="1" applyFont="1" applyFill="1" applyBorder="1" applyAlignment="1">
      <alignment horizontal="center" vertical="center"/>
    </xf>
    <xf numFmtId="3" fontId="11" fillId="18" borderId="9" xfId="0" applyNumberFormat="1" applyFont="1" applyFill="1" applyBorder="1" applyAlignment="1" applyProtection="1">
      <alignment horizontal="center" vertical="center"/>
      <protection locked="0"/>
    </xf>
    <xf numFmtId="9" fontId="11" fillId="20" borderId="13" xfId="0" applyNumberFormat="1" applyFont="1" applyFill="1" applyBorder="1" applyAlignment="1">
      <alignment horizontal="center" vertical="center"/>
    </xf>
    <xf numFmtId="3" fontId="13" fillId="18" borderId="10" xfId="0" applyNumberFormat="1" applyFont="1" applyFill="1" applyBorder="1" applyAlignment="1" applyProtection="1">
      <alignment horizontal="center" vertical="center"/>
      <protection locked="0"/>
    </xf>
    <xf numFmtId="3" fontId="13" fillId="18" borderId="0" xfId="0" applyNumberFormat="1" applyFont="1" applyFill="1" applyAlignment="1" applyProtection="1">
      <alignment horizontal="center" vertical="center"/>
      <protection locked="0"/>
    </xf>
    <xf numFmtId="9" fontId="14" fillId="18" borderId="10" xfId="0" applyNumberFormat="1" applyFont="1" applyFill="1" applyBorder="1" applyAlignment="1">
      <alignment horizontal="center" vertical="center"/>
    </xf>
    <xf numFmtId="9" fontId="14" fillId="18" borderId="0" xfId="0" applyNumberFormat="1" applyFont="1" applyFill="1" applyAlignment="1">
      <alignment horizontal="center" vertical="center"/>
    </xf>
    <xf numFmtId="0" fontId="11" fillId="18" borderId="8" xfId="0" applyFont="1" applyFill="1" applyBorder="1" applyAlignment="1">
      <alignment vertical="center"/>
    </xf>
    <xf numFmtId="0" fontId="11" fillId="18" borderId="8" xfId="0" applyFont="1" applyFill="1" applyBorder="1" applyAlignment="1">
      <alignment horizontal="center" vertical="center" wrapText="1"/>
    </xf>
    <xf numFmtId="0" fontId="14" fillId="18" borderId="8" xfId="0" applyFont="1" applyFill="1" applyBorder="1" applyAlignment="1">
      <alignment vertical="center"/>
    </xf>
    <xf numFmtId="0" fontId="9" fillId="0" borderId="0" xfId="0" applyFont="1"/>
    <xf numFmtId="0" fontId="9" fillId="0" borderId="5" xfId="0" applyFont="1" applyBorder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9" fillId="18" borderId="12" xfId="0" applyFont="1" applyFill="1" applyBorder="1" applyAlignment="1">
      <alignment vertical="center"/>
    </xf>
    <xf numFmtId="0" fontId="10" fillId="0" borderId="4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10" fillId="16" borderId="0" xfId="0" applyFont="1" applyFill="1"/>
    <xf numFmtId="0" fontId="10" fillId="16" borderId="0" xfId="0" applyFont="1" applyFill="1" applyAlignment="1">
      <alignment horizontal="center" vertical="center"/>
    </xf>
    <xf numFmtId="0" fontId="10" fillId="0" borderId="4" xfId="0" applyFont="1" applyBorder="1"/>
    <xf numFmtId="0" fontId="10" fillId="0" borderId="6" xfId="0" applyFont="1" applyBorder="1"/>
    <xf numFmtId="3" fontId="14" fillId="18" borderId="10" xfId="0" applyNumberFormat="1" applyFont="1" applyFill="1" applyBorder="1" applyAlignment="1" applyProtection="1">
      <alignment horizontal="center" vertical="center"/>
      <protection locked="0"/>
    </xf>
    <xf numFmtId="0" fontId="9" fillId="21" borderId="0" xfId="0" applyFont="1" applyFill="1"/>
    <xf numFmtId="0" fontId="15" fillId="16" borderId="0" xfId="0" applyFont="1" applyFill="1"/>
    <xf numFmtId="0" fontId="16" fillId="16" borderId="0" xfId="0" applyFont="1" applyFill="1"/>
    <xf numFmtId="0" fontId="9" fillId="0" borderId="0" xfId="0" applyFont="1" applyAlignment="1">
      <alignment horizontal="center" vertical="center"/>
    </xf>
    <xf numFmtId="0" fontId="11" fillId="21" borderId="0" xfId="0" applyFont="1" applyFill="1"/>
    <xf numFmtId="0" fontId="11" fillId="21" borderId="0" xfId="0" applyFont="1" applyFill="1" applyAlignment="1">
      <alignment horizontal="center" wrapText="1"/>
    </xf>
    <xf numFmtId="0" fontId="14" fillId="21" borderId="0" xfId="0" applyFont="1" applyFill="1"/>
    <xf numFmtId="0" fontId="11" fillId="21" borderId="0" xfId="0" applyFont="1" applyFill="1" applyAlignment="1">
      <alignment horizontal="center" vertical="center"/>
    </xf>
    <xf numFmtId="0" fontId="12" fillId="21" borderId="0" xfId="0" applyFont="1" applyFill="1" applyAlignment="1">
      <alignment horizontal="left" vertical="center" wrapText="1"/>
    </xf>
    <xf numFmtId="0" fontId="11" fillId="21" borderId="0" xfId="0" applyFont="1" applyFill="1" applyAlignment="1">
      <alignment vertical="center"/>
    </xf>
    <xf numFmtId="0" fontId="14" fillId="21" borderId="0" xfId="0" applyFont="1" applyFill="1" applyAlignment="1">
      <alignment vertical="center"/>
    </xf>
    <xf numFmtId="1" fontId="14" fillId="21" borderId="0" xfId="0" applyNumberFormat="1" applyFont="1" applyFill="1" applyAlignment="1">
      <alignment vertical="center"/>
    </xf>
    <xf numFmtId="44" fontId="14" fillId="21" borderId="0" xfId="0" applyNumberFormat="1" applyFont="1" applyFill="1" applyAlignment="1">
      <alignment vertical="center"/>
    </xf>
    <xf numFmtId="0" fontId="14" fillId="21" borderId="5" xfId="0" applyFont="1" applyFill="1" applyBorder="1"/>
    <xf numFmtId="0" fontId="11" fillId="18" borderId="1" xfId="0" applyFont="1" applyFill="1" applyBorder="1" applyAlignment="1">
      <alignment horizontal="center" vertical="center"/>
    </xf>
    <xf numFmtId="0" fontId="11" fillId="18" borderId="4" xfId="0" applyFont="1" applyFill="1" applyBorder="1" applyAlignment="1">
      <alignment horizontal="center" vertical="center"/>
    </xf>
    <xf numFmtId="0" fontId="11" fillId="18" borderId="0" xfId="0" applyFont="1" applyFill="1" applyAlignment="1">
      <alignment horizontal="center" vertical="center"/>
    </xf>
    <xf numFmtId="0" fontId="11" fillId="18" borderId="6" xfId="0" applyFont="1" applyFill="1" applyBorder="1" applyAlignment="1">
      <alignment horizontal="center" vertical="center"/>
    </xf>
    <xf numFmtId="0" fontId="11" fillId="18" borderId="5" xfId="0" applyFont="1" applyFill="1" applyBorder="1" applyAlignment="1">
      <alignment horizontal="center" vertical="center"/>
    </xf>
    <xf numFmtId="0" fontId="11" fillId="18" borderId="5" xfId="0" applyFont="1" applyFill="1" applyBorder="1"/>
    <xf numFmtId="0" fontId="11" fillId="18" borderId="11" xfId="0" applyFont="1" applyFill="1" applyBorder="1" applyAlignment="1">
      <alignment horizontal="center" vertical="center" wrapText="1"/>
    </xf>
    <xf numFmtId="0" fontId="8" fillId="17" borderId="14" xfId="0" applyFont="1" applyFill="1" applyBorder="1" applyAlignment="1">
      <alignment horizontal="center" vertical="center"/>
    </xf>
    <xf numFmtId="0" fontId="10" fillId="22" borderId="7" xfId="0" quotePrefix="1" applyFont="1" applyFill="1" applyBorder="1" applyAlignment="1">
      <alignment horizontal="left" vertical="center" wrapText="1"/>
    </xf>
    <xf numFmtId="0" fontId="10" fillId="22" borderId="7" xfId="0" applyFont="1" applyFill="1" applyBorder="1" applyAlignment="1">
      <alignment horizontal="left" vertical="center" wrapText="1"/>
    </xf>
    <xf numFmtId="0" fontId="9" fillId="22" borderId="7" xfId="0" applyFont="1" applyFill="1" applyBorder="1" applyAlignment="1">
      <alignment horizontal="left" vertical="center" wrapText="1" indent="1"/>
    </xf>
    <xf numFmtId="0" fontId="9" fillId="22" borderId="7" xfId="0" quotePrefix="1" applyFont="1" applyFill="1" applyBorder="1" applyAlignment="1">
      <alignment horizontal="left" vertical="center" wrapText="1" indent="1"/>
    </xf>
    <xf numFmtId="0" fontId="9" fillId="22" borderId="7" xfId="0" applyFont="1" applyFill="1" applyBorder="1" applyAlignment="1">
      <alignment horizontal="left" vertical="center" wrapText="1"/>
    </xf>
    <xf numFmtId="0" fontId="10" fillId="22" borderId="13" xfId="0" quotePrefix="1" applyFont="1" applyFill="1" applyBorder="1" applyAlignment="1">
      <alignment vertical="center" wrapText="1"/>
    </xf>
    <xf numFmtId="0" fontId="10" fillId="22" borderId="1" xfId="0" applyFont="1" applyFill="1" applyBorder="1" applyAlignment="1">
      <alignment horizontal="left" vertical="center" wrapText="1"/>
    </xf>
    <xf numFmtId="0" fontId="15" fillId="16" borderId="4" xfId="0" applyFont="1" applyFill="1" applyBorder="1"/>
    <xf numFmtId="0" fontId="9" fillId="0" borderId="11" xfId="0" applyFont="1" applyBorder="1"/>
    <xf numFmtId="0" fontId="8" fillId="17" borderId="11" xfId="0" applyFont="1" applyFill="1" applyBorder="1" applyAlignment="1">
      <alignment horizontal="center" vertical="center" wrapText="1"/>
    </xf>
    <xf numFmtId="0" fontId="8" fillId="17" borderId="9" xfId="0" applyFont="1" applyFill="1" applyBorder="1" applyAlignment="1">
      <alignment horizontal="center" vertical="center"/>
    </xf>
    <xf numFmtId="3" fontId="8" fillId="17" borderId="9" xfId="0" applyNumberFormat="1" applyFont="1" applyFill="1" applyBorder="1" applyAlignment="1">
      <alignment horizontal="center" vertical="center"/>
    </xf>
    <xf numFmtId="0" fontId="11" fillId="18" borderId="12" xfId="0" applyFont="1" applyFill="1" applyBorder="1"/>
    <xf numFmtId="3" fontId="11" fillId="0" borderId="9" xfId="0" applyNumberFormat="1" applyFont="1" applyBorder="1" applyAlignment="1" applyProtection="1">
      <alignment horizontal="center" vertical="center"/>
      <protection locked="0"/>
    </xf>
    <xf numFmtId="0" fontId="9" fillId="22" borderId="13" xfId="0" quotePrefix="1" applyFont="1" applyFill="1" applyBorder="1" applyAlignment="1">
      <alignment horizontal="left" vertical="center" wrapText="1" indent="1"/>
    </xf>
    <xf numFmtId="0" fontId="8" fillId="17" borderId="13" xfId="0" applyFont="1" applyFill="1" applyBorder="1" applyAlignment="1">
      <alignment horizontal="center" vertical="center" wrapText="1"/>
    </xf>
    <xf numFmtId="0" fontId="11" fillId="21" borderId="0" xfId="0" applyFont="1" applyFill="1" applyAlignment="1">
      <alignment horizontal="left" vertical="center" wrapText="1"/>
    </xf>
    <xf numFmtId="3" fontId="14" fillId="18" borderId="0" xfId="0" applyNumberFormat="1" applyFont="1" applyFill="1" applyAlignment="1" applyProtection="1">
      <alignment horizontal="center" vertical="center"/>
      <protection locked="0"/>
    </xf>
    <xf numFmtId="0" fontId="11" fillId="21" borderId="0" xfId="0" applyFont="1" applyFill="1" applyAlignment="1">
      <alignment horizontal="center" vertical="center" wrapText="1"/>
    </xf>
    <xf numFmtId="0" fontId="11" fillId="21" borderId="0" xfId="0" applyFont="1" applyFill="1" applyAlignment="1">
      <alignment horizontal="left" vertical="center"/>
    </xf>
    <xf numFmtId="0" fontId="13" fillId="17" borderId="13" xfId="0" applyFont="1" applyFill="1" applyBorder="1" applyAlignment="1">
      <alignment horizontal="left" vertical="center" wrapText="1"/>
    </xf>
    <xf numFmtId="3" fontId="11" fillId="19" borderId="9" xfId="0" applyNumberFormat="1" applyFont="1" applyFill="1" applyBorder="1" applyAlignment="1" applyProtection="1">
      <alignment horizontal="center" vertical="center"/>
      <protection locked="0"/>
    </xf>
    <xf numFmtId="3" fontId="12" fillId="18" borderId="9" xfId="0" applyNumberFormat="1" applyFont="1" applyFill="1" applyBorder="1" applyAlignment="1" applyProtection="1">
      <alignment horizontal="center" vertical="center"/>
      <protection locked="0"/>
    </xf>
    <xf numFmtId="3" fontId="12" fillId="19" borderId="9" xfId="0" applyNumberFormat="1" applyFont="1" applyFill="1" applyBorder="1" applyAlignment="1" applyProtection="1">
      <alignment horizontal="center" vertical="center"/>
      <protection locked="0"/>
    </xf>
    <xf numFmtId="0" fontId="0" fillId="16" borderId="0" xfId="0" applyFill="1" applyAlignment="1">
      <alignment vertical="center" wrapText="1"/>
    </xf>
    <xf numFmtId="0" fontId="14" fillId="18" borderId="0" xfId="0" applyFont="1" applyFill="1"/>
    <xf numFmtId="0" fontId="0" fillId="18" borderId="6" xfId="0" applyFill="1" applyBorder="1" applyAlignment="1">
      <alignment vertical="center" wrapText="1"/>
    </xf>
    <xf numFmtId="0" fontId="11" fillId="18" borderId="2" xfId="0" applyFont="1" applyFill="1" applyBorder="1"/>
    <xf numFmtId="0" fontId="11" fillId="18" borderId="2" xfId="0" applyFont="1" applyFill="1" applyBorder="1" applyAlignment="1">
      <alignment horizontal="center" wrapText="1"/>
    </xf>
    <xf numFmtId="0" fontId="14" fillId="18" borderId="2" xfId="0" applyFont="1" applyFill="1" applyBorder="1"/>
    <xf numFmtId="0" fontId="11" fillId="18" borderId="3" xfId="0" applyFont="1" applyFill="1" applyBorder="1"/>
    <xf numFmtId="0" fontId="14" fillId="16" borderId="0" xfId="0" applyFont="1" applyFill="1"/>
    <xf numFmtId="0" fontId="14" fillId="0" borderId="2" xfId="0" applyFont="1" applyBorder="1"/>
    <xf numFmtId="0" fontId="11" fillId="0" borderId="0" xfId="0" applyFont="1" applyAlignment="1">
      <alignment horizontal="left" vertical="center"/>
    </xf>
    <xf numFmtId="9" fontId="11" fillId="22" borderId="7" xfId="21" applyFont="1" applyFill="1" applyBorder="1" applyAlignment="1" applyProtection="1">
      <alignment vertical="center" wrapText="1"/>
    </xf>
    <xf numFmtId="0" fontId="17" fillId="16" borderId="0" xfId="0" applyFont="1" applyFill="1"/>
    <xf numFmtId="9" fontId="7" fillId="18" borderId="4" xfId="0" applyNumberFormat="1" applyFont="1" applyFill="1" applyBorder="1" applyAlignment="1">
      <alignment horizontal="center" vertical="center"/>
    </xf>
    <xf numFmtId="0" fontId="14" fillId="17" borderId="12" xfId="0" applyFont="1" applyFill="1" applyBorder="1" applyAlignment="1">
      <alignment horizontal="center" vertical="center" wrapText="1"/>
    </xf>
    <xf numFmtId="0" fontId="14" fillId="17" borderId="14" xfId="0" applyFont="1" applyFill="1" applyBorder="1" applyAlignment="1">
      <alignment horizontal="center" vertical="center" wrapText="1"/>
    </xf>
    <xf numFmtId="0" fontId="14" fillId="17" borderId="11" xfId="0" applyFont="1" applyFill="1" applyBorder="1" applyAlignment="1">
      <alignment horizontal="center" vertical="center" wrapText="1"/>
    </xf>
    <xf numFmtId="0" fontId="14" fillId="17" borderId="13" xfId="0" applyFont="1" applyFill="1" applyBorder="1" applyAlignment="1">
      <alignment horizontal="left" vertical="center" wrapText="1"/>
    </xf>
    <xf numFmtId="0" fontId="14" fillId="17" borderId="7" xfId="0" applyFont="1" applyFill="1" applyBorder="1" applyAlignment="1">
      <alignment horizontal="left" vertical="center" wrapText="1"/>
    </xf>
    <xf numFmtId="0" fontId="11" fillId="18" borderId="6" xfId="0" applyFont="1" applyFill="1" applyBorder="1"/>
    <xf numFmtId="0" fontId="11" fillId="0" borderId="0" xfId="0" applyFont="1" applyAlignment="1">
      <alignment horizontal="left" wrapText="1"/>
    </xf>
    <xf numFmtId="9" fontId="11" fillId="0" borderId="0" xfId="0" applyNumberFormat="1" applyFont="1" applyAlignment="1">
      <alignment horizontal="right"/>
    </xf>
    <xf numFmtId="9" fontId="12" fillId="22" borderId="7" xfId="21" applyFont="1" applyFill="1" applyBorder="1" applyAlignment="1" applyProtection="1">
      <alignment horizontal="center" vertical="center" wrapText="1"/>
    </xf>
    <xf numFmtId="0" fontId="10" fillId="22" borderId="7" xfId="0" applyFont="1" applyFill="1" applyBorder="1" applyAlignment="1">
      <alignment vertical="center" wrapText="1"/>
    </xf>
    <xf numFmtId="0" fontId="12" fillId="22" borderId="7" xfId="0" applyFont="1" applyFill="1" applyBorder="1" applyAlignment="1">
      <alignment vertical="center" wrapText="1"/>
    </xf>
    <xf numFmtId="3" fontId="8" fillId="18" borderId="5" xfId="0" applyNumberFormat="1" applyFont="1" applyFill="1" applyBorder="1" applyAlignment="1">
      <alignment horizontal="center" vertical="center"/>
    </xf>
    <xf numFmtId="3" fontId="7" fillId="18" borderId="5" xfId="0" applyNumberFormat="1" applyFont="1" applyFill="1" applyBorder="1" applyAlignment="1">
      <alignment horizontal="center" vertical="center"/>
    </xf>
    <xf numFmtId="3" fontId="9" fillId="18" borderId="5" xfId="0" applyNumberFormat="1" applyFont="1" applyFill="1" applyBorder="1" applyAlignment="1">
      <alignment horizontal="center" vertical="center"/>
    </xf>
    <xf numFmtId="0" fontId="10" fillId="18" borderId="5" xfId="0" applyFont="1" applyFill="1" applyBorder="1" applyAlignment="1">
      <alignment horizontal="center" vertical="center" wrapText="1"/>
    </xf>
    <xf numFmtId="3" fontId="8" fillId="18" borderId="4" xfId="0" applyNumberFormat="1" applyFont="1" applyFill="1" applyBorder="1" applyAlignment="1">
      <alignment horizontal="center" vertical="center"/>
    </xf>
    <xf numFmtId="3" fontId="8" fillId="18" borderId="0" xfId="0" applyNumberFormat="1" applyFont="1" applyFill="1" applyAlignment="1">
      <alignment horizontal="center" vertical="center"/>
    </xf>
    <xf numFmtId="3" fontId="8" fillId="18" borderId="10" xfId="0" applyNumberFormat="1" applyFont="1" applyFill="1" applyBorder="1" applyAlignment="1">
      <alignment horizontal="center" vertical="center"/>
    </xf>
    <xf numFmtId="0" fontId="10" fillId="18" borderId="8" xfId="0" applyFont="1" applyFill="1" applyBorder="1" applyAlignment="1">
      <alignment horizontal="center" vertical="center" wrapText="1"/>
    </xf>
    <xf numFmtId="3" fontId="7" fillId="18" borderId="10" xfId="0" applyNumberFormat="1" applyFont="1" applyFill="1" applyBorder="1" applyAlignment="1">
      <alignment horizontal="center" vertical="center"/>
    </xf>
    <xf numFmtId="1" fontId="10" fillId="22" borderId="7" xfId="0" applyNumberFormat="1" applyFont="1" applyFill="1" applyBorder="1" applyAlignment="1">
      <alignment horizontal="center" vertical="center" wrapText="1"/>
    </xf>
    <xf numFmtId="3" fontId="10" fillId="22" borderId="9" xfId="0" applyNumberFormat="1" applyFont="1" applyFill="1" applyBorder="1" applyAlignment="1">
      <alignment horizontal="center" vertical="center"/>
    </xf>
    <xf numFmtId="3" fontId="10" fillId="22" borderId="7" xfId="0" applyNumberFormat="1" applyFont="1" applyFill="1" applyBorder="1" applyAlignment="1">
      <alignment horizontal="center" vertical="center"/>
    </xf>
    <xf numFmtId="1" fontId="10" fillId="22" borderId="10" xfId="0" applyNumberFormat="1" applyFont="1" applyFill="1" applyBorder="1" applyAlignment="1">
      <alignment vertical="center" wrapText="1"/>
    </xf>
    <xf numFmtId="1" fontId="10" fillId="22" borderId="9" xfId="0" applyNumberFormat="1" applyFont="1" applyFill="1" applyBorder="1" applyAlignment="1">
      <alignment vertical="center" wrapText="1"/>
    </xf>
    <xf numFmtId="3" fontId="10" fillId="22" borderId="9" xfId="0" applyNumberFormat="1" applyFont="1" applyFill="1" applyBorder="1" applyAlignment="1">
      <alignment horizontal="center" vertical="center" wrapText="1"/>
    </xf>
    <xf numFmtId="9" fontId="11" fillId="0" borderId="0" xfId="20" applyFont="1" applyFill="1" applyAlignment="1" applyProtection="1">
      <alignment horizontal="right"/>
    </xf>
    <xf numFmtId="1" fontId="10" fillId="22" borderId="10" xfId="0" applyNumberFormat="1" applyFont="1" applyFill="1" applyBorder="1" applyAlignment="1" applyProtection="1">
      <alignment vertical="center" wrapText="1"/>
      <protection hidden="1"/>
    </xf>
    <xf numFmtId="9" fontId="11" fillId="0" borderId="0" xfId="20" applyFont="1" applyFill="1" applyAlignment="1" applyProtection="1">
      <alignment horizontal="left" wrapText="1"/>
    </xf>
    <xf numFmtId="0" fontId="9" fillId="22" borderId="13" xfId="0" quotePrefix="1" applyFont="1" applyFill="1" applyBorder="1" applyAlignment="1">
      <alignment horizontal="left" vertical="center" wrapText="1" indent="2"/>
    </xf>
    <xf numFmtId="0" fontId="9" fillId="22" borderId="10" xfId="0" quotePrefix="1" applyFont="1" applyFill="1" applyBorder="1" applyAlignment="1">
      <alignment horizontal="left" vertical="center" wrapText="1" indent="2"/>
    </xf>
    <xf numFmtId="1" fontId="10" fillId="0" borderId="7" xfId="0" applyNumberFormat="1" applyFont="1" applyBorder="1" applyAlignment="1" applyProtection="1">
      <alignment horizontal="center" vertical="center" wrapText="1"/>
      <protection locked="0"/>
    </xf>
    <xf numFmtId="1" fontId="10" fillId="18" borderId="7" xfId="0" applyNumberFormat="1" applyFont="1" applyFill="1" applyBorder="1" applyAlignment="1" applyProtection="1">
      <alignment horizontal="center" vertical="center" wrapText="1"/>
      <protection locked="0"/>
    </xf>
    <xf numFmtId="1" fontId="9" fillId="18" borderId="7" xfId="0" applyNumberFormat="1" applyFont="1" applyFill="1" applyBorder="1" applyAlignment="1" applyProtection="1">
      <alignment horizontal="center" vertical="center" wrapText="1"/>
      <protection locked="0"/>
    </xf>
    <xf numFmtId="0" fontId="8" fillId="17" borderId="10" xfId="0" applyFont="1" applyFill="1" applyBorder="1" applyAlignment="1">
      <alignment horizontal="center" vertical="center" wrapText="1"/>
    </xf>
    <xf numFmtId="0" fontId="12" fillId="21" borderId="0" xfId="0" applyFont="1" applyFill="1" applyAlignment="1">
      <alignment horizontal="center" vertical="center"/>
    </xf>
    <xf numFmtId="0" fontId="14" fillId="18" borderId="10" xfId="0" applyFont="1" applyFill="1" applyBorder="1"/>
    <xf numFmtId="0" fontId="12" fillId="18" borderId="0" xfId="0" applyFont="1" applyFill="1" applyAlignment="1">
      <alignment horizontal="center" vertical="center"/>
    </xf>
    <xf numFmtId="0" fontId="12" fillId="18" borderId="10" xfId="0" quotePrefix="1" applyFont="1" applyFill="1" applyBorder="1" applyAlignment="1">
      <alignment vertical="center" wrapText="1"/>
    </xf>
    <xf numFmtId="3" fontId="12" fillId="0" borderId="9" xfId="0" applyNumberFormat="1" applyFont="1" applyBorder="1" applyAlignment="1" applyProtection="1">
      <alignment horizontal="center" vertical="center"/>
      <protection locked="0"/>
    </xf>
    <xf numFmtId="9" fontId="12" fillId="20" borderId="13" xfId="20" applyFont="1" applyFill="1" applyBorder="1" applyAlignment="1" applyProtection="1">
      <alignment horizontal="center" vertical="center"/>
    </xf>
    <xf numFmtId="9" fontId="11" fillId="20" borderId="13" xfId="20" applyFont="1" applyFill="1" applyBorder="1" applyAlignment="1" applyProtection="1">
      <alignment horizontal="center" vertical="center"/>
    </xf>
    <xf numFmtId="0" fontId="9" fillId="22" borderId="9" xfId="0" quotePrefix="1" applyFont="1" applyFill="1" applyBorder="1" applyAlignment="1">
      <alignment horizontal="left" vertical="center" wrapText="1" indent="2"/>
    </xf>
    <xf numFmtId="0" fontId="10" fillId="22" borderId="13" xfId="0" applyFont="1" applyFill="1" applyBorder="1" applyAlignment="1">
      <alignment horizontal="left" vertical="center" wrapText="1"/>
    </xf>
    <xf numFmtId="0" fontId="10" fillId="22" borderId="9" xfId="0" applyFont="1" applyFill="1" applyBorder="1" applyAlignment="1">
      <alignment horizontal="left" vertical="center" wrapText="1"/>
    </xf>
    <xf numFmtId="1" fontId="7" fillId="18" borderId="5" xfId="0" applyNumberFormat="1" applyFont="1" applyFill="1" applyBorder="1" applyAlignment="1">
      <alignment horizontal="center" vertical="center"/>
    </xf>
    <xf numFmtId="1" fontId="10" fillId="18" borderId="7" xfId="0" applyNumberFormat="1" applyFont="1" applyFill="1" applyBorder="1" applyAlignment="1" applyProtection="1">
      <alignment horizontal="center" vertical="center" wrapText="1"/>
      <protection hidden="1"/>
    </xf>
    <xf numFmtId="14" fontId="10" fillId="18" borderId="13" xfId="0" applyNumberFormat="1" applyFont="1" applyFill="1" applyBorder="1" applyAlignment="1" applyProtection="1">
      <alignment horizontal="left" vertical="center" wrapText="1"/>
      <protection locked="0" hidden="1"/>
    </xf>
    <xf numFmtId="14" fontId="10" fillId="18" borderId="10" xfId="0" applyNumberFormat="1" applyFont="1" applyFill="1" applyBorder="1" applyAlignment="1" applyProtection="1">
      <alignment horizontal="left" vertical="center" wrapText="1"/>
      <protection locked="0" hidden="1"/>
    </xf>
    <xf numFmtId="14" fontId="10" fillId="18" borderId="9" xfId="0" applyNumberFormat="1" applyFont="1" applyFill="1" applyBorder="1" applyAlignment="1" applyProtection="1">
      <alignment horizontal="left" vertical="center" wrapText="1"/>
      <protection locked="0" hidden="1"/>
    </xf>
    <xf numFmtId="1" fontId="9" fillId="22" borderId="13" xfId="0" applyNumberFormat="1" applyFont="1" applyFill="1" applyBorder="1" applyAlignment="1">
      <alignment horizontal="center" vertical="center"/>
    </xf>
    <xf numFmtId="1" fontId="9" fillId="22" borderId="9" xfId="0" applyNumberFormat="1" applyFont="1" applyFill="1" applyBorder="1" applyAlignment="1">
      <alignment horizontal="center" vertical="center"/>
    </xf>
    <xf numFmtId="1" fontId="7" fillId="22" borderId="9" xfId="0" applyNumberFormat="1" applyFont="1" applyFill="1" applyBorder="1" applyAlignment="1">
      <alignment horizontal="center" vertical="center"/>
    </xf>
    <xf numFmtId="0" fontId="9" fillId="18" borderId="4" xfId="0" applyFont="1" applyFill="1" applyBorder="1" applyAlignment="1">
      <alignment horizontal="center"/>
    </xf>
    <xf numFmtId="0" fontId="9" fillId="18" borderId="0" xfId="0" applyFont="1" applyFill="1" applyAlignment="1">
      <alignment horizontal="center"/>
    </xf>
    <xf numFmtId="0" fontId="10" fillId="22" borderId="13" xfId="0" quotePrefix="1" applyFont="1" applyFill="1" applyBorder="1" applyAlignment="1">
      <alignment horizontal="left" vertical="center" wrapText="1"/>
    </xf>
    <xf numFmtId="0" fontId="10" fillId="22" borderId="10" xfId="0" quotePrefix="1" applyFont="1" applyFill="1" applyBorder="1" applyAlignment="1">
      <alignment horizontal="left" vertical="center" wrapText="1"/>
    </xf>
    <xf numFmtId="0" fontId="10" fillId="22" borderId="9" xfId="0" quotePrefix="1" applyFont="1" applyFill="1" applyBorder="1" applyAlignment="1">
      <alignment horizontal="left" vertical="center" wrapText="1"/>
    </xf>
    <xf numFmtId="0" fontId="8" fillId="17" borderId="13" xfId="0" applyFont="1" applyFill="1" applyBorder="1" applyAlignment="1">
      <alignment horizontal="left" vertical="center" wrapText="1"/>
    </xf>
    <xf numFmtId="0" fontId="8" fillId="17" borderId="10" xfId="0" applyFont="1" applyFill="1" applyBorder="1" applyAlignment="1">
      <alignment horizontal="left" vertical="center" wrapText="1"/>
    </xf>
    <xf numFmtId="0" fontId="8" fillId="17" borderId="9" xfId="0" applyFont="1" applyFill="1" applyBorder="1" applyAlignment="1">
      <alignment horizontal="left" vertical="center" wrapText="1"/>
    </xf>
    <xf numFmtId="0" fontId="9" fillId="22" borderId="13" xfId="0" quotePrefix="1" applyFont="1" applyFill="1" applyBorder="1" applyAlignment="1">
      <alignment horizontal="left" vertical="center" wrapText="1" indent="2"/>
    </xf>
    <xf numFmtId="0" fontId="9" fillId="22" borderId="10" xfId="0" quotePrefix="1" applyFont="1" applyFill="1" applyBorder="1" applyAlignment="1">
      <alignment horizontal="left" vertical="center" wrapText="1" indent="2"/>
    </xf>
    <xf numFmtId="0" fontId="9" fillId="22" borderId="9" xfId="0" quotePrefix="1" applyFont="1" applyFill="1" applyBorder="1" applyAlignment="1">
      <alignment horizontal="left" vertical="center" wrapText="1" indent="2"/>
    </xf>
    <xf numFmtId="0" fontId="9" fillId="22" borderId="13" xfId="0" quotePrefix="1" applyFont="1" applyFill="1" applyBorder="1" applyAlignment="1">
      <alignment horizontal="left" vertical="center" wrapText="1" indent="1"/>
    </xf>
    <xf numFmtId="0" fontId="9" fillId="22" borderId="10" xfId="0" quotePrefix="1" applyFont="1" applyFill="1" applyBorder="1" applyAlignment="1">
      <alignment horizontal="left" vertical="center" wrapText="1" indent="1"/>
    </xf>
    <xf numFmtId="0" fontId="9" fillId="22" borderId="9" xfId="0" quotePrefix="1" applyFont="1" applyFill="1" applyBorder="1" applyAlignment="1">
      <alignment horizontal="left" vertical="center" wrapText="1" indent="1"/>
    </xf>
    <xf numFmtId="0" fontId="8" fillId="17" borderId="13" xfId="0" applyFont="1" applyFill="1" applyBorder="1" applyAlignment="1">
      <alignment horizontal="center" vertical="center" wrapText="1"/>
    </xf>
    <xf numFmtId="0" fontId="8" fillId="17" borderId="9" xfId="0" applyFont="1" applyFill="1" applyBorder="1" applyAlignment="1">
      <alignment horizontal="center" vertical="center" wrapText="1"/>
    </xf>
    <xf numFmtId="0" fontId="8" fillId="17" borderId="10" xfId="0" applyFont="1" applyFill="1" applyBorder="1" applyAlignment="1">
      <alignment horizontal="center" vertical="center" wrapText="1"/>
    </xf>
    <xf numFmtId="0" fontId="10" fillId="0" borderId="1" xfId="0" applyFont="1" applyBorder="1" applyAlignment="1" applyProtection="1">
      <alignment horizontal="center" vertical="center" wrapText="1"/>
      <protection locked="0"/>
    </xf>
    <xf numFmtId="0" fontId="10" fillId="0" borderId="15" xfId="0" applyFont="1" applyBorder="1" applyAlignment="1" applyProtection="1">
      <alignment horizontal="center" vertical="center" wrapText="1"/>
      <protection locked="0"/>
    </xf>
    <xf numFmtId="0" fontId="10" fillId="0" borderId="12" xfId="0" applyFont="1" applyBorder="1" applyAlignment="1" applyProtection="1">
      <alignment horizontal="center" vertical="center" wrapText="1"/>
      <protection locked="0"/>
    </xf>
    <xf numFmtId="0" fontId="10" fillId="0" borderId="14" xfId="0" applyFont="1" applyBorder="1" applyAlignment="1" applyProtection="1">
      <alignment horizontal="center" vertical="center" wrapText="1"/>
      <protection locked="0"/>
    </xf>
    <xf numFmtId="0" fontId="10" fillId="0" borderId="4" xfId="0" applyFont="1" applyBorder="1" applyAlignment="1" applyProtection="1">
      <alignment horizontal="center" vertical="center" wrapText="1"/>
      <protection locked="0"/>
    </xf>
    <xf numFmtId="0" fontId="10" fillId="0" borderId="5" xfId="0" applyFont="1" applyBorder="1" applyAlignment="1" applyProtection="1">
      <alignment horizontal="center" vertical="center" wrapText="1"/>
      <protection locked="0"/>
    </xf>
    <xf numFmtId="0" fontId="10" fillId="18" borderId="1" xfId="0" quotePrefix="1" applyFont="1" applyFill="1" applyBorder="1" applyAlignment="1" applyProtection="1">
      <alignment horizontal="center" vertical="center" wrapText="1"/>
      <protection locked="0"/>
    </xf>
    <xf numFmtId="0" fontId="10" fillId="18" borderId="15" xfId="0" quotePrefix="1" applyFont="1" applyFill="1" applyBorder="1" applyAlignment="1" applyProtection="1">
      <alignment horizontal="center" vertical="center" wrapText="1"/>
      <protection locked="0"/>
    </xf>
    <xf numFmtId="0" fontId="10" fillId="18" borderId="4" xfId="0" quotePrefix="1" applyFont="1" applyFill="1" applyBorder="1" applyAlignment="1" applyProtection="1">
      <alignment horizontal="center" vertical="center" wrapText="1"/>
      <protection locked="0"/>
    </xf>
    <xf numFmtId="0" fontId="10" fillId="18" borderId="5" xfId="0" quotePrefix="1" applyFont="1" applyFill="1" applyBorder="1" applyAlignment="1" applyProtection="1">
      <alignment horizontal="center" vertical="center" wrapText="1"/>
      <protection locked="0"/>
    </xf>
    <xf numFmtId="0" fontId="10" fillId="18" borderId="12" xfId="0" quotePrefix="1" applyFont="1" applyFill="1" applyBorder="1" applyAlignment="1" applyProtection="1">
      <alignment horizontal="center" vertical="center" wrapText="1"/>
      <protection locked="0"/>
    </xf>
    <xf numFmtId="0" fontId="10" fillId="18" borderId="14" xfId="0" quotePrefix="1" applyFont="1" applyFill="1" applyBorder="1" applyAlignment="1" applyProtection="1">
      <alignment horizontal="center" vertical="center" wrapText="1"/>
      <protection locked="0"/>
    </xf>
    <xf numFmtId="0" fontId="10" fillId="18" borderId="1" xfId="0" applyFont="1" applyFill="1" applyBorder="1" applyAlignment="1" applyProtection="1">
      <alignment horizontal="center" vertical="center" wrapText="1"/>
      <protection locked="0"/>
    </xf>
    <xf numFmtId="0" fontId="10" fillId="18" borderId="15" xfId="0" applyFont="1" applyFill="1" applyBorder="1" applyAlignment="1" applyProtection="1">
      <alignment horizontal="center" vertical="center" wrapText="1"/>
      <protection locked="0"/>
    </xf>
    <xf numFmtId="0" fontId="10" fillId="18" borderId="4" xfId="0" applyFont="1" applyFill="1" applyBorder="1" applyAlignment="1" applyProtection="1">
      <alignment horizontal="center" vertical="center" wrapText="1"/>
      <protection locked="0"/>
    </xf>
    <xf numFmtId="0" fontId="10" fillId="18" borderId="5" xfId="0" applyFont="1" applyFill="1" applyBorder="1" applyAlignment="1" applyProtection="1">
      <alignment horizontal="center" vertical="center" wrapText="1"/>
      <protection locked="0"/>
    </xf>
    <xf numFmtId="0" fontId="10" fillId="18" borderId="12" xfId="0" applyFont="1" applyFill="1" applyBorder="1" applyAlignment="1" applyProtection="1">
      <alignment horizontal="center" vertical="center" wrapText="1"/>
      <protection locked="0"/>
    </xf>
    <xf numFmtId="0" fontId="10" fillId="18" borderId="14" xfId="0" applyFont="1" applyFill="1" applyBorder="1" applyAlignment="1" applyProtection="1">
      <alignment horizontal="center" vertical="center" wrapText="1"/>
      <protection locked="0"/>
    </xf>
    <xf numFmtId="0" fontId="9" fillId="18" borderId="1" xfId="0" applyFont="1" applyFill="1" applyBorder="1" applyAlignment="1" applyProtection="1">
      <alignment horizontal="center" vertical="center" wrapText="1"/>
      <protection locked="0"/>
    </xf>
    <xf numFmtId="0" fontId="9" fillId="18" borderId="3" xfId="0" applyFont="1" applyFill="1" applyBorder="1" applyAlignment="1" applyProtection="1">
      <alignment horizontal="center" vertical="center" wrapText="1"/>
      <protection locked="0"/>
    </xf>
    <xf numFmtId="0" fontId="9" fillId="18" borderId="4" xfId="0" applyFont="1" applyFill="1" applyBorder="1" applyAlignment="1" applyProtection="1">
      <alignment horizontal="center" vertical="center" wrapText="1"/>
      <protection locked="0"/>
    </xf>
    <xf numFmtId="0" fontId="9" fillId="18" borderId="6" xfId="0" applyFont="1" applyFill="1" applyBorder="1" applyAlignment="1" applyProtection="1">
      <alignment horizontal="center" vertical="center" wrapText="1"/>
      <protection locked="0"/>
    </xf>
    <xf numFmtId="0" fontId="9" fillId="18" borderId="12" xfId="0" applyFont="1" applyFill="1" applyBorder="1" applyAlignment="1" applyProtection="1">
      <alignment horizontal="center" vertical="center" wrapText="1"/>
      <protection locked="0"/>
    </xf>
    <xf numFmtId="0" fontId="9" fillId="18" borderId="11" xfId="0" applyFont="1" applyFill="1" applyBorder="1" applyAlignment="1" applyProtection="1">
      <alignment horizontal="center" vertical="center" wrapText="1"/>
      <protection locked="0"/>
    </xf>
    <xf numFmtId="0" fontId="10" fillId="22" borderId="13" xfId="0" applyFont="1" applyFill="1" applyBorder="1" applyAlignment="1">
      <alignment horizontal="left" vertical="center" wrapText="1"/>
    </xf>
    <xf numFmtId="0" fontId="10" fillId="22" borderId="10" xfId="0" applyFont="1" applyFill="1" applyBorder="1" applyAlignment="1">
      <alignment horizontal="left" vertical="center" wrapText="1"/>
    </xf>
    <xf numFmtId="1" fontId="10" fillId="22" borderId="13" xfId="0" applyNumberFormat="1" applyFont="1" applyFill="1" applyBorder="1" applyAlignment="1" applyProtection="1">
      <alignment horizontal="left" vertical="center"/>
      <protection hidden="1"/>
    </xf>
    <xf numFmtId="1" fontId="10" fillId="22" borderId="10" xfId="0" applyNumberFormat="1" applyFont="1" applyFill="1" applyBorder="1" applyAlignment="1" applyProtection="1">
      <alignment horizontal="left" vertical="center"/>
      <protection hidden="1"/>
    </xf>
    <xf numFmtId="9" fontId="9" fillId="18" borderId="10" xfId="20" applyFont="1" applyFill="1" applyBorder="1" applyAlignment="1" applyProtection="1">
      <alignment horizontal="left"/>
      <protection locked="0"/>
    </xf>
    <xf numFmtId="9" fontId="9" fillId="18" borderId="9" xfId="20" applyFont="1" applyFill="1" applyBorder="1" applyAlignment="1" applyProtection="1">
      <alignment horizontal="left"/>
      <protection locked="0"/>
    </xf>
    <xf numFmtId="0" fontId="10" fillId="0" borderId="13" xfId="0" applyFont="1" applyBorder="1" applyAlignment="1" applyProtection="1">
      <alignment horizontal="center" vertical="center" wrapText="1"/>
      <protection locked="0"/>
    </xf>
    <xf numFmtId="0" fontId="10" fillId="0" borderId="9" xfId="0" applyFont="1" applyBorder="1" applyAlignment="1" applyProtection="1">
      <alignment horizontal="center" vertical="center" wrapText="1"/>
      <protection locked="0"/>
    </xf>
    <xf numFmtId="0" fontId="10" fillId="18" borderId="13" xfId="0" applyFont="1" applyFill="1" applyBorder="1" applyAlignment="1" applyProtection="1">
      <alignment horizontal="left" vertical="center" wrapText="1"/>
      <protection locked="0"/>
    </xf>
    <xf numFmtId="0" fontId="10" fillId="18" borderId="10" xfId="0" applyFont="1" applyFill="1" applyBorder="1" applyAlignment="1" applyProtection="1">
      <alignment horizontal="left" vertical="center" wrapText="1"/>
      <protection locked="0"/>
    </xf>
    <xf numFmtId="0" fontId="10" fillId="18" borderId="9" xfId="0" applyFont="1" applyFill="1" applyBorder="1" applyAlignment="1" applyProtection="1">
      <alignment horizontal="left" vertical="center" wrapText="1"/>
      <protection locked="0"/>
    </xf>
    <xf numFmtId="0" fontId="10" fillId="18" borderId="13" xfId="0" applyFont="1" applyFill="1" applyBorder="1" applyAlignment="1" applyProtection="1">
      <alignment horizontal="left" vertical="center" wrapText="1"/>
      <protection locked="0" hidden="1"/>
    </xf>
    <xf numFmtId="0" fontId="10" fillId="18" borderId="10" xfId="0" applyFont="1" applyFill="1" applyBorder="1" applyAlignment="1" applyProtection="1">
      <alignment horizontal="left" vertical="center" wrapText="1"/>
      <protection locked="0" hidden="1"/>
    </xf>
    <xf numFmtId="0" fontId="10" fillId="18" borderId="9" xfId="0" applyFont="1" applyFill="1" applyBorder="1" applyAlignment="1" applyProtection="1">
      <alignment horizontal="left" vertical="center" wrapText="1"/>
      <protection locked="0" hidden="1"/>
    </xf>
    <xf numFmtId="0" fontId="9" fillId="18" borderId="13" xfId="0" applyFont="1" applyFill="1" applyBorder="1" applyAlignment="1" applyProtection="1">
      <alignment horizontal="left" vertical="center" wrapText="1"/>
      <protection locked="0" hidden="1"/>
    </xf>
    <xf numFmtId="0" fontId="9" fillId="18" borderId="10" xfId="0" applyFont="1" applyFill="1" applyBorder="1" applyAlignment="1" applyProtection="1">
      <alignment horizontal="left" vertical="center" wrapText="1"/>
      <protection locked="0" hidden="1"/>
    </xf>
    <xf numFmtId="0" fontId="9" fillId="18" borderId="9" xfId="0" applyFont="1" applyFill="1" applyBorder="1" applyAlignment="1" applyProtection="1">
      <alignment horizontal="left" vertical="center" wrapText="1"/>
      <protection locked="0" hidden="1"/>
    </xf>
    <xf numFmtId="0" fontId="19" fillId="17" borderId="1" xfId="0" applyFont="1" applyFill="1" applyBorder="1" applyAlignment="1">
      <alignment horizontal="center" vertical="center" wrapText="1"/>
    </xf>
    <xf numFmtId="0" fontId="19" fillId="17" borderId="2" xfId="0" applyFont="1" applyFill="1" applyBorder="1" applyAlignment="1">
      <alignment horizontal="center" vertical="center" wrapText="1"/>
    </xf>
    <xf numFmtId="0" fontId="19" fillId="17" borderId="3" xfId="0" applyFont="1" applyFill="1" applyBorder="1" applyAlignment="1">
      <alignment horizontal="center" vertical="center" wrapText="1"/>
    </xf>
    <xf numFmtId="0" fontId="8" fillId="17" borderId="12" xfId="0" applyFont="1" applyFill="1" applyBorder="1" applyAlignment="1">
      <alignment horizontal="center" vertical="center"/>
    </xf>
    <xf numFmtId="0" fontId="8" fillId="17" borderId="11" xfId="0" applyFont="1" applyFill="1" applyBorder="1" applyAlignment="1">
      <alignment horizontal="center" vertical="center"/>
    </xf>
    <xf numFmtId="0" fontId="10" fillId="18" borderId="3" xfId="0" applyFont="1" applyFill="1" applyBorder="1" applyAlignment="1" applyProtection="1">
      <alignment horizontal="center" vertical="center" wrapText="1"/>
      <protection locked="0"/>
    </xf>
    <xf numFmtId="0" fontId="10" fillId="18" borderId="6" xfId="0" applyFont="1" applyFill="1" applyBorder="1" applyAlignment="1" applyProtection="1">
      <alignment horizontal="center" vertical="center" wrapText="1"/>
      <protection locked="0"/>
    </xf>
    <xf numFmtId="0" fontId="10" fillId="18" borderId="11" xfId="0" applyFont="1" applyFill="1" applyBorder="1" applyAlignment="1" applyProtection="1">
      <alignment horizontal="center" vertical="center" wrapText="1"/>
      <protection locked="0"/>
    </xf>
    <xf numFmtId="9" fontId="9" fillId="18" borderId="8" xfId="20" applyFont="1" applyFill="1" applyBorder="1" applyAlignment="1" applyProtection="1">
      <alignment horizontal="left"/>
      <protection locked="0"/>
    </xf>
    <xf numFmtId="9" fontId="9" fillId="18" borderId="11" xfId="20" applyFont="1" applyFill="1" applyBorder="1" applyAlignment="1" applyProtection="1">
      <alignment horizontal="left"/>
      <protection locked="0"/>
    </xf>
    <xf numFmtId="14" fontId="10" fillId="18" borderId="7" xfId="0" applyNumberFormat="1" applyFont="1" applyFill="1" applyBorder="1" applyAlignment="1" applyProtection="1">
      <alignment horizontal="left" vertical="center" wrapText="1"/>
      <protection locked="0"/>
    </xf>
    <xf numFmtId="3" fontId="11" fillId="18" borderId="7" xfId="0" applyNumberFormat="1" applyFont="1" applyFill="1" applyBorder="1" applyAlignment="1" applyProtection="1">
      <alignment horizontal="left" vertical="center"/>
      <protection locked="0"/>
    </xf>
    <xf numFmtId="3" fontId="11" fillId="18" borderId="10" xfId="0" applyNumberFormat="1" applyFont="1" applyFill="1" applyBorder="1" applyAlignment="1" applyProtection="1">
      <alignment horizontal="center" vertical="center"/>
      <protection locked="0"/>
    </xf>
    <xf numFmtId="3" fontId="11" fillId="18" borderId="9" xfId="0" applyNumberFormat="1" applyFont="1" applyFill="1" applyBorder="1" applyAlignment="1" applyProtection="1">
      <alignment horizontal="center" vertical="center"/>
      <protection locked="0"/>
    </xf>
    <xf numFmtId="0" fontId="8" fillId="17" borderId="8" xfId="0" applyFont="1" applyFill="1" applyBorder="1" applyAlignment="1">
      <alignment horizontal="center" vertical="center"/>
    </xf>
    <xf numFmtId="0" fontId="10" fillId="22" borderId="1" xfId="0" applyFont="1" applyFill="1" applyBorder="1" applyAlignment="1">
      <alignment horizontal="center" vertical="center" wrapText="1"/>
    </xf>
    <xf numFmtId="0" fontId="10" fillId="22" borderId="4" xfId="0" applyFont="1" applyFill="1" applyBorder="1" applyAlignment="1">
      <alignment horizontal="center" vertical="center" wrapText="1"/>
    </xf>
    <xf numFmtId="0" fontId="10" fillId="22" borderId="12" xfId="0" applyFont="1" applyFill="1" applyBorder="1" applyAlignment="1">
      <alignment horizontal="center" vertical="center" wrapText="1"/>
    </xf>
    <xf numFmtId="0" fontId="10" fillId="22" borderId="13" xfId="0" applyFont="1" applyFill="1" applyBorder="1" applyAlignment="1">
      <alignment horizontal="center" vertical="center" wrapText="1"/>
    </xf>
    <xf numFmtId="0" fontId="10" fillId="22" borderId="10" xfId="0" applyFont="1" applyFill="1" applyBorder="1" applyAlignment="1">
      <alignment horizontal="center" vertical="center" wrapText="1"/>
    </xf>
    <xf numFmtId="3" fontId="11" fillId="18" borderId="13" xfId="0" applyNumberFormat="1" applyFont="1" applyFill="1" applyBorder="1" applyAlignment="1" applyProtection="1">
      <alignment horizontal="left" vertical="center"/>
      <protection locked="0"/>
    </xf>
    <xf numFmtId="3" fontId="11" fillId="18" borderId="10" xfId="0" applyNumberFormat="1" applyFont="1" applyFill="1" applyBorder="1" applyAlignment="1" applyProtection="1">
      <alignment horizontal="left" vertical="center"/>
      <protection locked="0"/>
    </xf>
    <xf numFmtId="3" fontId="11" fillId="18" borderId="9" xfId="0" applyNumberFormat="1" applyFont="1" applyFill="1" applyBorder="1" applyAlignment="1" applyProtection="1">
      <alignment horizontal="left" vertical="center"/>
      <protection locked="0"/>
    </xf>
    <xf numFmtId="3" fontId="11" fillId="18" borderId="13" xfId="0" applyNumberFormat="1" applyFont="1" applyFill="1" applyBorder="1" applyAlignment="1" applyProtection="1">
      <alignment horizontal="center" vertical="center"/>
      <protection locked="0"/>
    </xf>
    <xf numFmtId="0" fontId="13" fillId="17" borderId="13" xfId="0" applyFont="1" applyFill="1" applyBorder="1" applyAlignment="1">
      <alignment horizontal="center" vertical="center" wrapText="1"/>
    </xf>
    <xf numFmtId="0" fontId="13" fillId="17" borderId="10" xfId="0" applyFont="1" applyFill="1" applyBorder="1" applyAlignment="1">
      <alignment horizontal="center" vertical="center" wrapText="1"/>
    </xf>
    <xf numFmtId="0" fontId="13" fillId="17" borderId="9" xfId="0" applyFont="1" applyFill="1" applyBorder="1" applyAlignment="1">
      <alignment horizontal="center" vertical="center" wrapText="1"/>
    </xf>
    <xf numFmtId="0" fontId="11" fillId="18" borderId="4" xfId="0" applyFont="1" applyFill="1" applyBorder="1" applyAlignment="1">
      <alignment horizontal="center"/>
    </xf>
    <xf numFmtId="0" fontId="11" fillId="18" borderId="0" xfId="0" applyFont="1" applyFill="1" applyAlignment="1">
      <alignment horizontal="center"/>
    </xf>
    <xf numFmtId="0" fontId="8" fillId="17" borderId="7" xfId="0" applyFont="1" applyFill="1" applyBorder="1" applyAlignment="1">
      <alignment horizontal="left" vertical="center" wrapText="1"/>
    </xf>
    <xf numFmtId="0" fontId="10" fillId="22" borderId="1" xfId="0" quotePrefix="1" applyFont="1" applyFill="1" applyBorder="1" applyAlignment="1">
      <alignment horizontal="center" vertical="center" wrapText="1"/>
    </xf>
    <xf numFmtId="0" fontId="10" fillId="22" borderId="4" xfId="0" quotePrefix="1" applyFont="1" applyFill="1" applyBorder="1" applyAlignment="1">
      <alignment horizontal="center" vertical="center" wrapText="1"/>
    </xf>
    <xf numFmtId="0" fontId="10" fillId="22" borderId="12" xfId="0" quotePrefix="1" applyFont="1" applyFill="1" applyBorder="1" applyAlignment="1">
      <alignment horizontal="center" vertical="center" wrapText="1"/>
    </xf>
    <xf numFmtId="0" fontId="13" fillId="17" borderId="1" xfId="0" applyFont="1" applyFill="1" applyBorder="1" applyAlignment="1">
      <alignment horizontal="center" vertical="center" wrapText="1"/>
    </xf>
    <xf numFmtId="0" fontId="13" fillId="17" borderId="2" xfId="0" applyFont="1" applyFill="1" applyBorder="1" applyAlignment="1">
      <alignment horizontal="center" vertical="center" wrapText="1"/>
    </xf>
    <xf numFmtId="0" fontId="9" fillId="22" borderId="7" xfId="0" applyFont="1" applyFill="1" applyBorder="1" applyAlignment="1">
      <alignment horizontal="left" vertical="center" wrapText="1"/>
    </xf>
    <xf numFmtId="14" fontId="9" fillId="22" borderId="7" xfId="0" applyNumberFormat="1" applyFont="1" applyFill="1" applyBorder="1" applyAlignment="1">
      <alignment horizontal="left" vertical="center" wrapText="1"/>
    </xf>
    <xf numFmtId="1" fontId="9" fillId="22" borderId="7" xfId="20" applyNumberFormat="1" applyFont="1" applyFill="1" applyBorder="1" applyAlignment="1" applyProtection="1">
      <alignment horizontal="left" vertical="center" wrapText="1"/>
    </xf>
    <xf numFmtId="9" fontId="12" fillId="22" borderId="7" xfId="20" applyFont="1" applyFill="1" applyBorder="1" applyAlignment="1" applyProtection="1">
      <alignment horizontal="left" vertical="center" wrapText="1"/>
    </xf>
    <xf numFmtId="9" fontId="12" fillId="22" borderId="15" xfId="20" applyFont="1" applyFill="1" applyBorder="1" applyAlignment="1" applyProtection="1">
      <alignment horizontal="left" vertical="center" wrapText="1"/>
    </xf>
    <xf numFmtId="0" fontId="11" fillId="21" borderId="0" xfId="0" applyFont="1" applyFill="1" applyAlignment="1">
      <alignment horizontal="left" vertical="center" wrapText="1"/>
    </xf>
    <xf numFmtId="3" fontId="11" fillId="18" borderId="4" xfId="0" applyNumberFormat="1" applyFont="1" applyFill="1" applyBorder="1" applyAlignment="1" applyProtection="1">
      <alignment horizontal="left" vertical="center"/>
      <protection locked="0"/>
    </xf>
    <xf numFmtId="3" fontId="11" fillId="18" borderId="0" xfId="0" applyNumberFormat="1" applyFont="1" applyFill="1" applyAlignment="1" applyProtection="1">
      <alignment horizontal="left" vertical="center"/>
      <protection locked="0"/>
    </xf>
    <xf numFmtId="0" fontId="11" fillId="21" borderId="0" xfId="0" applyFont="1" applyFill="1" applyAlignment="1">
      <alignment horizontal="center" vertical="center" wrapText="1"/>
    </xf>
    <xf numFmtId="0" fontId="11" fillId="21" borderId="0" xfId="0" applyFont="1" applyFill="1" applyAlignment="1">
      <alignment horizontal="left" vertical="center"/>
    </xf>
    <xf numFmtId="0" fontId="13" fillId="17" borderId="7" xfId="0" applyFont="1" applyFill="1" applyBorder="1" applyAlignment="1">
      <alignment horizontal="center" vertical="center" wrapText="1"/>
    </xf>
    <xf numFmtId="0" fontId="12" fillId="21" borderId="0" xfId="0" applyFont="1" applyFill="1" applyAlignment="1">
      <alignment horizontal="left" vertical="center"/>
    </xf>
    <xf numFmtId="3" fontId="14" fillId="17" borderId="13" xfId="0" applyNumberFormat="1" applyFont="1" applyFill="1" applyBorder="1" applyAlignment="1" applyProtection="1">
      <alignment horizontal="center" vertical="center"/>
      <protection locked="0"/>
    </xf>
    <xf numFmtId="3" fontId="14" fillId="17" borderId="10" xfId="0" applyNumberFormat="1" applyFont="1" applyFill="1" applyBorder="1" applyAlignment="1" applyProtection="1">
      <alignment horizontal="center" vertical="center"/>
      <protection locked="0"/>
    </xf>
    <xf numFmtId="3" fontId="14" fillId="17" borderId="9" xfId="0" applyNumberFormat="1" applyFont="1" applyFill="1" applyBorder="1" applyAlignment="1" applyProtection="1">
      <alignment horizontal="center" vertical="center"/>
      <protection locked="0"/>
    </xf>
    <xf numFmtId="3" fontId="14" fillId="18" borderId="0" xfId="0" applyNumberFormat="1" applyFont="1" applyFill="1" applyAlignment="1" applyProtection="1">
      <alignment horizontal="center" vertical="center"/>
      <protection locked="0"/>
    </xf>
    <xf numFmtId="3" fontId="14" fillId="18" borderId="6" xfId="0" applyNumberFormat="1" applyFont="1" applyFill="1" applyBorder="1" applyAlignment="1" applyProtection="1">
      <alignment horizontal="center" vertical="center"/>
      <protection locked="0"/>
    </xf>
    <xf numFmtId="0" fontId="10" fillId="22" borderId="15" xfId="0" applyFont="1" applyFill="1" applyBorder="1" applyAlignment="1">
      <alignment horizontal="center" vertical="center" wrapText="1"/>
    </xf>
    <xf numFmtId="0" fontId="10" fillId="22" borderId="5" xfId="0" applyFont="1" applyFill="1" applyBorder="1" applyAlignment="1">
      <alignment horizontal="center" vertical="center" wrapText="1"/>
    </xf>
    <xf numFmtId="0" fontId="10" fillId="22" borderId="14" xfId="0" applyFont="1" applyFill="1" applyBorder="1" applyAlignment="1">
      <alignment horizontal="center" vertical="center" wrapText="1"/>
    </xf>
    <xf numFmtId="0" fontId="10" fillId="22" borderId="9" xfId="0" applyFont="1" applyFill="1" applyBorder="1" applyAlignment="1">
      <alignment horizontal="center" vertical="center" wrapText="1"/>
    </xf>
    <xf numFmtId="0" fontId="10" fillId="22" borderId="15" xfId="0" quotePrefix="1" applyFont="1" applyFill="1" applyBorder="1" applyAlignment="1">
      <alignment horizontal="center" vertical="center" wrapText="1"/>
    </xf>
    <xf numFmtId="0" fontId="10" fillId="22" borderId="5" xfId="0" quotePrefix="1" applyFont="1" applyFill="1" applyBorder="1" applyAlignment="1">
      <alignment horizontal="center" vertical="center" wrapText="1"/>
    </xf>
    <xf numFmtId="0" fontId="10" fillId="22" borderId="14" xfId="0" quotePrefix="1" applyFont="1" applyFill="1" applyBorder="1" applyAlignment="1">
      <alignment horizontal="center" vertical="center" wrapText="1"/>
    </xf>
    <xf numFmtId="0" fontId="12" fillId="18" borderId="10" xfId="0" quotePrefix="1" applyFont="1" applyFill="1" applyBorder="1" applyAlignment="1">
      <alignment horizontal="center" vertical="center" wrapText="1"/>
    </xf>
    <xf numFmtId="9" fontId="14" fillId="18" borderId="0" xfId="0" applyNumberFormat="1" applyFont="1" applyFill="1" applyAlignment="1">
      <alignment horizontal="center" vertical="center"/>
    </xf>
    <xf numFmtId="9" fontId="14" fillId="18" borderId="6" xfId="0" applyNumberFormat="1" applyFont="1" applyFill="1" applyBorder="1" applyAlignment="1">
      <alignment horizontal="center" vertical="center"/>
    </xf>
    <xf numFmtId="3" fontId="14" fillId="17" borderId="7" xfId="0" applyNumberFormat="1" applyFont="1" applyFill="1" applyBorder="1" applyAlignment="1" applyProtection="1">
      <alignment horizontal="center" vertical="center"/>
      <protection locked="0"/>
    </xf>
  </cellXfs>
  <cellStyles count="24">
    <cellStyle name="20% - Akzent1" xfId="1" xr:uid="{00000000-0005-0000-0000-000000000000}"/>
    <cellStyle name="20% - Akzent2" xfId="2" xr:uid="{00000000-0005-0000-0000-000001000000}"/>
    <cellStyle name="20% - Akzent3" xfId="3" xr:uid="{00000000-0005-0000-0000-000002000000}"/>
    <cellStyle name="20% - Akzent4" xfId="4" xr:uid="{00000000-0005-0000-0000-000003000000}"/>
    <cellStyle name="20% - Akzent5" xfId="5" xr:uid="{00000000-0005-0000-0000-000004000000}"/>
    <cellStyle name="20% - Akzent6" xfId="6" xr:uid="{00000000-0005-0000-0000-000005000000}"/>
    <cellStyle name="40% - Akzent1" xfId="7" xr:uid="{00000000-0005-0000-0000-000006000000}"/>
    <cellStyle name="40% - Akzent2" xfId="8" xr:uid="{00000000-0005-0000-0000-000007000000}"/>
    <cellStyle name="40% - Akzent3" xfId="9" xr:uid="{00000000-0005-0000-0000-000008000000}"/>
    <cellStyle name="40% - Akzent4" xfId="10" xr:uid="{00000000-0005-0000-0000-000009000000}"/>
    <cellStyle name="40% - Akzent5" xfId="11" xr:uid="{00000000-0005-0000-0000-00000A000000}"/>
    <cellStyle name="40% - Akzent6" xfId="12" xr:uid="{00000000-0005-0000-0000-00000B000000}"/>
    <cellStyle name="60% - Akzent1" xfId="13" xr:uid="{00000000-0005-0000-0000-00000C000000}"/>
    <cellStyle name="60% - Akzent2" xfId="14" xr:uid="{00000000-0005-0000-0000-00000D000000}"/>
    <cellStyle name="60% - Akzent3" xfId="15" xr:uid="{00000000-0005-0000-0000-00000E000000}"/>
    <cellStyle name="60% - Akzent4" xfId="16" xr:uid="{00000000-0005-0000-0000-00000F000000}"/>
    <cellStyle name="60% - Akzent5" xfId="17" xr:uid="{00000000-0005-0000-0000-000010000000}"/>
    <cellStyle name="60% - Akzent6" xfId="18" xr:uid="{00000000-0005-0000-0000-000011000000}"/>
    <cellStyle name="Euro" xfId="19" xr:uid="{00000000-0005-0000-0000-000012000000}"/>
    <cellStyle name="Prozent" xfId="20" builtinId="5"/>
    <cellStyle name="Prozent 2" xfId="21" xr:uid="{00000000-0005-0000-0000-000014000000}"/>
    <cellStyle name="Standard" xfId="0" builtinId="0"/>
    <cellStyle name="Standard 2" xfId="22" xr:uid="{00000000-0005-0000-0000-000016000000}"/>
    <cellStyle name="Währung 2" xfId="23" xr:uid="{00000000-0005-0000-0000-000017000000}"/>
  </cellStyles>
  <dxfs count="40"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tegrationsfonds.local\Pers&#246;nliche%20Dateien\Dokumente%20und%20Einstellungen\haitze1\Lokale%20Einstellungen\Temporary%20Internet%20Files\OLKC4\Anlage_2__Projekteinreichung_zum_EFF_2010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t-vie-hq-fs04\shared$\SEKTION%20VIII\VIII.3\3_NATIONAL\4_AUFRUF\Aufruf_2017\1_Aufruf\finale_Unterlagen\2_Antragsformular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ransfer"/>
      <sheetName val="Navigation"/>
      <sheetName val="Hinweise"/>
      <sheetName val="Eingabe_1_bis_4"/>
      <sheetName val="Eingabe_5"/>
      <sheetName val="Eingabe_6"/>
      <sheetName val="Druck0"/>
      <sheetName val="Druck1"/>
      <sheetName val="Druck2"/>
      <sheetName val="sysHilfe"/>
      <sheetName val="sysAuswahl"/>
      <sheetName val="sysTextGen"/>
      <sheetName val="sysGUI"/>
      <sheetName val="Version"/>
      <sheetName val="HT"/>
      <sheetName val="Cockpit"/>
      <sheetName val="Datenquelle"/>
      <sheetName val="Tabelle1"/>
    </sheetNames>
    <sheetDataSet>
      <sheetData sheetId="0"/>
      <sheetData sheetId="1"/>
      <sheetData sheetId="2"/>
      <sheetData sheetId="3">
        <row r="15">
          <cell r="F15" t="str">
            <v>EFF 2010</v>
          </cell>
        </row>
      </sheetData>
      <sheetData sheetId="4"/>
      <sheetData sheetId="5"/>
      <sheetData sheetId="6"/>
      <sheetData sheetId="7"/>
      <sheetData sheetId="8"/>
      <sheetData sheetId="9"/>
      <sheetData sheetId="10">
        <row r="5">
          <cell r="A5" t="str">
            <v>JA</v>
          </cell>
          <cell r="C5" t="str">
            <v>JA</v>
          </cell>
          <cell r="D5">
            <v>1</v>
          </cell>
          <cell r="F5">
            <v>1</v>
          </cell>
          <cell r="G5" t="str">
            <v>JA</v>
          </cell>
        </row>
        <row r="6">
          <cell r="A6" t="str">
            <v>NEIN</v>
          </cell>
          <cell r="C6" t="str">
            <v>NEIN</v>
          </cell>
          <cell r="D6">
            <v>0</v>
          </cell>
          <cell r="F6">
            <v>0</v>
          </cell>
          <cell r="G6" t="str">
            <v>NEIN</v>
          </cell>
        </row>
        <row r="7">
          <cell r="C7">
            <v>0</v>
          </cell>
        </row>
        <row r="14">
          <cell r="A14" t="str">
            <v>Fortsetzungsprojekt</v>
          </cell>
        </row>
        <row r="15">
          <cell r="A15" t="str">
            <v>Erweiterung einer üblichen Aktivität</v>
          </cell>
        </row>
        <row r="16">
          <cell r="A16" t="str">
            <v>neue Aktivität/innovativer Charakter</v>
          </cell>
        </row>
        <row r="23">
          <cell r="A23" t="str">
            <v>Maßnahme zu 1.0: Psychologische und psychotherapeutische Betreuung</v>
          </cell>
          <cell r="C23" t="str">
            <v>Maßnahme zu 1.0: Psychologische und psychotherapeutische Betreuung</v>
          </cell>
          <cell r="D23" t="str">
            <v>M_EFF_1.1.1</v>
          </cell>
          <cell r="F23" t="str">
            <v>M_EFF_1.1.1</v>
          </cell>
          <cell r="G23" t="str">
            <v>Maßnahme zu 1.0: Psychologische und psychotherapeutische Betreuung</v>
          </cell>
        </row>
        <row r="24">
          <cell r="A24" t="str">
            <v>Maßnahme zu 1.0: Unterstützung zur Durchführung von Überstellungen nach der Dublinverordnung</v>
          </cell>
          <cell r="C24" t="str">
            <v>Maßnahme zu 1.0: Unterstützung zur Durchführung von Überstellungen nach der Dublinverordnung</v>
          </cell>
          <cell r="D24" t="str">
            <v>M_EFF_1.1.2</v>
          </cell>
          <cell r="F24" t="str">
            <v>M_EFF_1.1.2</v>
          </cell>
          <cell r="G24" t="str">
            <v>Maßnahme zu 1.0: Unterstützung zur Durchführung von Überstellungen nach der Dublinverordnung</v>
          </cell>
        </row>
        <row r="25">
          <cell r="A25" t="str">
            <v>Maßnahme zu 1.0: Information der ortsansässigen Bevölkerung</v>
          </cell>
          <cell r="C25" t="str">
            <v>Maßnahme zu 1.0: Information der ortsansässigen Bevölkerung</v>
          </cell>
          <cell r="D25" t="str">
            <v>M_EFF_1.1.3</v>
          </cell>
          <cell r="F25" t="str">
            <v>M_EFF_1.1.3</v>
          </cell>
          <cell r="G25" t="str">
            <v>Maßnahme zu 1.0: Information der ortsansässigen Bevölkerung</v>
          </cell>
        </row>
        <row r="26">
          <cell r="A26" t="str">
            <v>Maßnahme zu 1.0: Beratung im asylrechtlichen Verfahren</v>
          </cell>
          <cell r="C26" t="str">
            <v>Maßnahme zu 1.0: Beratung im asylrechtlichen Verfahren</v>
          </cell>
          <cell r="D26" t="str">
            <v>M_EFF_1.1.4</v>
          </cell>
          <cell r="F26" t="str">
            <v>M_EFF_1.1.4</v>
          </cell>
          <cell r="G26" t="str">
            <v>Maßnahme zu 1.0: Beratung im asylrechtlichen Verfahren</v>
          </cell>
        </row>
        <row r="27">
          <cell r="A27" t="str">
            <v>Maßnahme zu 1.0: Starthilfe zur Integration</v>
          </cell>
          <cell r="C27" t="str">
            <v>Maßnahme zu 1.0: Starthilfe zur Integration</v>
          </cell>
          <cell r="D27" t="str">
            <v>M_EFF_1.1.5</v>
          </cell>
          <cell r="F27" t="str">
            <v>M_EFF_1.1.5</v>
          </cell>
          <cell r="G27" t="str">
            <v>Maßnahme zu 1.0: Starthilfe zur Integration</v>
          </cell>
        </row>
        <row r="28">
          <cell r="A28" t="str">
            <v>Maßnahme zu 1.0: Ausbau der sprachlichen Kompetenz</v>
          </cell>
          <cell r="C28" t="str">
            <v>Maßnahme zu 1.0: Ausbau der sprachlichen Kompetenz</v>
          </cell>
          <cell r="D28" t="str">
            <v>M_EFF_1.1.6</v>
          </cell>
          <cell r="F28" t="str">
            <v>M_EFF_1.1.6</v>
          </cell>
          <cell r="G28" t="str">
            <v>Maßnahme zu 1.0: Ausbau der sprachlichen Kompetenz</v>
          </cell>
        </row>
        <row r="29">
          <cell r="A29" t="str">
            <v>Maßnahme zu 1.0: Arbeitsmarktintegration</v>
          </cell>
          <cell r="C29" t="str">
            <v>Maßnahme zu 1.0: Arbeitsmarktintegration</v>
          </cell>
          <cell r="D29" t="str">
            <v>M_EFF_1.1.7</v>
          </cell>
          <cell r="F29" t="str">
            <v>M_EFF_1.1.7</v>
          </cell>
          <cell r="G29" t="str">
            <v>Maßnahme zu 1.0: Arbeitsmarktintegration</v>
          </cell>
        </row>
        <row r="30">
          <cell r="A30" t="str">
            <v>Maßnahme zu 2.0: Qualitätssicherung und Strukturverbesserung der Asylverwaltung</v>
          </cell>
          <cell r="C30" t="str">
            <v>Maßnahme zu 2.0: Qualitätssicherung und Strukturverbesserung der Asylverwaltung</v>
          </cell>
          <cell r="D30" t="str">
            <v>M_EFF_2.1.1</v>
          </cell>
          <cell r="F30" t="str">
            <v>M_EFF_2.1.1</v>
          </cell>
          <cell r="G30" t="str">
            <v>Maßnahme zu 2.0: Qualitätssicherung und Strukturverbesserung der Asylverwaltung</v>
          </cell>
        </row>
        <row r="31">
          <cell r="A31" t="str">
            <v>Maßnahme zu 2.3: Länderdokumentation und Länderinformation zur Unterstützung im Asylverfahren</v>
          </cell>
          <cell r="C31" t="str">
            <v>Maßnahme zu 2.3: Länderdokumentation und Länderinformation zur Unterstützung im Asylverfahren</v>
          </cell>
          <cell r="D31" t="str">
            <v>M_EFF_2.4.1</v>
          </cell>
          <cell r="F31" t="str">
            <v>M_EFF_2.4.1</v>
          </cell>
          <cell r="G31" t="str">
            <v>Maßnahme zu 2.3: Länderdokumentation und Länderinformation zur Unterstützung im Asylverfahren</v>
          </cell>
        </row>
        <row r="32">
          <cell r="C32">
            <v>0</v>
          </cell>
        </row>
      </sheetData>
      <sheetData sheetId="11"/>
      <sheetData sheetId="12"/>
      <sheetData sheetId="13">
        <row r="1">
          <cell r="B1" t="str">
            <v>Version EFF 1.04 (B 73), 03.03.2010</v>
          </cell>
        </row>
      </sheetData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ckblatt"/>
      <sheetName val="Angaben zum Förderungswerber"/>
      <sheetName val="Angaben zu Projektpartnern"/>
      <sheetName val="Angaben zum Projekt"/>
      <sheetName val="Stammdaten Indikatoren"/>
      <sheetName val="Indikatoren 1"/>
      <sheetName val="Indikatoren 2"/>
      <sheetName val="Indikatoren 3"/>
      <sheetName val="Indikatoren 4"/>
      <sheetName val="Indikatoren 5"/>
      <sheetName val="Indikatoren 6"/>
      <sheetName val="Indikatoren 7"/>
      <sheetName val="Indikatoren 8"/>
      <sheetName val="Indikatoren 9"/>
      <sheetName val="Indikatoren 10"/>
      <sheetName val="Indikatoren 11"/>
      <sheetName val="Indikatoren 12"/>
      <sheetName val="Indikatoren 13"/>
      <sheetName val="Indikatoren 14"/>
      <sheetName val="Indikatoren 15"/>
      <sheetName val="Indikatoren 16"/>
      <sheetName val="Indikatoren 17"/>
      <sheetName val="Indikatoren 18"/>
      <sheetName val="Indikatoren 19"/>
      <sheetName val="Indikatoren 20"/>
      <sheetName val="Indikatoren 21"/>
      <sheetName val="Indikatoren 22"/>
      <sheetName val="Indikatoren 23"/>
      <sheetName val="Indikatoren 24"/>
      <sheetName val="Indikatoren 25"/>
      <sheetName val="Indikatoren 26"/>
      <sheetName val="Indikatoren 27"/>
      <sheetName val="Indikatore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</sheetDataSet>
  </externalBook>
</externalLink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6" tint="0.79998168889431442"/>
  </sheetPr>
  <dimension ref="A1:BN567"/>
  <sheetViews>
    <sheetView showGridLines="0" tabSelected="1" zoomScale="85" zoomScaleNormal="85" workbookViewId="0">
      <selection activeCell="U11" sqref="U11"/>
    </sheetView>
  </sheetViews>
  <sheetFormatPr baseColWidth="10" defaultColWidth="11.42578125" defaultRowHeight="15" x14ac:dyDescent="0.25"/>
  <cols>
    <col min="1" max="2" width="3.7109375" style="4" customWidth="1"/>
    <col min="3" max="3" width="53.85546875" style="4" customWidth="1"/>
    <col min="4" max="4" width="10.85546875" style="12" customWidth="1"/>
    <col min="5" max="5" width="13.42578125" style="12" customWidth="1"/>
    <col min="6" max="6" width="16.7109375" style="15" customWidth="1"/>
    <col min="7" max="7" width="1.7109375" style="23" customWidth="1"/>
    <col min="8" max="8" width="15.7109375" style="15" customWidth="1"/>
    <col min="9" max="9" width="6.28515625" style="120" customWidth="1"/>
    <col min="10" max="10" width="1.5703125" style="23" customWidth="1"/>
    <col min="11" max="11" width="14.7109375" style="15" customWidth="1"/>
    <col min="12" max="12" width="6.5703125" style="120" customWidth="1"/>
    <col min="13" max="13" width="2.28515625" style="23" customWidth="1"/>
    <col min="14" max="14" width="13.5703125" style="15" customWidth="1"/>
    <col min="15" max="15" width="6.5703125" style="120" customWidth="1"/>
    <col min="16" max="16" width="1.42578125" style="23" customWidth="1"/>
    <col min="17" max="17" width="14.42578125" style="15" customWidth="1"/>
    <col min="18" max="18" width="6.5703125" style="120" customWidth="1"/>
    <col min="19" max="19" width="3.7109375" style="4" customWidth="1"/>
    <col min="20" max="20" width="1.5703125" style="68" customWidth="1"/>
    <col min="21" max="22" width="3.7109375" style="68" customWidth="1"/>
    <col min="23" max="43" width="11.42578125" style="68"/>
    <col min="44" max="16384" width="11.42578125" style="4"/>
  </cols>
  <sheetData>
    <row r="1" spans="2:43" x14ac:dyDescent="0.25">
      <c r="G1" s="15"/>
      <c r="J1" s="15"/>
      <c r="M1" s="15"/>
      <c r="P1" s="15"/>
    </row>
    <row r="2" spans="2:43" x14ac:dyDescent="0.25">
      <c r="B2" s="1"/>
      <c r="C2" s="2"/>
      <c r="D2" s="10"/>
      <c r="E2" s="10"/>
      <c r="F2" s="13"/>
      <c r="G2" s="13"/>
      <c r="H2" s="13"/>
      <c r="I2" s="121"/>
      <c r="J2" s="13"/>
      <c r="K2" s="13"/>
      <c r="L2" s="121"/>
      <c r="M2" s="13"/>
      <c r="N2" s="13"/>
      <c r="O2" s="121"/>
      <c r="P2" s="13"/>
      <c r="Q2" s="13"/>
      <c r="R2" s="121"/>
      <c r="S2" s="3"/>
    </row>
    <row r="3" spans="2:43" ht="36" customHeight="1" x14ac:dyDescent="0.25">
      <c r="B3" s="5"/>
      <c r="C3" s="237" t="s">
        <v>120</v>
      </c>
      <c r="D3" s="238"/>
      <c r="E3" s="238"/>
      <c r="F3" s="238"/>
      <c r="G3" s="238"/>
      <c r="H3" s="238"/>
      <c r="I3" s="238"/>
      <c r="J3" s="238"/>
      <c r="K3" s="238"/>
      <c r="L3" s="238"/>
      <c r="M3" s="238"/>
      <c r="N3" s="238"/>
      <c r="O3" s="238"/>
      <c r="P3" s="238"/>
      <c r="Q3" s="238"/>
      <c r="R3" s="239"/>
      <c r="S3" s="6" t="s">
        <v>29</v>
      </c>
      <c r="T3" s="68" t="s">
        <v>29</v>
      </c>
      <c r="U3" s="68" t="s">
        <v>29</v>
      </c>
    </row>
    <row r="4" spans="2:43" ht="13.15" customHeight="1" x14ac:dyDescent="0.25">
      <c r="B4" s="5"/>
      <c r="C4" s="90" t="s">
        <v>35</v>
      </c>
      <c r="D4" s="228" t="s">
        <v>191</v>
      </c>
      <c r="E4" s="229"/>
      <c r="F4" s="229"/>
      <c r="G4" s="229"/>
      <c r="H4" s="229"/>
      <c r="I4" s="229"/>
      <c r="J4" s="230"/>
      <c r="K4" s="220" t="s">
        <v>19</v>
      </c>
      <c r="L4" s="221"/>
      <c r="M4" s="170"/>
      <c r="N4" s="245"/>
      <c r="O4" s="245"/>
      <c r="P4" s="245"/>
      <c r="Q4" s="245"/>
      <c r="R4" s="246"/>
      <c r="S4" s="34" t="s">
        <v>10</v>
      </c>
      <c r="T4" s="68" t="s">
        <v>1</v>
      </c>
      <c r="U4" s="68" t="s">
        <v>19</v>
      </c>
    </row>
    <row r="5" spans="2:43" ht="13.15" customHeight="1" x14ac:dyDescent="0.25">
      <c r="B5" s="5"/>
      <c r="C5" s="169" t="s">
        <v>12</v>
      </c>
      <c r="D5" s="231" t="s">
        <v>190</v>
      </c>
      <c r="E5" s="232"/>
      <c r="F5" s="232"/>
      <c r="G5" s="232"/>
      <c r="H5" s="232"/>
      <c r="I5" s="232"/>
      <c r="J5" s="233"/>
      <c r="K5" s="220" t="s">
        <v>25</v>
      </c>
      <c r="L5" s="221"/>
      <c r="M5" s="170"/>
      <c r="N5" s="224"/>
      <c r="O5" s="224"/>
      <c r="P5" s="224"/>
      <c r="Q5" s="224"/>
      <c r="R5" s="225"/>
      <c r="S5" s="34" t="s">
        <v>9</v>
      </c>
      <c r="T5" s="68" t="s">
        <v>2</v>
      </c>
      <c r="U5" s="68" t="s">
        <v>25</v>
      </c>
    </row>
    <row r="6" spans="2:43" ht="13.15" customHeight="1" x14ac:dyDescent="0.25">
      <c r="B6" s="5"/>
      <c r="C6" s="169" t="s">
        <v>13</v>
      </c>
      <c r="D6" s="231"/>
      <c r="E6" s="232"/>
      <c r="F6" s="232"/>
      <c r="G6" s="232"/>
      <c r="H6" s="232"/>
      <c r="I6" s="232"/>
      <c r="J6" s="233"/>
      <c r="K6" s="220" t="s">
        <v>26</v>
      </c>
      <c r="L6" s="221"/>
      <c r="M6" s="170"/>
      <c r="N6" s="224">
        <v>0.05</v>
      </c>
      <c r="O6" s="224"/>
      <c r="P6" s="224"/>
      <c r="Q6" s="224"/>
      <c r="R6" s="225"/>
      <c r="S6" s="34" t="s">
        <v>8</v>
      </c>
      <c r="T6" s="68" t="s">
        <v>31</v>
      </c>
      <c r="U6" s="68" t="s">
        <v>26</v>
      </c>
    </row>
    <row r="7" spans="2:43" ht="13.15" customHeight="1" x14ac:dyDescent="0.25">
      <c r="B7" s="5"/>
      <c r="C7" s="169" t="s">
        <v>15</v>
      </c>
      <c r="D7" s="234" t="s">
        <v>129</v>
      </c>
      <c r="E7" s="235"/>
      <c r="F7" s="235"/>
      <c r="G7" s="235"/>
      <c r="H7" s="235"/>
      <c r="I7" s="235"/>
      <c r="J7" s="236"/>
      <c r="K7" s="220" t="s">
        <v>27</v>
      </c>
      <c r="L7" s="221"/>
      <c r="M7" s="170"/>
      <c r="N7" s="224"/>
      <c r="O7" s="224"/>
      <c r="P7" s="224"/>
      <c r="Q7" s="224"/>
      <c r="R7" s="225"/>
      <c r="S7" s="34" t="s">
        <v>7</v>
      </c>
      <c r="T7" s="68" t="s">
        <v>32</v>
      </c>
      <c r="U7" s="68" t="s">
        <v>27</v>
      </c>
    </row>
    <row r="8" spans="2:43" ht="13.15" customHeight="1" x14ac:dyDescent="0.25">
      <c r="B8" s="5"/>
      <c r="C8" s="169" t="s">
        <v>16</v>
      </c>
      <c r="D8" s="234" t="s">
        <v>31</v>
      </c>
      <c r="E8" s="235"/>
      <c r="F8" s="235"/>
      <c r="G8" s="235"/>
      <c r="H8" s="235"/>
      <c r="I8" s="235"/>
      <c r="J8" s="236"/>
      <c r="K8" s="220" t="s">
        <v>24</v>
      </c>
      <c r="L8" s="221"/>
      <c r="M8" s="170"/>
      <c r="N8" s="224"/>
      <c r="O8" s="224"/>
      <c r="P8" s="224"/>
      <c r="Q8" s="224"/>
      <c r="R8" s="225"/>
      <c r="S8" s="34" t="s">
        <v>6</v>
      </c>
      <c r="T8" s="68" t="s">
        <v>3</v>
      </c>
      <c r="U8" s="68" t="s">
        <v>24</v>
      </c>
    </row>
    <row r="9" spans="2:43" ht="13.15" customHeight="1" x14ac:dyDescent="0.25">
      <c r="B9" s="5"/>
      <c r="C9" s="169" t="s">
        <v>33</v>
      </c>
      <c r="D9" s="234" t="s">
        <v>20</v>
      </c>
      <c r="E9" s="235"/>
      <c r="F9" s="235"/>
      <c r="G9" s="235"/>
      <c r="H9" s="235"/>
      <c r="I9" s="235"/>
      <c r="J9" s="236"/>
      <c r="K9" s="220" t="s">
        <v>23</v>
      </c>
      <c r="L9" s="221"/>
      <c r="M9" s="170"/>
      <c r="N9" s="224">
        <v>0.2</v>
      </c>
      <c r="O9" s="224"/>
      <c r="P9" s="224"/>
      <c r="Q9" s="224"/>
      <c r="R9" s="225"/>
      <c r="S9" s="34" t="s">
        <v>5</v>
      </c>
      <c r="T9" s="68" t="s">
        <v>5</v>
      </c>
      <c r="U9" s="68" t="s">
        <v>23</v>
      </c>
    </row>
    <row r="10" spans="2:43" x14ac:dyDescent="0.25">
      <c r="B10" s="5"/>
      <c r="C10" s="169" t="s">
        <v>34</v>
      </c>
      <c r="D10" s="234" t="s">
        <v>20</v>
      </c>
      <c r="E10" s="235"/>
      <c r="F10" s="235"/>
      <c r="G10" s="235"/>
      <c r="H10" s="235"/>
      <c r="I10" s="235"/>
      <c r="J10" s="236"/>
      <c r="K10" s="220" t="s">
        <v>22</v>
      </c>
      <c r="L10" s="221"/>
      <c r="M10" s="170"/>
      <c r="N10" s="224"/>
      <c r="O10" s="224"/>
      <c r="P10" s="224"/>
      <c r="Q10" s="224"/>
      <c r="R10" s="225"/>
      <c r="S10" s="34" t="s">
        <v>4</v>
      </c>
      <c r="T10" s="68" t="s">
        <v>28</v>
      </c>
      <c r="U10" s="68" t="s">
        <v>22</v>
      </c>
    </row>
    <row r="11" spans="2:43" s="21" customFormat="1" ht="13.15" customHeight="1" x14ac:dyDescent="0.25">
      <c r="B11" s="19"/>
      <c r="C11" s="169" t="s">
        <v>17</v>
      </c>
      <c r="D11" s="173">
        <v>44562</v>
      </c>
      <c r="E11" s="174"/>
      <c r="F11" s="174"/>
      <c r="G11" s="174"/>
      <c r="H11" s="174"/>
      <c r="I11" s="174"/>
      <c r="J11" s="175"/>
      <c r="K11" s="220" t="s">
        <v>21</v>
      </c>
      <c r="L11" s="221"/>
      <c r="M11" s="170"/>
      <c r="N11" s="224">
        <v>0.05</v>
      </c>
      <c r="O11" s="224"/>
      <c r="P11" s="224"/>
      <c r="Q11" s="224"/>
      <c r="R11" s="225"/>
      <c r="S11" s="20"/>
      <c r="T11" s="68" t="s">
        <v>28</v>
      </c>
      <c r="U11" s="68" t="s">
        <v>21</v>
      </c>
      <c r="V11" s="68"/>
      <c r="W11" s="68"/>
      <c r="X11" s="68"/>
      <c r="Y11" s="68"/>
      <c r="Z11" s="68"/>
      <c r="AA11" s="68"/>
      <c r="AB11" s="68"/>
      <c r="AC11" s="68"/>
      <c r="AD11" s="68"/>
      <c r="AE11" s="68"/>
      <c r="AF11" s="68"/>
      <c r="AG11" s="68"/>
      <c r="AH11" s="68"/>
      <c r="AI11" s="68"/>
      <c r="AJ11" s="68"/>
      <c r="AK11" s="68"/>
      <c r="AL11" s="68"/>
      <c r="AM11" s="68"/>
      <c r="AN11" s="68"/>
      <c r="AO11" s="68"/>
      <c r="AP11" s="68"/>
      <c r="AQ11" s="68"/>
    </row>
    <row r="12" spans="2:43" x14ac:dyDescent="0.25">
      <c r="B12" s="5"/>
      <c r="C12" s="95" t="s">
        <v>18</v>
      </c>
      <c r="D12" s="173">
        <v>45291</v>
      </c>
      <c r="E12" s="174"/>
      <c r="F12" s="174"/>
      <c r="G12" s="174"/>
      <c r="H12" s="174"/>
      <c r="I12" s="174"/>
      <c r="J12" s="175"/>
      <c r="K12" s="220" t="s">
        <v>20</v>
      </c>
      <c r="L12" s="221"/>
      <c r="M12" s="170"/>
      <c r="N12" s="224">
        <v>0.7</v>
      </c>
      <c r="O12" s="224"/>
      <c r="P12" s="224"/>
      <c r="Q12" s="224"/>
      <c r="R12" s="225"/>
      <c r="S12" s="56"/>
      <c r="T12" s="96"/>
      <c r="U12" s="68" t="s">
        <v>20</v>
      </c>
    </row>
    <row r="13" spans="2:43" x14ac:dyDescent="0.25">
      <c r="B13" s="5"/>
      <c r="C13" s="90" t="s">
        <v>72</v>
      </c>
      <c r="D13" s="222">
        <f>IF(IF(OR(D11="",D12=""),"",(D12-D11)/30)="","befüllt sich automatisch",IF(OR(D11="",D12=""),"",(D12-D11)/30))</f>
        <v>24.3</v>
      </c>
      <c r="E13" s="223"/>
      <c r="F13" s="223"/>
      <c r="G13" s="223"/>
      <c r="H13" s="223"/>
      <c r="I13" s="223"/>
      <c r="J13" s="153"/>
      <c r="K13" s="149"/>
      <c r="L13" s="149"/>
      <c r="M13" s="149"/>
      <c r="N13" s="149"/>
      <c r="O13" s="149"/>
      <c r="P13" s="149"/>
      <c r="Q13" s="149"/>
      <c r="R13" s="150"/>
      <c r="S13" s="56"/>
      <c r="T13" s="96"/>
    </row>
    <row r="14" spans="2:43" s="21" customFormat="1" ht="26.25" x14ac:dyDescent="0.25">
      <c r="B14" s="57"/>
      <c r="C14" s="58"/>
      <c r="D14" s="58"/>
      <c r="E14" s="58"/>
      <c r="F14" s="58"/>
      <c r="G14" s="58"/>
      <c r="H14" s="132" t="s">
        <v>36</v>
      </c>
      <c r="I14" s="133">
        <f>'1. ZWB '!D7</f>
        <v>0.24691358024691357</v>
      </c>
      <c r="J14" s="122"/>
      <c r="K14" s="132" t="s">
        <v>36</v>
      </c>
      <c r="L14" s="152">
        <f>'2. ZWB '!D7</f>
        <v>0.49931412894375854</v>
      </c>
      <c r="M14" s="132"/>
      <c r="N14" s="133" t="s">
        <v>36</v>
      </c>
      <c r="O14" s="154">
        <f>'3. ZWB '!D7</f>
        <v>0.74759945130315508</v>
      </c>
      <c r="P14" s="133"/>
      <c r="Q14" s="132" t="s">
        <v>36</v>
      </c>
      <c r="R14" s="133">
        <f>'EB '!D7</f>
        <v>1</v>
      </c>
      <c r="S14" s="58"/>
      <c r="T14" s="96"/>
      <c r="U14" s="68"/>
      <c r="V14" s="68"/>
      <c r="W14" s="68"/>
      <c r="X14" s="68"/>
      <c r="Y14" s="68"/>
      <c r="Z14" s="68"/>
      <c r="AA14" s="68"/>
      <c r="AB14" s="68"/>
      <c r="AC14" s="68"/>
      <c r="AD14" s="68"/>
      <c r="AE14" s="68"/>
      <c r="AF14" s="68"/>
      <c r="AG14" s="68"/>
      <c r="AH14" s="68"/>
      <c r="AI14" s="68"/>
      <c r="AJ14" s="68"/>
      <c r="AK14" s="68"/>
      <c r="AL14" s="68"/>
      <c r="AM14" s="68"/>
      <c r="AN14" s="68"/>
      <c r="AO14" s="68"/>
      <c r="AP14" s="68"/>
      <c r="AQ14" s="68"/>
    </row>
    <row r="15" spans="2:43" s="18" customFormat="1" ht="30" x14ac:dyDescent="0.25">
      <c r="B15" s="16"/>
      <c r="C15" s="104" t="s">
        <v>42</v>
      </c>
      <c r="D15" s="88" t="s">
        <v>86</v>
      </c>
      <c r="E15" s="240"/>
      <c r="F15" s="241"/>
      <c r="G15" s="33"/>
      <c r="H15" s="104" t="s">
        <v>112</v>
      </c>
      <c r="I15" s="126" t="s">
        <v>11</v>
      </c>
      <c r="J15" s="140"/>
      <c r="K15" s="104" t="s">
        <v>113</v>
      </c>
      <c r="L15" s="126" t="s">
        <v>11</v>
      </c>
      <c r="M15" s="140"/>
      <c r="N15" s="104" t="s">
        <v>114</v>
      </c>
      <c r="O15" s="126" t="s">
        <v>11</v>
      </c>
      <c r="P15" s="140"/>
      <c r="Q15" s="104" t="s">
        <v>115</v>
      </c>
      <c r="R15" s="127" t="s">
        <v>11</v>
      </c>
      <c r="S15" s="70"/>
      <c r="T15" s="96"/>
      <c r="U15" s="68"/>
      <c r="V15" s="68"/>
      <c r="W15" s="68"/>
      <c r="X15" s="68"/>
      <c r="Y15" s="68"/>
      <c r="Z15" s="68"/>
      <c r="AA15" s="68"/>
      <c r="AB15" s="68"/>
      <c r="AC15" s="68"/>
      <c r="AD15" s="68"/>
      <c r="AE15" s="68"/>
      <c r="AF15" s="68"/>
      <c r="AG15" s="68"/>
      <c r="AH15" s="68"/>
      <c r="AI15" s="68"/>
      <c r="AJ15" s="68"/>
      <c r="AK15" s="68"/>
      <c r="AL15" s="68"/>
      <c r="AM15" s="68"/>
      <c r="AN15" s="68"/>
      <c r="AO15" s="68"/>
      <c r="AP15" s="68"/>
      <c r="AQ15" s="68"/>
    </row>
    <row r="16" spans="2:43" s="63" customFormat="1" x14ac:dyDescent="0.25">
      <c r="B16" s="60"/>
      <c r="C16" s="89" t="s">
        <v>121</v>
      </c>
      <c r="D16" s="157">
        <v>818</v>
      </c>
      <c r="E16" s="226"/>
      <c r="F16" s="227"/>
      <c r="G16" s="25"/>
      <c r="H16" s="147">
        <f>'1. ZWB '!H10</f>
        <v>336</v>
      </c>
      <c r="I16" s="123">
        <f>'1. ZWB '!I10</f>
        <v>0.41075794621026895</v>
      </c>
      <c r="J16" s="25"/>
      <c r="K16" s="147">
        <f>'2. ZWB '!H10</f>
        <v>607</v>
      </c>
      <c r="L16" s="123">
        <f>'2. ZWB '!I10</f>
        <v>0.74205378973105129</v>
      </c>
      <c r="M16" s="25"/>
      <c r="N16" s="147">
        <f>'3. ZWB '!H10</f>
        <v>1045</v>
      </c>
      <c r="O16" s="123">
        <f>'3. ZWB '!I10</f>
        <v>1.2775061124694376</v>
      </c>
      <c r="P16" s="140">
        <f>IF(O16=0,0,O16/D16)</f>
        <v>1.5617434137768186E-3</v>
      </c>
      <c r="Q16" s="147">
        <f>'EB '!H10</f>
        <v>1204</v>
      </c>
      <c r="R16" s="123">
        <f>'EB '!I10</f>
        <v>1.4718826405867971</v>
      </c>
      <c r="S16" s="61"/>
      <c r="T16" s="69"/>
      <c r="U16" s="68"/>
      <c r="V16" s="68"/>
      <c r="W16" s="68"/>
      <c r="X16" s="68"/>
      <c r="Y16" s="68"/>
      <c r="Z16" s="68"/>
      <c r="AA16" s="68"/>
      <c r="AB16" s="68"/>
      <c r="AC16" s="68"/>
      <c r="AD16" s="68"/>
      <c r="AE16" s="68"/>
      <c r="AF16" s="68"/>
      <c r="AG16" s="68"/>
      <c r="AH16" s="68"/>
      <c r="AI16" s="68"/>
      <c r="AJ16" s="68"/>
      <c r="AK16" s="68"/>
      <c r="AL16" s="68"/>
      <c r="AM16" s="68"/>
      <c r="AN16" s="68"/>
      <c r="AO16" s="68"/>
      <c r="AP16" s="68"/>
      <c r="AQ16" s="68"/>
    </row>
    <row r="17" spans="2:43" s="18" customFormat="1" ht="24.4" customHeight="1" x14ac:dyDescent="0.25">
      <c r="B17" s="16"/>
      <c r="C17" s="8" t="s">
        <v>87</v>
      </c>
      <c r="D17" s="88" t="s">
        <v>86</v>
      </c>
      <c r="E17" s="195" t="s">
        <v>91</v>
      </c>
      <c r="F17" s="194"/>
      <c r="G17" s="33"/>
      <c r="H17" s="98"/>
      <c r="I17" s="128"/>
      <c r="J17" s="140"/>
      <c r="K17" s="98"/>
      <c r="L17" s="126"/>
      <c r="M17" s="140"/>
      <c r="N17" s="98"/>
      <c r="O17" s="126"/>
      <c r="P17" s="140"/>
      <c r="Q17" s="98"/>
      <c r="R17" s="127"/>
      <c r="S17" s="17"/>
      <c r="T17" s="68"/>
      <c r="U17" s="68"/>
      <c r="V17" s="68"/>
      <c r="W17" s="68"/>
      <c r="X17" s="68"/>
      <c r="Y17" s="68"/>
      <c r="Z17" s="68"/>
      <c r="AA17" s="68"/>
      <c r="AB17" s="68"/>
      <c r="AC17" s="68"/>
      <c r="AD17" s="68"/>
      <c r="AE17" s="68"/>
      <c r="AF17" s="68"/>
      <c r="AG17" s="68"/>
      <c r="AH17" s="68"/>
      <c r="AI17" s="68"/>
      <c r="AJ17" s="68"/>
      <c r="AK17" s="68"/>
      <c r="AL17" s="68"/>
      <c r="AM17" s="68"/>
      <c r="AN17" s="68"/>
      <c r="AO17" s="68"/>
      <c r="AP17" s="68"/>
      <c r="AQ17" s="68"/>
    </row>
    <row r="18" spans="2:43" s="62" customFormat="1" x14ac:dyDescent="0.25">
      <c r="B18" s="64"/>
      <c r="C18" s="90" t="s">
        <v>67</v>
      </c>
      <c r="D18" s="157">
        <v>38</v>
      </c>
      <c r="E18" s="208" t="s">
        <v>130</v>
      </c>
      <c r="F18" s="209"/>
      <c r="G18" s="137"/>
      <c r="H18" s="147">
        <f>'1. ZWB '!H12</f>
        <v>3</v>
      </c>
      <c r="I18" s="123">
        <f>'1. ZWB '!I12</f>
        <v>7.8947368421052627E-2</v>
      </c>
      <c r="J18" s="25"/>
      <c r="K18" s="151">
        <f>'2. ZWB '!H12</f>
        <v>10</v>
      </c>
      <c r="L18" s="123">
        <f>'2. ZWB '!I12</f>
        <v>0.26315789473684209</v>
      </c>
      <c r="M18" s="25"/>
      <c r="N18" s="147">
        <f>'3. ZWB '!H12</f>
        <v>41</v>
      </c>
      <c r="O18" s="123">
        <f>'3. ZWB '!I12</f>
        <v>1.0789473684210527</v>
      </c>
      <c r="P18" s="25"/>
      <c r="Q18" s="147">
        <f>'EB '!H12</f>
        <v>45</v>
      </c>
      <c r="R18" s="123">
        <f>'EB '!I12</f>
        <v>1.1842105263157894</v>
      </c>
      <c r="S18" s="65"/>
      <c r="T18" s="69"/>
      <c r="U18" s="68"/>
      <c r="V18" s="68"/>
      <c r="W18" s="68"/>
      <c r="X18" s="68"/>
      <c r="Y18" s="68"/>
      <c r="Z18" s="68"/>
      <c r="AA18" s="68"/>
      <c r="AB18" s="68"/>
      <c r="AC18" s="68"/>
      <c r="AD18" s="68"/>
      <c r="AE18" s="68"/>
      <c r="AF18" s="68"/>
      <c r="AG18" s="68"/>
      <c r="AH18" s="68"/>
      <c r="AI18" s="68"/>
      <c r="AJ18" s="68"/>
      <c r="AK18" s="68"/>
      <c r="AL18" s="68"/>
      <c r="AM18" s="68"/>
      <c r="AN18" s="68"/>
      <c r="AO18" s="68"/>
      <c r="AP18" s="68"/>
      <c r="AQ18" s="68"/>
    </row>
    <row r="19" spans="2:43" x14ac:dyDescent="0.25">
      <c r="B19" s="5"/>
      <c r="C19" s="91" t="s">
        <v>122</v>
      </c>
      <c r="D19" s="157">
        <v>190</v>
      </c>
      <c r="E19" s="210"/>
      <c r="F19" s="213"/>
      <c r="G19" s="138"/>
      <c r="H19" s="147">
        <f>'1. ZWB '!H13</f>
        <v>18</v>
      </c>
      <c r="I19" s="123">
        <f>'1. ZWB '!I13</f>
        <v>9.4736842105263161E-2</v>
      </c>
      <c r="J19" s="139"/>
      <c r="K19" s="151">
        <f>'2. ZWB '!H13</f>
        <v>59</v>
      </c>
      <c r="L19" s="123">
        <f>'2. ZWB '!I13</f>
        <v>0.31052631578947371</v>
      </c>
      <c r="M19" s="139"/>
      <c r="N19" s="147">
        <f>'3. ZWB '!H13</f>
        <v>214</v>
      </c>
      <c r="O19" s="123">
        <f>'3. ZWB '!I13</f>
        <v>1.1263157894736842</v>
      </c>
      <c r="P19" s="139"/>
      <c r="Q19" s="147">
        <f>'EB '!H13</f>
        <v>233</v>
      </c>
      <c r="R19" s="123">
        <f>'EB '!I13</f>
        <v>1.2263157894736842</v>
      </c>
      <c r="S19" s="7"/>
    </row>
    <row r="20" spans="2:43" s="62" customFormat="1" x14ac:dyDescent="0.25">
      <c r="B20" s="64"/>
      <c r="C20" s="90" t="s">
        <v>68</v>
      </c>
      <c r="D20" s="157">
        <v>10</v>
      </c>
      <c r="E20" s="208" t="s">
        <v>131</v>
      </c>
      <c r="F20" s="242"/>
      <c r="G20" s="137"/>
      <c r="H20" s="147">
        <f>'1. ZWB '!H14</f>
        <v>7</v>
      </c>
      <c r="I20" s="123">
        <f>'1. ZWB '!I14</f>
        <v>0.7</v>
      </c>
      <c r="J20" s="25"/>
      <c r="K20" s="151">
        <f>'2. ZWB '!H14</f>
        <v>15</v>
      </c>
      <c r="L20" s="123">
        <f>'2. ZWB '!I14</f>
        <v>1.5</v>
      </c>
      <c r="M20" s="25"/>
      <c r="N20" s="147">
        <f>'3. ZWB '!H14</f>
        <v>22</v>
      </c>
      <c r="O20" s="123">
        <f>'3. ZWB '!I14</f>
        <v>2.2000000000000002</v>
      </c>
      <c r="P20" s="25"/>
      <c r="Q20" s="147">
        <f>'EB '!H14</f>
        <v>23</v>
      </c>
      <c r="R20" s="123">
        <f>'EB '!I14</f>
        <v>2.2999999999999998</v>
      </c>
      <c r="S20" s="65"/>
      <c r="T20" s="69"/>
      <c r="U20" s="68"/>
      <c r="V20" s="68"/>
      <c r="W20" s="68"/>
      <c r="X20" s="68"/>
      <c r="Y20" s="68"/>
      <c r="Z20" s="68"/>
      <c r="AA20" s="68"/>
      <c r="AB20" s="68"/>
      <c r="AC20" s="68"/>
      <c r="AD20" s="68"/>
      <c r="AE20" s="68"/>
      <c r="AF20" s="68"/>
      <c r="AG20" s="68"/>
      <c r="AH20" s="68"/>
      <c r="AI20" s="68"/>
      <c r="AJ20" s="68"/>
      <c r="AK20" s="68"/>
      <c r="AL20" s="68"/>
      <c r="AM20" s="68"/>
      <c r="AN20" s="68"/>
      <c r="AO20" s="68"/>
      <c r="AP20" s="68"/>
      <c r="AQ20" s="68"/>
    </row>
    <row r="21" spans="2:43" x14ac:dyDescent="0.25">
      <c r="B21" s="5"/>
      <c r="C21" s="92" t="s">
        <v>65</v>
      </c>
      <c r="D21" s="157"/>
      <c r="E21" s="210"/>
      <c r="F21" s="243"/>
      <c r="G21" s="138"/>
      <c r="H21" s="147">
        <f>'1. ZWB '!H15</f>
        <v>0</v>
      </c>
      <c r="I21" s="123">
        <f>'1. ZWB '!I15</f>
        <v>0</v>
      </c>
      <c r="J21" s="139"/>
      <c r="K21" s="151">
        <f>'2. ZWB '!H15</f>
        <v>0</v>
      </c>
      <c r="L21" s="123">
        <f>'2. ZWB '!I15</f>
        <v>0</v>
      </c>
      <c r="M21" s="139"/>
      <c r="N21" s="147">
        <f>'3. ZWB '!H15</f>
        <v>0</v>
      </c>
      <c r="O21" s="123">
        <f>'3. ZWB '!I15</f>
        <v>0</v>
      </c>
      <c r="P21" s="139"/>
      <c r="Q21" s="147">
        <f>'EB '!H15</f>
        <v>0</v>
      </c>
      <c r="R21" s="123">
        <f>'EB '!I15</f>
        <v>0</v>
      </c>
      <c r="S21" s="7"/>
    </row>
    <row r="22" spans="2:43" ht="30" x14ac:dyDescent="0.25">
      <c r="B22" s="5"/>
      <c r="C22" s="92" t="s">
        <v>66</v>
      </c>
      <c r="D22" s="157">
        <v>162</v>
      </c>
      <c r="E22" s="210"/>
      <c r="F22" s="243"/>
      <c r="G22" s="138"/>
      <c r="H22" s="147">
        <f>'1. ZWB '!H16</f>
        <v>162</v>
      </c>
      <c r="I22" s="123">
        <f>'1. ZWB '!I16</f>
        <v>1</v>
      </c>
      <c r="J22" s="139"/>
      <c r="K22" s="151">
        <f>'2. ZWB '!H16</f>
        <v>279</v>
      </c>
      <c r="L22" s="123">
        <f>'2. ZWB '!I16</f>
        <v>1.7222222222222223</v>
      </c>
      <c r="M22" s="139"/>
      <c r="N22" s="147">
        <f>'3. ZWB '!H16</f>
        <v>268</v>
      </c>
      <c r="O22" s="123">
        <f>'3. ZWB '!I16</f>
        <v>1.654320987654321</v>
      </c>
      <c r="P22" s="139"/>
      <c r="Q22" s="147">
        <f>'EB '!H16</f>
        <v>292</v>
      </c>
      <c r="R22" s="123">
        <f>'EB '!I16</f>
        <v>1.8024691358024691</v>
      </c>
      <c r="S22" s="7"/>
    </row>
    <row r="23" spans="2:43" x14ac:dyDescent="0.25">
      <c r="B23" s="5"/>
      <c r="C23" s="92" t="s">
        <v>70</v>
      </c>
      <c r="D23" s="157">
        <v>60</v>
      </c>
      <c r="E23" s="212"/>
      <c r="F23" s="244"/>
      <c r="G23" s="138"/>
      <c r="H23" s="147">
        <f>'1. ZWB '!H17</f>
        <v>65</v>
      </c>
      <c r="I23" s="123">
        <f>'1. ZWB '!I17</f>
        <v>1.0833333333333333</v>
      </c>
      <c r="J23" s="139"/>
      <c r="K23" s="151">
        <f>'2. ZWB '!H17</f>
        <v>139</v>
      </c>
      <c r="L23" s="123">
        <f>'2. ZWB '!I17</f>
        <v>2.3166666666666669</v>
      </c>
      <c r="M23" s="139"/>
      <c r="N23" s="147">
        <f>'3. ZWB '!H17</f>
        <v>291</v>
      </c>
      <c r="O23" s="123">
        <f>'3. ZWB '!I17</f>
        <v>4.8499999999999996</v>
      </c>
      <c r="P23" s="139"/>
      <c r="Q23" s="147">
        <f>'EB '!H17</f>
        <v>299</v>
      </c>
      <c r="R23" s="123">
        <f>'EB '!I17</f>
        <v>4.9833333333333334</v>
      </c>
      <c r="S23" s="7"/>
    </row>
    <row r="24" spans="2:43" ht="25.5" x14ac:dyDescent="0.25">
      <c r="B24" s="5"/>
      <c r="C24" s="8" t="s">
        <v>55</v>
      </c>
      <c r="D24" s="88" t="s">
        <v>86</v>
      </c>
      <c r="E24" s="195" t="s">
        <v>91</v>
      </c>
      <c r="F24" s="194"/>
      <c r="G24" s="24"/>
      <c r="H24" s="99" t="s">
        <v>37</v>
      </c>
      <c r="I24" s="129" t="s">
        <v>11</v>
      </c>
      <c r="J24" s="26"/>
      <c r="K24" s="99" t="s">
        <v>37</v>
      </c>
      <c r="L24" s="129" t="s">
        <v>11</v>
      </c>
      <c r="M24" s="26"/>
      <c r="N24" s="100" t="s">
        <v>37</v>
      </c>
      <c r="O24" s="129" t="s">
        <v>11</v>
      </c>
      <c r="P24" s="26"/>
      <c r="Q24" s="100" t="s">
        <v>37</v>
      </c>
      <c r="R24" s="130" t="s">
        <v>11</v>
      </c>
      <c r="S24" s="7"/>
    </row>
    <row r="25" spans="2:43" s="62" customFormat="1" ht="15" customHeight="1" x14ac:dyDescent="0.25">
      <c r="B25" s="64"/>
      <c r="C25" s="90" t="s">
        <v>83</v>
      </c>
      <c r="D25" s="157">
        <v>100</v>
      </c>
      <c r="E25" s="214" t="s">
        <v>132</v>
      </c>
      <c r="F25" s="215"/>
      <c r="G25" s="137"/>
      <c r="H25" s="147">
        <f>'1. ZWB '!H19</f>
        <v>24</v>
      </c>
      <c r="I25" s="123">
        <f>'1. ZWB '!I19</f>
        <v>0.24</v>
      </c>
      <c r="J25" s="25"/>
      <c r="K25" s="147">
        <f>'2. ZWB '!H19</f>
        <v>50</v>
      </c>
      <c r="L25" s="123">
        <f>'2. ZWB '!I19</f>
        <v>0.5</v>
      </c>
      <c r="M25" s="25"/>
      <c r="N25" s="147">
        <f>'3. ZWB '!H19</f>
        <v>70</v>
      </c>
      <c r="O25" s="123">
        <f>'3. ZWB '!I19</f>
        <v>0.7</v>
      </c>
      <c r="P25" s="25"/>
      <c r="Q25" s="147">
        <f>'EB '!H19</f>
        <v>80</v>
      </c>
      <c r="R25" s="123">
        <f>'EB '!I19</f>
        <v>0.8</v>
      </c>
      <c r="S25" s="65"/>
      <c r="T25" s="69"/>
      <c r="U25" s="68"/>
      <c r="V25" s="68"/>
      <c r="W25" s="68"/>
      <c r="X25" s="68"/>
      <c r="Y25" s="68"/>
      <c r="Z25" s="68"/>
      <c r="AA25" s="68"/>
      <c r="AB25" s="68"/>
      <c r="AC25" s="68"/>
      <c r="AD25" s="68"/>
      <c r="AE25" s="68"/>
      <c r="AF25" s="68"/>
      <c r="AG25" s="68"/>
      <c r="AH25" s="68"/>
      <c r="AI25" s="68"/>
      <c r="AJ25" s="68"/>
      <c r="AK25" s="68"/>
      <c r="AL25" s="68"/>
      <c r="AM25" s="68"/>
      <c r="AN25" s="68"/>
      <c r="AO25" s="68"/>
      <c r="AP25" s="68"/>
      <c r="AQ25" s="68"/>
    </row>
    <row r="26" spans="2:43" ht="30" x14ac:dyDescent="0.25">
      <c r="B26" s="5"/>
      <c r="C26" s="91" t="s">
        <v>57</v>
      </c>
      <c r="D26" s="157">
        <v>50</v>
      </c>
      <c r="E26" s="216"/>
      <c r="F26" s="217"/>
      <c r="G26" s="137"/>
      <c r="H26" s="147">
        <f>'1. ZWB '!H20</f>
        <v>16</v>
      </c>
      <c r="I26" s="123">
        <f>'1. ZWB '!I20</f>
        <v>0.32</v>
      </c>
      <c r="J26" s="139"/>
      <c r="K26" s="147">
        <f>'2. ZWB '!H20</f>
        <v>35</v>
      </c>
      <c r="L26" s="123">
        <f>'2. ZWB '!I20</f>
        <v>0.7</v>
      </c>
      <c r="M26" s="139"/>
      <c r="N26" s="147">
        <f>'3. ZWB '!H20</f>
        <v>50</v>
      </c>
      <c r="O26" s="123">
        <f>'3. ZWB '!I20</f>
        <v>1</v>
      </c>
      <c r="P26" s="139"/>
      <c r="Q26" s="147">
        <f>'EB '!H20</f>
        <v>54</v>
      </c>
      <c r="R26" s="123">
        <f>'EB '!I20</f>
        <v>1.08</v>
      </c>
      <c r="S26" s="7"/>
    </row>
    <row r="27" spans="2:43" ht="30" x14ac:dyDescent="0.25">
      <c r="B27" s="5"/>
      <c r="C27" s="92" t="s">
        <v>71</v>
      </c>
      <c r="D27" s="157">
        <v>100</v>
      </c>
      <c r="E27" s="218"/>
      <c r="F27" s="219"/>
      <c r="G27" s="137"/>
      <c r="H27" s="147">
        <f>'1. ZWB '!H21</f>
        <v>18</v>
      </c>
      <c r="I27" s="123">
        <f>'1. ZWB '!I21</f>
        <v>0.18</v>
      </c>
      <c r="J27" s="139"/>
      <c r="K27" s="147">
        <f>'2. ZWB '!H21</f>
        <v>35</v>
      </c>
      <c r="L27" s="123">
        <f>'2. ZWB '!I21</f>
        <v>0.35</v>
      </c>
      <c r="M27" s="139"/>
      <c r="N27" s="147">
        <f>'3. ZWB '!H21</f>
        <v>50</v>
      </c>
      <c r="O27" s="123">
        <f>'3. ZWB '!I21</f>
        <v>0.5</v>
      </c>
      <c r="P27" s="139"/>
      <c r="Q27" s="147">
        <f>'EB '!H21</f>
        <v>54</v>
      </c>
      <c r="R27" s="123">
        <f>'EB '!I21</f>
        <v>0.54</v>
      </c>
      <c r="S27" s="7"/>
    </row>
    <row r="28" spans="2:43" s="62" customFormat="1" ht="30" customHeight="1" x14ac:dyDescent="0.25">
      <c r="B28" s="64"/>
      <c r="C28" s="90" t="s">
        <v>124</v>
      </c>
      <c r="D28" s="157">
        <v>60</v>
      </c>
      <c r="E28" s="214" t="s">
        <v>133</v>
      </c>
      <c r="F28" s="215"/>
      <c r="G28" s="137"/>
      <c r="H28" s="147">
        <f>'1. ZWB '!H22</f>
        <v>13</v>
      </c>
      <c r="I28" s="123">
        <f>'1. ZWB '!I22</f>
        <v>0.21666666666666667</v>
      </c>
      <c r="J28" s="27"/>
      <c r="K28" s="147">
        <f>'2. ZWB '!H22</f>
        <v>24</v>
      </c>
      <c r="L28" s="123">
        <f>'2. ZWB '!I22</f>
        <v>0.4</v>
      </c>
      <c r="M28" s="27"/>
      <c r="N28" s="147">
        <f>'3. ZWB '!H22</f>
        <v>59</v>
      </c>
      <c r="O28" s="123">
        <f>'3. ZWB '!I22</f>
        <v>0.98333333333333328</v>
      </c>
      <c r="P28" s="27"/>
      <c r="Q28" s="147">
        <f>'EB '!H22</f>
        <v>70</v>
      </c>
      <c r="R28" s="123">
        <f>'EB '!I22</f>
        <v>1.1666666666666667</v>
      </c>
      <c r="S28" s="65"/>
      <c r="T28" s="69"/>
      <c r="U28" s="68"/>
      <c r="V28" s="68"/>
      <c r="W28" s="68"/>
      <c r="X28" s="68"/>
      <c r="Y28" s="68"/>
      <c r="Z28" s="68"/>
      <c r="AA28" s="68"/>
      <c r="AB28" s="68"/>
      <c r="AC28" s="68"/>
      <c r="AD28" s="68"/>
      <c r="AE28" s="68"/>
      <c r="AF28" s="68"/>
      <c r="AG28" s="68"/>
      <c r="AH28" s="68"/>
      <c r="AI28" s="68"/>
      <c r="AJ28" s="68"/>
      <c r="AK28" s="68"/>
      <c r="AL28" s="68"/>
      <c r="AM28" s="68"/>
      <c r="AN28" s="68"/>
      <c r="AO28" s="68"/>
      <c r="AP28" s="68"/>
      <c r="AQ28" s="68"/>
    </row>
    <row r="29" spans="2:43" ht="30" x14ac:dyDescent="0.25">
      <c r="B29" s="5"/>
      <c r="C29" s="92" t="s">
        <v>58</v>
      </c>
      <c r="D29" s="157">
        <v>426</v>
      </c>
      <c r="E29" s="216"/>
      <c r="F29" s="217"/>
      <c r="G29" s="137"/>
      <c r="H29" s="147">
        <f>'1. ZWB '!H23</f>
        <v>105</v>
      </c>
      <c r="I29" s="123">
        <f>'1. ZWB '!I23</f>
        <v>0.24647887323943662</v>
      </c>
      <c r="J29" s="27"/>
      <c r="K29" s="147">
        <f>'2. ZWB '!H23</f>
        <v>184</v>
      </c>
      <c r="L29" s="123">
        <f>'2. ZWB '!I23</f>
        <v>0.431924882629108</v>
      </c>
      <c r="M29" s="27"/>
      <c r="N29" s="147">
        <f>'3. ZWB '!H23</f>
        <v>513</v>
      </c>
      <c r="O29" s="123">
        <f>'3. ZWB '!I23</f>
        <v>1.204225352112676</v>
      </c>
      <c r="P29" s="27"/>
      <c r="Q29" s="147">
        <f>'EB '!H23</f>
        <v>617</v>
      </c>
      <c r="R29" s="123">
        <f>'EB '!I23</f>
        <v>1.448356807511737</v>
      </c>
      <c r="S29" s="7"/>
    </row>
    <row r="30" spans="2:43" x14ac:dyDescent="0.25">
      <c r="B30" s="5"/>
      <c r="C30" s="92" t="s">
        <v>56</v>
      </c>
      <c r="D30" s="157">
        <v>960</v>
      </c>
      <c r="E30" s="218"/>
      <c r="F30" s="219"/>
      <c r="G30" s="137"/>
      <c r="H30" s="147">
        <f>'1. ZWB '!H24</f>
        <v>126</v>
      </c>
      <c r="I30" s="123">
        <f>'1. ZWB '!I24</f>
        <v>0.13125000000000001</v>
      </c>
      <c r="J30" s="27"/>
      <c r="K30" s="147">
        <f>'2. ZWB '!H24</f>
        <v>258</v>
      </c>
      <c r="L30" s="123">
        <f>'2. ZWB '!I24</f>
        <v>0.26874999999999999</v>
      </c>
      <c r="M30" s="27"/>
      <c r="N30" s="147">
        <f>'3. ZWB '!H24</f>
        <v>1080</v>
      </c>
      <c r="O30" s="123">
        <f>'3. ZWB '!I24</f>
        <v>1.125</v>
      </c>
      <c r="P30" s="27"/>
      <c r="Q30" s="147">
        <f>'EB '!H24</f>
        <v>1280</v>
      </c>
      <c r="R30" s="123">
        <f>'EB '!I24</f>
        <v>1.3333333333333333</v>
      </c>
      <c r="S30" s="7"/>
    </row>
    <row r="31" spans="2:43" s="62" customFormat="1" x14ac:dyDescent="0.25">
      <c r="B31" s="64"/>
      <c r="C31" s="90" t="s">
        <v>59</v>
      </c>
      <c r="D31" s="157">
        <v>10</v>
      </c>
      <c r="E31" s="202" t="s">
        <v>134</v>
      </c>
      <c r="F31" s="203"/>
      <c r="G31" s="137"/>
      <c r="H31" s="147">
        <f>'1. ZWB '!H25</f>
        <v>8</v>
      </c>
      <c r="I31" s="123">
        <f>'1. ZWB '!I25</f>
        <v>0.8</v>
      </c>
      <c r="J31" s="27"/>
      <c r="K31" s="147">
        <f>'2. ZWB '!H25</f>
        <v>8</v>
      </c>
      <c r="L31" s="123">
        <f>'2. ZWB '!I25</f>
        <v>0.8</v>
      </c>
      <c r="M31" s="27"/>
      <c r="N31" s="147">
        <f>'3. ZWB '!H25</f>
        <v>8</v>
      </c>
      <c r="O31" s="123">
        <f>'3. ZWB '!I25</f>
        <v>0.8</v>
      </c>
      <c r="P31" s="27"/>
      <c r="Q31" s="147">
        <f>'EB '!H25</f>
        <v>8</v>
      </c>
      <c r="R31" s="123">
        <f>'EB '!I25</f>
        <v>0.8</v>
      </c>
      <c r="S31" s="65"/>
      <c r="T31" s="69"/>
      <c r="U31" s="68"/>
      <c r="V31" s="68"/>
      <c r="W31" s="68"/>
      <c r="X31" s="68"/>
      <c r="Y31" s="68"/>
      <c r="Z31" s="68"/>
      <c r="AA31" s="68"/>
      <c r="AB31" s="68"/>
      <c r="AC31" s="68"/>
      <c r="AD31" s="68"/>
      <c r="AE31" s="68"/>
      <c r="AF31" s="68"/>
      <c r="AG31" s="68"/>
      <c r="AH31" s="68"/>
      <c r="AI31" s="68"/>
      <c r="AJ31" s="68"/>
      <c r="AK31" s="68"/>
      <c r="AL31" s="68"/>
      <c r="AM31" s="68"/>
      <c r="AN31" s="68"/>
      <c r="AO31" s="68"/>
      <c r="AP31" s="68"/>
      <c r="AQ31" s="68"/>
    </row>
    <row r="32" spans="2:43" x14ac:dyDescent="0.25">
      <c r="B32" s="5"/>
      <c r="C32" s="91" t="s">
        <v>61</v>
      </c>
      <c r="D32" s="157">
        <v>30</v>
      </c>
      <c r="E32" s="204"/>
      <c r="F32" s="205"/>
      <c r="G32" s="137"/>
      <c r="H32" s="147">
        <f>'1. ZWB '!H26</f>
        <v>35</v>
      </c>
      <c r="I32" s="123">
        <f>'1. ZWB '!I26</f>
        <v>1.1666666666666667</v>
      </c>
      <c r="J32" s="27"/>
      <c r="K32" s="147">
        <f>'2. ZWB '!H26</f>
        <v>50</v>
      </c>
      <c r="L32" s="123">
        <f>'2. ZWB '!I26</f>
        <v>1.6666666666666667</v>
      </c>
      <c r="M32" s="27"/>
      <c r="N32" s="147">
        <f>'3. ZWB '!H26</f>
        <v>50</v>
      </c>
      <c r="O32" s="123">
        <f>'3. ZWB '!I26</f>
        <v>1.6666666666666667</v>
      </c>
      <c r="P32" s="27"/>
      <c r="Q32" s="147">
        <f>'EB '!H26</f>
        <v>62</v>
      </c>
      <c r="R32" s="123">
        <f>'EB '!I26</f>
        <v>2.0666666666666669</v>
      </c>
      <c r="S32" s="7"/>
    </row>
    <row r="33" spans="2:19" x14ac:dyDescent="0.25">
      <c r="B33" s="5"/>
      <c r="C33" s="91" t="s">
        <v>60</v>
      </c>
      <c r="D33" s="157">
        <v>120</v>
      </c>
      <c r="E33" s="204"/>
      <c r="F33" s="205"/>
      <c r="G33" s="137"/>
      <c r="H33" s="147">
        <f>'1. ZWB '!H27</f>
        <v>102</v>
      </c>
      <c r="I33" s="123">
        <f>'1. ZWB '!I27</f>
        <v>0.85</v>
      </c>
      <c r="J33" s="28"/>
      <c r="K33" s="147">
        <f>'2. ZWB '!H27</f>
        <v>178</v>
      </c>
      <c r="L33" s="123">
        <f>'2. ZWB '!I27</f>
        <v>1.4833333333333334</v>
      </c>
      <c r="M33" s="28"/>
      <c r="N33" s="147">
        <f>'3. ZWB '!H27</f>
        <v>178</v>
      </c>
      <c r="O33" s="123">
        <f>'3. ZWB '!I27</f>
        <v>1.4833333333333334</v>
      </c>
      <c r="P33" s="28"/>
      <c r="Q33" s="147">
        <f>'EB '!H27</f>
        <v>263</v>
      </c>
      <c r="R33" s="123">
        <f>'EB '!I27</f>
        <v>2.1916666666666669</v>
      </c>
      <c r="S33" s="7"/>
    </row>
    <row r="34" spans="2:19" x14ac:dyDescent="0.25">
      <c r="B34" s="5"/>
      <c r="C34" s="93" t="s">
        <v>14</v>
      </c>
      <c r="D34" s="157">
        <v>48</v>
      </c>
      <c r="E34" s="204"/>
      <c r="F34" s="205"/>
      <c r="G34" s="137"/>
      <c r="H34" s="147">
        <f>'1. ZWB '!H28</f>
        <v>51</v>
      </c>
      <c r="I34" s="123">
        <f>'1. ZWB '!I28</f>
        <v>1.0625</v>
      </c>
      <c r="J34" s="27"/>
      <c r="K34" s="147">
        <f>'2. ZWB '!H28</f>
        <v>89</v>
      </c>
      <c r="L34" s="123">
        <f>'2. ZWB '!I28</f>
        <v>1.8541666666666667</v>
      </c>
      <c r="M34" s="27"/>
      <c r="N34" s="147">
        <f>'3. ZWB '!H28</f>
        <v>89</v>
      </c>
      <c r="O34" s="123">
        <f>'3. ZWB '!I28</f>
        <v>1.8541666666666667</v>
      </c>
      <c r="P34" s="27"/>
      <c r="Q34" s="147">
        <f>'EB '!H28</f>
        <v>105</v>
      </c>
      <c r="R34" s="123">
        <f>'EB '!I28</f>
        <v>2.1875</v>
      </c>
      <c r="S34" s="7"/>
    </row>
    <row r="35" spans="2:19" x14ac:dyDescent="0.25">
      <c r="B35" s="5"/>
      <c r="C35" s="92" t="s">
        <v>75</v>
      </c>
      <c r="D35" s="157">
        <v>6</v>
      </c>
      <c r="E35" s="204"/>
      <c r="F35" s="205"/>
      <c r="G35" s="138"/>
      <c r="H35" s="147">
        <f>'1. ZWB '!H29</f>
        <v>8</v>
      </c>
      <c r="I35" s="123">
        <f>'1. ZWB '!I29</f>
        <v>1.3333333333333333</v>
      </c>
      <c r="J35" s="27"/>
      <c r="K35" s="147">
        <f>'2. ZWB '!H29</f>
        <v>13</v>
      </c>
      <c r="L35" s="123">
        <f>'2. ZWB '!I29</f>
        <v>2.1666666666666665</v>
      </c>
      <c r="M35" s="27"/>
      <c r="N35" s="147">
        <f>'3. ZWB '!H29</f>
        <v>13</v>
      </c>
      <c r="O35" s="123">
        <f>'3. ZWB '!I29</f>
        <v>2.1666666666666665</v>
      </c>
      <c r="P35" s="27"/>
      <c r="Q35" s="147">
        <f>'EB '!H29</f>
        <v>14</v>
      </c>
      <c r="R35" s="123">
        <f>'EB '!I29</f>
        <v>2.3333333333333335</v>
      </c>
      <c r="S35" s="7"/>
    </row>
    <row r="36" spans="2:19" x14ac:dyDescent="0.25">
      <c r="B36" s="5"/>
      <c r="C36" s="92" t="s">
        <v>76</v>
      </c>
      <c r="D36" s="157"/>
      <c r="E36" s="206"/>
      <c r="F36" s="207"/>
      <c r="G36" s="138"/>
      <c r="H36" s="147">
        <f>'1. ZWB '!H30</f>
        <v>0</v>
      </c>
      <c r="I36" s="123">
        <f>'1. ZWB '!I30</f>
        <v>0</v>
      </c>
      <c r="J36" s="27"/>
      <c r="K36" s="147">
        <f>'2. ZWB '!H30</f>
        <v>0</v>
      </c>
      <c r="L36" s="123">
        <f>'2. ZWB '!I30</f>
        <v>0</v>
      </c>
      <c r="M36" s="27"/>
      <c r="N36" s="147">
        <f>'3. ZWB '!H30</f>
        <v>0</v>
      </c>
      <c r="O36" s="123">
        <f>'3. ZWB '!I30</f>
        <v>0</v>
      </c>
      <c r="P36" s="27"/>
      <c r="Q36" s="147">
        <f>'EB '!H30</f>
        <v>0</v>
      </c>
      <c r="R36" s="123">
        <f>'EB '!I30</f>
        <v>0</v>
      </c>
      <c r="S36" s="7"/>
    </row>
    <row r="37" spans="2:19" ht="25.5" x14ac:dyDescent="0.25">
      <c r="B37" s="5"/>
      <c r="C37" s="8" t="s">
        <v>62</v>
      </c>
      <c r="D37" s="88" t="s">
        <v>86</v>
      </c>
      <c r="E37" s="195" t="s">
        <v>91</v>
      </c>
      <c r="F37" s="194"/>
      <c r="G37" s="24"/>
      <c r="H37" s="99" t="s">
        <v>37</v>
      </c>
      <c r="I37" s="129" t="s">
        <v>11</v>
      </c>
      <c r="J37" s="26"/>
      <c r="K37" s="99" t="s">
        <v>37</v>
      </c>
      <c r="L37" s="129" t="s">
        <v>11</v>
      </c>
      <c r="M37" s="26"/>
      <c r="N37" s="99" t="s">
        <v>37</v>
      </c>
      <c r="O37" s="129" t="s">
        <v>11</v>
      </c>
      <c r="P37" s="26"/>
      <c r="Q37" s="99" t="s">
        <v>37</v>
      </c>
      <c r="R37" s="130" t="s">
        <v>11</v>
      </c>
      <c r="S37" s="7"/>
    </row>
    <row r="38" spans="2:19" ht="14.65" customHeight="1" x14ac:dyDescent="0.25">
      <c r="B38" s="5"/>
      <c r="C38" s="90" t="s">
        <v>79</v>
      </c>
      <c r="D38" s="172">
        <f>SUM(D39:E43)</f>
        <v>0</v>
      </c>
      <c r="E38" s="208"/>
      <c r="F38" s="209"/>
      <c r="G38" s="25"/>
      <c r="H38" s="147">
        <f>'1. ZWB '!H32</f>
        <v>0</v>
      </c>
      <c r="I38" s="123">
        <f>'1. ZWB '!I32</f>
        <v>0</v>
      </c>
      <c r="J38" s="29"/>
      <c r="K38" s="147">
        <f>'2. ZWB '!H32</f>
        <v>0</v>
      </c>
      <c r="L38" s="123">
        <f>'2. ZWB '!I32</f>
        <v>0</v>
      </c>
      <c r="M38" s="29"/>
      <c r="N38" s="147">
        <f>'3. ZWB '!H32</f>
        <v>0</v>
      </c>
      <c r="O38" s="123">
        <f>'3. ZWB '!I32</f>
        <v>0</v>
      </c>
      <c r="P38" s="29"/>
      <c r="Q38" s="147">
        <f>'EB '!H32</f>
        <v>0</v>
      </c>
      <c r="R38" s="123">
        <f>'EB '!I32</f>
        <v>0</v>
      </c>
      <c r="S38" s="7"/>
    </row>
    <row r="39" spans="2:19" x14ac:dyDescent="0.25">
      <c r="B39" s="5"/>
      <c r="C39" s="92" t="s">
        <v>47</v>
      </c>
      <c r="D39" s="159"/>
      <c r="E39" s="210"/>
      <c r="F39" s="211"/>
      <c r="G39" s="25"/>
      <c r="H39" s="147">
        <f>'1. ZWB '!H33</f>
        <v>0</v>
      </c>
      <c r="I39" s="123">
        <f>'1. ZWB '!I33</f>
        <v>0</v>
      </c>
      <c r="J39" s="29"/>
      <c r="K39" s="147">
        <f>'2. ZWB '!H33</f>
        <v>0</v>
      </c>
      <c r="L39" s="123">
        <f>'2. ZWB '!I33</f>
        <v>0</v>
      </c>
      <c r="M39" s="29"/>
      <c r="N39" s="147">
        <f>'3. ZWB '!H33</f>
        <v>0</v>
      </c>
      <c r="O39" s="123">
        <f>'3. ZWB '!I33</f>
        <v>0</v>
      </c>
      <c r="P39" s="29"/>
      <c r="Q39" s="147">
        <f>'EB '!H33</f>
        <v>0</v>
      </c>
      <c r="R39" s="123">
        <f>'EB '!I33</f>
        <v>0</v>
      </c>
      <c r="S39" s="7"/>
    </row>
    <row r="40" spans="2:19" x14ac:dyDescent="0.25">
      <c r="B40" s="5"/>
      <c r="C40" s="92" t="s">
        <v>48</v>
      </c>
      <c r="D40" s="159"/>
      <c r="E40" s="210"/>
      <c r="F40" s="211"/>
      <c r="G40" s="139"/>
      <c r="H40" s="147">
        <f>'1. ZWB '!H34</f>
        <v>0</v>
      </c>
      <c r="I40" s="123">
        <f>'1. ZWB '!I34</f>
        <v>0</v>
      </c>
      <c r="J40" s="30"/>
      <c r="K40" s="147">
        <f>'2. ZWB '!H34</f>
        <v>0</v>
      </c>
      <c r="L40" s="123">
        <f>'2. ZWB '!I34</f>
        <v>0</v>
      </c>
      <c r="M40" s="30"/>
      <c r="N40" s="147">
        <f>'3. ZWB '!H34</f>
        <v>0</v>
      </c>
      <c r="O40" s="123">
        <f>'3. ZWB '!I34</f>
        <v>0</v>
      </c>
      <c r="P40" s="30"/>
      <c r="Q40" s="147">
        <f>'EB '!H34</f>
        <v>0</v>
      </c>
      <c r="R40" s="123">
        <f>'EB '!I34</f>
        <v>0</v>
      </c>
      <c r="S40" s="7"/>
    </row>
    <row r="41" spans="2:19" x14ac:dyDescent="0.25">
      <c r="B41" s="5"/>
      <c r="C41" s="92" t="s">
        <v>49</v>
      </c>
      <c r="D41" s="159"/>
      <c r="E41" s="210"/>
      <c r="F41" s="211"/>
      <c r="G41" s="139"/>
      <c r="H41" s="147">
        <f>'1. ZWB '!H35</f>
        <v>0</v>
      </c>
      <c r="I41" s="123">
        <f>'1. ZWB '!I35</f>
        <v>0</v>
      </c>
      <c r="J41" s="30"/>
      <c r="K41" s="147">
        <f>'2. ZWB '!H35</f>
        <v>0</v>
      </c>
      <c r="L41" s="123">
        <f>'2. ZWB '!I35</f>
        <v>0</v>
      </c>
      <c r="M41" s="30"/>
      <c r="N41" s="147">
        <f>'3. ZWB '!H35</f>
        <v>0</v>
      </c>
      <c r="O41" s="123">
        <f>'3. ZWB '!I35</f>
        <v>0</v>
      </c>
      <c r="P41" s="30"/>
      <c r="Q41" s="147">
        <f>'EB '!H35</f>
        <v>0</v>
      </c>
      <c r="R41" s="123">
        <f>'EB '!I35</f>
        <v>0</v>
      </c>
      <c r="S41" s="7"/>
    </row>
    <row r="42" spans="2:19" x14ac:dyDescent="0.25">
      <c r="B42" s="5"/>
      <c r="C42" s="92" t="s">
        <v>50</v>
      </c>
      <c r="D42" s="159"/>
      <c r="E42" s="210"/>
      <c r="F42" s="211"/>
      <c r="G42" s="139"/>
      <c r="H42" s="147">
        <f>'1. ZWB '!H36</f>
        <v>0</v>
      </c>
      <c r="I42" s="123">
        <f>'1. ZWB '!I36</f>
        <v>0</v>
      </c>
      <c r="J42" s="30"/>
      <c r="K42" s="147">
        <f>'2. ZWB '!H36</f>
        <v>0</v>
      </c>
      <c r="L42" s="123">
        <f>'2. ZWB '!I36</f>
        <v>0</v>
      </c>
      <c r="M42" s="30"/>
      <c r="N42" s="147">
        <f>'3. ZWB '!H36</f>
        <v>0</v>
      </c>
      <c r="O42" s="123">
        <f>'3. ZWB '!I36</f>
        <v>0</v>
      </c>
      <c r="P42" s="30"/>
      <c r="Q42" s="147">
        <f>'EB '!H36</f>
        <v>0</v>
      </c>
      <c r="R42" s="123">
        <f>'EB '!I36</f>
        <v>0</v>
      </c>
      <c r="S42" s="7"/>
    </row>
    <row r="43" spans="2:19" x14ac:dyDescent="0.25">
      <c r="B43" s="5"/>
      <c r="C43" s="92" t="s">
        <v>51</v>
      </c>
      <c r="D43" s="159"/>
      <c r="E43" s="210"/>
      <c r="F43" s="211"/>
      <c r="G43" s="139"/>
      <c r="H43" s="147">
        <f>'1. ZWB '!H37</f>
        <v>0</v>
      </c>
      <c r="I43" s="123">
        <f>'1. ZWB '!I37</f>
        <v>0</v>
      </c>
      <c r="J43" s="30"/>
      <c r="K43" s="147">
        <f>'2. ZWB '!H37</f>
        <v>0</v>
      </c>
      <c r="L43" s="123">
        <f>'2. ZWB '!I37</f>
        <v>0</v>
      </c>
      <c r="M43" s="30"/>
      <c r="N43" s="147">
        <f>'3. ZWB '!H37</f>
        <v>0</v>
      </c>
      <c r="O43" s="123">
        <f>'3. ZWB '!I37</f>
        <v>0</v>
      </c>
      <c r="P43" s="30"/>
      <c r="Q43" s="147">
        <f>'EB '!H37</f>
        <v>0</v>
      </c>
      <c r="R43" s="123">
        <f>'EB '!I37</f>
        <v>0</v>
      </c>
      <c r="S43" s="7"/>
    </row>
    <row r="44" spans="2:19" x14ac:dyDescent="0.25">
      <c r="B44" s="5"/>
      <c r="C44" s="90" t="s">
        <v>80</v>
      </c>
      <c r="D44" s="159"/>
      <c r="E44" s="210"/>
      <c r="F44" s="211"/>
      <c r="G44" s="139"/>
      <c r="H44" s="147">
        <f>'1. ZWB '!H38</f>
        <v>0</v>
      </c>
      <c r="I44" s="123">
        <f>'1. ZWB '!I38</f>
        <v>0</v>
      </c>
      <c r="J44" s="30"/>
      <c r="K44" s="147">
        <f>'2. ZWB '!H38</f>
        <v>0</v>
      </c>
      <c r="L44" s="123">
        <f>'2. ZWB '!I38</f>
        <v>0</v>
      </c>
      <c r="M44" s="30"/>
      <c r="N44" s="147">
        <f>'3. ZWB '!H38</f>
        <v>0</v>
      </c>
      <c r="O44" s="123">
        <f>'3. ZWB '!I38</f>
        <v>0</v>
      </c>
      <c r="P44" s="30"/>
      <c r="Q44" s="147">
        <f>'EB '!H38</f>
        <v>0</v>
      </c>
      <c r="R44" s="123">
        <f>'EB '!I38</f>
        <v>0</v>
      </c>
      <c r="S44" s="7"/>
    </row>
    <row r="45" spans="2:19" ht="26.65" customHeight="1" x14ac:dyDescent="0.25">
      <c r="B45" s="5"/>
      <c r="C45" s="90" t="s">
        <v>81</v>
      </c>
      <c r="D45" s="159"/>
      <c r="E45" s="210"/>
      <c r="F45" s="211"/>
      <c r="G45" s="25"/>
      <c r="H45" s="147">
        <f>'1. ZWB '!H39</f>
        <v>0</v>
      </c>
      <c r="I45" s="123">
        <f>'1. ZWB '!I39</f>
        <v>0</v>
      </c>
      <c r="J45" s="29"/>
      <c r="K45" s="147">
        <f>'2. ZWB '!H39</f>
        <v>0</v>
      </c>
      <c r="L45" s="123">
        <f>'2. ZWB '!I39</f>
        <v>0</v>
      </c>
      <c r="M45" s="29"/>
      <c r="N45" s="147">
        <f>'3. ZWB '!H39</f>
        <v>0</v>
      </c>
      <c r="O45" s="123">
        <f>'3. ZWB '!I39</f>
        <v>0</v>
      </c>
      <c r="P45" s="29"/>
      <c r="Q45" s="147">
        <f>'EB '!H39</f>
        <v>0</v>
      </c>
      <c r="R45" s="123">
        <f>'EB '!I39</f>
        <v>0</v>
      </c>
      <c r="S45" s="7"/>
    </row>
    <row r="46" spans="2:19" ht="14.65" customHeight="1" x14ac:dyDescent="0.25">
      <c r="B46" s="5"/>
      <c r="C46" s="90" t="s">
        <v>30</v>
      </c>
      <c r="D46" s="159"/>
      <c r="E46" s="210"/>
      <c r="F46" s="211"/>
      <c r="G46" s="25"/>
      <c r="H46" s="147">
        <f>'1. ZWB '!H40</f>
        <v>0</v>
      </c>
      <c r="I46" s="123">
        <f>'1. ZWB '!I40</f>
        <v>0</v>
      </c>
      <c r="J46" s="29"/>
      <c r="K46" s="147">
        <f>'2. ZWB '!H40</f>
        <v>0</v>
      </c>
      <c r="L46" s="123">
        <f>'2. ZWB '!I40</f>
        <v>0</v>
      </c>
      <c r="M46" s="29"/>
      <c r="N46" s="147">
        <f>'3. ZWB '!H40</f>
        <v>0</v>
      </c>
      <c r="O46" s="123">
        <f>'3. ZWB '!I40</f>
        <v>0</v>
      </c>
      <c r="P46" s="29"/>
      <c r="Q46" s="147">
        <f>'EB '!H40</f>
        <v>0</v>
      </c>
      <c r="R46" s="123">
        <f>'EB '!I40</f>
        <v>0</v>
      </c>
      <c r="S46" s="7"/>
    </row>
    <row r="47" spans="2:19" ht="30" x14ac:dyDescent="0.25">
      <c r="B47" s="5"/>
      <c r="C47" s="90" t="s">
        <v>126</v>
      </c>
      <c r="D47" s="159"/>
      <c r="E47" s="210"/>
      <c r="F47" s="211"/>
      <c r="G47" s="25"/>
      <c r="H47" s="147">
        <f>'1. ZWB '!H41</f>
        <v>0</v>
      </c>
      <c r="I47" s="123">
        <f>'1. ZWB '!I41</f>
        <v>0</v>
      </c>
      <c r="J47" s="29"/>
      <c r="K47" s="147">
        <f>'2. ZWB '!H41</f>
        <v>0</v>
      </c>
      <c r="L47" s="123">
        <f>'2. ZWB '!I41</f>
        <v>0</v>
      </c>
      <c r="M47" s="29"/>
      <c r="N47" s="147">
        <f>'3. ZWB '!H41</f>
        <v>0</v>
      </c>
      <c r="O47" s="123">
        <f>'3. ZWB '!I41</f>
        <v>0</v>
      </c>
      <c r="P47" s="29"/>
      <c r="Q47" s="147">
        <f>'EB '!H41</f>
        <v>0</v>
      </c>
      <c r="R47" s="123">
        <f>'EB '!I41</f>
        <v>0</v>
      </c>
      <c r="S47" s="7"/>
    </row>
    <row r="48" spans="2:19" ht="30" x14ac:dyDescent="0.25">
      <c r="B48" s="5"/>
      <c r="C48" s="92" t="s">
        <v>52</v>
      </c>
      <c r="D48" s="159"/>
      <c r="E48" s="210"/>
      <c r="F48" s="211"/>
      <c r="G48" s="139"/>
      <c r="H48" s="147">
        <f>'1. ZWB '!H42</f>
        <v>0</v>
      </c>
      <c r="I48" s="123">
        <f>'1. ZWB '!I42</f>
        <v>0</v>
      </c>
      <c r="J48" s="30"/>
      <c r="K48" s="147">
        <f>'2. ZWB '!H42</f>
        <v>0</v>
      </c>
      <c r="L48" s="123">
        <f>'2. ZWB '!I42</f>
        <v>0</v>
      </c>
      <c r="M48" s="30"/>
      <c r="N48" s="147">
        <f>'3. ZWB '!H42</f>
        <v>0</v>
      </c>
      <c r="O48" s="123">
        <f>'3. ZWB '!I42</f>
        <v>0</v>
      </c>
      <c r="P48" s="30"/>
      <c r="Q48" s="147">
        <f>'EB '!H42</f>
        <v>0</v>
      </c>
      <c r="R48" s="123">
        <f>'EB '!I42</f>
        <v>0</v>
      </c>
      <c r="S48" s="7"/>
    </row>
    <row r="49" spans="1:66" x14ac:dyDescent="0.25">
      <c r="B49" s="5"/>
      <c r="C49" s="92" t="s">
        <v>69</v>
      </c>
      <c r="D49" s="159"/>
      <c r="E49" s="212"/>
      <c r="F49" s="213"/>
      <c r="G49" s="139"/>
      <c r="H49" s="147">
        <f>'1. ZWB '!H43</f>
        <v>0</v>
      </c>
      <c r="I49" s="123">
        <f>'1. ZWB '!I43</f>
        <v>0</v>
      </c>
      <c r="J49" s="30"/>
      <c r="K49" s="147">
        <f>'2. ZWB '!H43</f>
        <v>0</v>
      </c>
      <c r="L49" s="123">
        <f>'2. ZWB '!I43</f>
        <v>0</v>
      </c>
      <c r="M49" s="30"/>
      <c r="N49" s="147">
        <f>'3. ZWB '!H43</f>
        <v>0</v>
      </c>
      <c r="O49" s="123">
        <f>'3. ZWB '!I43</f>
        <v>0</v>
      </c>
      <c r="P49" s="30"/>
      <c r="Q49" s="147">
        <f>'EB '!H43</f>
        <v>0</v>
      </c>
      <c r="R49" s="123">
        <f>'EB '!I43</f>
        <v>0</v>
      </c>
      <c r="S49" s="7"/>
    </row>
    <row r="50" spans="1:66" x14ac:dyDescent="0.25">
      <c r="B50" s="5"/>
      <c r="C50" s="90" t="s">
        <v>53</v>
      </c>
      <c r="D50" s="159"/>
      <c r="E50" s="208"/>
      <c r="F50" s="209"/>
      <c r="G50" s="137"/>
      <c r="H50" s="147">
        <f>'1. ZWB '!H44</f>
        <v>0</v>
      </c>
      <c r="I50" s="123">
        <f>'1. ZWB '!I44</f>
        <v>0</v>
      </c>
      <c r="J50" s="28"/>
      <c r="K50" s="147">
        <f>'2. ZWB '!H44</f>
        <v>0</v>
      </c>
      <c r="L50" s="123">
        <f>'2. ZWB '!I44</f>
        <v>0</v>
      </c>
      <c r="M50" s="28"/>
      <c r="N50" s="147">
        <f>'3. ZWB '!H44</f>
        <v>0</v>
      </c>
      <c r="O50" s="123">
        <f>'3. ZWB '!I44</f>
        <v>0</v>
      </c>
      <c r="P50" s="28"/>
      <c r="Q50" s="147">
        <f>'EB '!H44</f>
        <v>0</v>
      </c>
      <c r="R50" s="123">
        <f>'EB '!I44</f>
        <v>0</v>
      </c>
      <c r="S50" s="7"/>
    </row>
    <row r="51" spans="1:66" ht="30" x14ac:dyDescent="0.25">
      <c r="B51" s="5"/>
      <c r="C51" s="92" t="s">
        <v>97</v>
      </c>
      <c r="D51" s="159"/>
      <c r="E51" s="210"/>
      <c r="F51" s="213"/>
      <c r="G51" s="137"/>
      <c r="H51" s="147">
        <f>'1. ZWB '!H45</f>
        <v>0</v>
      </c>
      <c r="I51" s="123">
        <f>'1. ZWB '!I45</f>
        <v>0</v>
      </c>
      <c r="J51" s="28"/>
      <c r="K51" s="147">
        <f>'2. ZWB '!H45</f>
        <v>0</v>
      </c>
      <c r="L51" s="123">
        <f>'2. ZWB '!I45</f>
        <v>0</v>
      </c>
      <c r="M51" s="28"/>
      <c r="N51" s="147">
        <f>'3. ZWB '!H45</f>
        <v>0</v>
      </c>
      <c r="O51" s="123">
        <f>'3. ZWB '!I45</f>
        <v>0</v>
      </c>
      <c r="P51" s="28"/>
      <c r="Q51" s="147">
        <f>'EB '!H45</f>
        <v>0</v>
      </c>
      <c r="R51" s="123">
        <f>'EB '!I45</f>
        <v>0</v>
      </c>
      <c r="S51" s="7"/>
    </row>
    <row r="52" spans="1:66" ht="25.5" x14ac:dyDescent="0.25">
      <c r="B52" s="5"/>
      <c r="C52" s="8" t="s">
        <v>64</v>
      </c>
      <c r="D52" s="88" t="s">
        <v>86</v>
      </c>
      <c r="E52" s="195" t="s">
        <v>91</v>
      </c>
      <c r="F52" s="194"/>
      <c r="G52" s="24"/>
      <c r="H52" s="99" t="s">
        <v>37</v>
      </c>
      <c r="I52" s="129" t="s">
        <v>11</v>
      </c>
      <c r="J52" s="26"/>
      <c r="K52" s="99" t="s">
        <v>37</v>
      </c>
      <c r="L52" s="129" t="s">
        <v>11</v>
      </c>
      <c r="M52" s="26"/>
      <c r="N52" s="99" t="s">
        <v>37</v>
      </c>
      <c r="O52" s="129" t="s">
        <v>11</v>
      </c>
      <c r="P52" s="26"/>
      <c r="Q52" s="99" t="s">
        <v>37</v>
      </c>
      <c r="R52" s="130" t="s">
        <v>11</v>
      </c>
      <c r="S52" s="7"/>
    </row>
    <row r="53" spans="1:66" x14ac:dyDescent="0.25">
      <c r="B53" s="5"/>
      <c r="C53" s="90" t="s">
        <v>54</v>
      </c>
      <c r="D53" s="158"/>
      <c r="E53" s="226"/>
      <c r="F53" s="227"/>
      <c r="G53" s="141"/>
      <c r="H53" s="148">
        <f>'1. ZWB '!H47</f>
        <v>0</v>
      </c>
      <c r="I53" s="123">
        <f>'1. ZWB '!I47</f>
        <v>0</v>
      </c>
      <c r="J53" s="28"/>
      <c r="K53" s="147">
        <f>'2. ZWB '!H47</f>
        <v>0</v>
      </c>
      <c r="L53" s="123">
        <f>'2. ZWB '!I47</f>
        <v>0</v>
      </c>
      <c r="M53" s="28"/>
      <c r="N53" s="147">
        <f>'3. ZWB '!H47</f>
        <v>0</v>
      </c>
      <c r="O53" s="123">
        <f>'3. ZWB '!I47</f>
        <v>0</v>
      </c>
      <c r="P53" s="125"/>
      <c r="Q53" s="148">
        <f>'EB '!H47</f>
        <v>0</v>
      </c>
      <c r="R53" s="123">
        <f>'EB '!I47</f>
        <v>0</v>
      </c>
      <c r="S53" s="7"/>
    </row>
    <row r="54" spans="1:66" ht="14.65" customHeight="1" x14ac:dyDescent="0.25">
      <c r="B54" s="5"/>
      <c r="C54" s="89" t="s">
        <v>82</v>
      </c>
      <c r="D54" s="158"/>
      <c r="E54" s="196"/>
      <c r="F54" s="197"/>
      <c r="G54" s="141"/>
      <c r="H54" s="148">
        <f>'1. ZWB '!H48</f>
        <v>0</v>
      </c>
      <c r="I54" s="123">
        <f>'1. ZWB '!I48</f>
        <v>0</v>
      </c>
      <c r="J54" s="28"/>
      <c r="K54" s="147">
        <f>'2. ZWB '!H48</f>
        <v>0</v>
      </c>
      <c r="L54" s="123">
        <f>'2. ZWB '!I48</f>
        <v>0</v>
      </c>
      <c r="M54" s="28"/>
      <c r="N54" s="147">
        <f>'3. ZWB '!H48</f>
        <v>0</v>
      </c>
      <c r="O54" s="123">
        <f>'3. ZWB '!I48</f>
        <v>0</v>
      </c>
      <c r="P54" s="125"/>
      <c r="Q54" s="148">
        <f>'EB '!H48</f>
        <v>0</v>
      </c>
      <c r="R54" s="123">
        <f>'EB '!I48</f>
        <v>0</v>
      </c>
      <c r="S54" s="7"/>
    </row>
    <row r="55" spans="1:66" x14ac:dyDescent="0.25">
      <c r="B55" s="5"/>
      <c r="C55" s="92" t="s">
        <v>77</v>
      </c>
      <c r="D55" s="158"/>
      <c r="E55" s="198"/>
      <c r="F55" s="199"/>
      <c r="G55" s="141"/>
      <c r="H55" s="148">
        <f>'1. ZWB '!H49</f>
        <v>0</v>
      </c>
      <c r="I55" s="123">
        <f>'1. ZWB '!I49</f>
        <v>0</v>
      </c>
      <c r="J55" s="125"/>
      <c r="K55" s="148">
        <f>'2. ZWB '!H49</f>
        <v>0</v>
      </c>
      <c r="L55" s="123">
        <f>'2. ZWB '!I49</f>
        <v>0</v>
      </c>
      <c r="M55" s="28"/>
      <c r="N55" s="147">
        <f>'3. ZWB '!H49</f>
        <v>0</v>
      </c>
      <c r="O55" s="123">
        <f>'3. ZWB '!I49</f>
        <v>0</v>
      </c>
      <c r="P55" s="125"/>
      <c r="Q55" s="148">
        <f>'EB '!H49</f>
        <v>0</v>
      </c>
      <c r="R55" s="123">
        <f>'EB '!I49</f>
        <v>0</v>
      </c>
      <c r="S55" s="7"/>
    </row>
    <row r="56" spans="1:66" ht="14.65" customHeight="1" x14ac:dyDescent="0.25">
      <c r="B56" s="5"/>
      <c r="C56" s="89" t="s">
        <v>63</v>
      </c>
      <c r="D56" s="158"/>
      <c r="E56" s="196"/>
      <c r="F56" s="197"/>
      <c r="G56" s="141"/>
      <c r="H56" s="148">
        <f>'1. ZWB '!H50</f>
        <v>0</v>
      </c>
      <c r="I56" s="123">
        <f>'1. ZWB '!I50</f>
        <v>0</v>
      </c>
      <c r="J56" s="125"/>
      <c r="K56" s="148">
        <f>'2. ZWB '!H50</f>
        <v>0</v>
      </c>
      <c r="L56" s="123">
        <f>'2. ZWB '!I50</f>
        <v>0</v>
      </c>
      <c r="M56" s="28"/>
      <c r="N56" s="147">
        <f>'3. ZWB '!H50</f>
        <v>0</v>
      </c>
      <c r="O56" s="123">
        <f>'3. ZWB '!I50</f>
        <v>0</v>
      </c>
      <c r="P56" s="125"/>
      <c r="Q56" s="148">
        <f>'EB '!H50</f>
        <v>0</v>
      </c>
      <c r="R56" s="123">
        <f>'EB '!I50</f>
        <v>0</v>
      </c>
      <c r="S56" s="7"/>
    </row>
    <row r="57" spans="1:66" ht="15" customHeight="1" x14ac:dyDescent="0.25">
      <c r="B57" s="5"/>
      <c r="C57" s="92" t="s">
        <v>123</v>
      </c>
      <c r="D57" s="158"/>
      <c r="E57" s="200"/>
      <c r="F57" s="201"/>
      <c r="G57" s="142"/>
      <c r="H57" s="148">
        <f>'1. ZWB '!H51</f>
        <v>0</v>
      </c>
      <c r="I57" s="123">
        <f>'1. ZWB '!I51</f>
        <v>0</v>
      </c>
      <c r="J57" s="125"/>
      <c r="K57" s="148">
        <f>'2. ZWB '!H51</f>
        <v>0</v>
      </c>
      <c r="L57" s="123">
        <f>'2. ZWB '!I51</f>
        <v>0</v>
      </c>
      <c r="M57" s="125"/>
      <c r="N57" s="148">
        <f>'3. ZWB '!H51</f>
        <v>0</v>
      </c>
      <c r="O57" s="123">
        <f>'3. ZWB '!I51</f>
        <v>0</v>
      </c>
      <c r="P57" s="125"/>
      <c r="Q57" s="148">
        <f>'EB '!H51</f>
        <v>0</v>
      </c>
      <c r="R57" s="123">
        <f>'EB '!I51</f>
        <v>0</v>
      </c>
      <c r="S57" s="7"/>
    </row>
    <row r="58" spans="1:66" x14ac:dyDescent="0.25">
      <c r="B58" s="5"/>
      <c r="C58" s="92" t="s">
        <v>78</v>
      </c>
      <c r="D58" s="158"/>
      <c r="E58" s="198"/>
      <c r="F58" s="199"/>
      <c r="G58" s="142"/>
      <c r="H58" s="148">
        <f>'1. ZWB '!H52</f>
        <v>0</v>
      </c>
      <c r="I58" s="123">
        <f>'1. ZWB '!I52</f>
        <v>0</v>
      </c>
      <c r="J58" s="125"/>
      <c r="K58" s="148">
        <f>'2. ZWB '!H52</f>
        <v>0</v>
      </c>
      <c r="L58" s="123">
        <f>'2. ZWB '!I52</f>
        <v>0</v>
      </c>
      <c r="M58" s="125"/>
      <c r="N58" s="148">
        <f>'3. ZWB '!H52</f>
        <v>0</v>
      </c>
      <c r="O58" s="123">
        <f>'3. ZWB '!I52</f>
        <v>0</v>
      </c>
      <c r="P58" s="125"/>
      <c r="Q58" s="148">
        <f>'EB '!H52</f>
        <v>0</v>
      </c>
      <c r="R58" s="123">
        <f>'EB '!I52</f>
        <v>0</v>
      </c>
      <c r="S58" s="7"/>
      <c r="AR58" s="67"/>
      <c r="AS58" s="67"/>
      <c r="AT58" s="67"/>
      <c r="AU58" s="67"/>
      <c r="AV58" s="67"/>
      <c r="AW58" s="67"/>
      <c r="AX58" s="67"/>
      <c r="AY58" s="67"/>
      <c r="AZ58" s="67"/>
      <c r="BA58" s="67"/>
      <c r="BB58" s="67"/>
      <c r="BC58" s="67"/>
      <c r="BD58" s="67"/>
      <c r="BE58" s="67"/>
      <c r="BF58" s="67"/>
      <c r="BG58" s="67"/>
      <c r="BH58" s="67"/>
      <c r="BI58" s="67"/>
      <c r="BJ58" s="67"/>
      <c r="BK58" s="67"/>
      <c r="BL58" s="67"/>
      <c r="BM58" s="67"/>
      <c r="BN58" s="67"/>
    </row>
    <row r="59" spans="1:66" x14ac:dyDescent="0.25">
      <c r="B59" s="5"/>
      <c r="C59" s="94" t="s">
        <v>88</v>
      </c>
      <c r="D59" s="158">
        <v>1000</v>
      </c>
      <c r="E59" s="196"/>
      <c r="F59" s="197"/>
      <c r="G59" s="142"/>
      <c r="H59" s="148">
        <f>'1. ZWB '!H53</f>
        <v>500</v>
      </c>
      <c r="I59" s="123">
        <f>'1. ZWB '!I53</f>
        <v>0.5</v>
      </c>
      <c r="J59" s="22"/>
      <c r="K59" s="148">
        <f>'2. ZWB '!H53</f>
        <v>500</v>
      </c>
      <c r="L59" s="123">
        <f>'2. ZWB '!I53</f>
        <v>0.5</v>
      </c>
      <c r="M59" s="22"/>
      <c r="N59" s="148">
        <f>'3. ZWB '!H53</f>
        <v>700</v>
      </c>
      <c r="O59" s="123">
        <f>'3. ZWB '!I53</f>
        <v>0.7</v>
      </c>
      <c r="P59" s="22"/>
      <c r="Q59" s="148">
        <f>'EB '!H53</f>
        <v>1000</v>
      </c>
      <c r="R59" s="123">
        <f>'EB '!I53</f>
        <v>1</v>
      </c>
      <c r="S59" s="7"/>
      <c r="AR59" s="67"/>
      <c r="AS59" s="67"/>
      <c r="AT59" s="67"/>
      <c r="AU59" s="67"/>
      <c r="AV59" s="67"/>
      <c r="AW59" s="67"/>
      <c r="AX59" s="67"/>
      <c r="AY59" s="67"/>
      <c r="AZ59" s="67"/>
      <c r="BA59" s="67"/>
      <c r="BB59" s="67"/>
      <c r="BC59" s="67"/>
      <c r="BD59" s="67"/>
      <c r="BE59" s="67"/>
      <c r="BF59" s="67"/>
      <c r="BG59" s="67"/>
      <c r="BH59" s="67"/>
      <c r="BI59" s="67"/>
      <c r="BJ59" s="67"/>
      <c r="BK59" s="67"/>
      <c r="BL59" s="67"/>
      <c r="BM59" s="67"/>
      <c r="BN59" s="67"/>
    </row>
    <row r="60" spans="1:66" x14ac:dyDescent="0.25">
      <c r="B60" s="5"/>
      <c r="C60" s="103" t="s">
        <v>89</v>
      </c>
      <c r="D60" s="158">
        <v>1000</v>
      </c>
      <c r="E60" s="200"/>
      <c r="F60" s="201"/>
      <c r="G60" s="142"/>
      <c r="H60" s="148">
        <f>'1. ZWB '!H54</f>
        <v>500</v>
      </c>
      <c r="I60" s="123">
        <f>'1. ZWB '!I54</f>
        <v>0.5</v>
      </c>
      <c r="J60" s="22"/>
      <c r="K60" s="148">
        <f>'2. ZWB '!H54</f>
        <v>500</v>
      </c>
      <c r="L60" s="123">
        <f>'2. ZWB '!I54</f>
        <v>0.5</v>
      </c>
      <c r="M60" s="22"/>
      <c r="N60" s="148">
        <f>'3. ZWB '!H54</f>
        <v>700</v>
      </c>
      <c r="O60" s="123">
        <f>'3. ZWB '!I54</f>
        <v>0.7</v>
      </c>
      <c r="P60" s="22"/>
      <c r="Q60" s="148">
        <f>'EB '!H54</f>
        <v>1000</v>
      </c>
      <c r="R60" s="123">
        <f>'EB '!I54</f>
        <v>1</v>
      </c>
      <c r="S60" s="7"/>
      <c r="AR60" s="67"/>
      <c r="AS60" s="67"/>
      <c r="AT60" s="67"/>
      <c r="AU60" s="67"/>
      <c r="AV60" s="67"/>
      <c r="AW60" s="67"/>
      <c r="AX60" s="67"/>
      <c r="AY60" s="67"/>
      <c r="AZ60" s="67"/>
      <c r="BA60" s="67"/>
      <c r="BB60" s="67"/>
      <c r="BC60" s="67"/>
      <c r="BD60" s="67"/>
      <c r="BE60" s="67"/>
      <c r="BF60" s="67"/>
      <c r="BG60" s="67"/>
      <c r="BH60" s="67"/>
      <c r="BI60" s="67"/>
      <c r="BJ60" s="67"/>
      <c r="BK60" s="67"/>
      <c r="BL60" s="67"/>
      <c r="BM60" s="67"/>
      <c r="BN60" s="67"/>
    </row>
    <row r="61" spans="1:66" x14ac:dyDescent="0.25">
      <c r="B61" s="5"/>
      <c r="C61" s="103" t="s">
        <v>90</v>
      </c>
      <c r="D61" s="158"/>
      <c r="E61" s="198"/>
      <c r="F61" s="199"/>
      <c r="G61" s="142"/>
      <c r="H61" s="148">
        <f>'1. ZWB '!H55</f>
        <v>0</v>
      </c>
      <c r="I61" s="123">
        <f>'1. ZWB '!I55</f>
        <v>0</v>
      </c>
      <c r="J61" s="22"/>
      <c r="K61" s="148">
        <f>'2. ZWB '!H55</f>
        <v>0</v>
      </c>
      <c r="L61" s="123">
        <f>'2. ZWB '!I55</f>
        <v>0</v>
      </c>
      <c r="M61" s="22"/>
      <c r="N61" s="148">
        <f>'3. ZWB '!H55</f>
        <v>0</v>
      </c>
      <c r="O61" s="123">
        <f>'3. ZWB '!I55</f>
        <v>0</v>
      </c>
      <c r="P61" s="22"/>
      <c r="Q61" s="148">
        <f>'EB '!H55</f>
        <v>0</v>
      </c>
      <c r="R61" s="123">
        <f>'EB '!I55</f>
        <v>0</v>
      </c>
      <c r="S61" s="7"/>
      <c r="AR61" s="67"/>
      <c r="AS61" s="67"/>
      <c r="AT61" s="67"/>
      <c r="AU61" s="67"/>
      <c r="AV61" s="67"/>
      <c r="AW61" s="67"/>
      <c r="AX61" s="67"/>
      <c r="AY61" s="67"/>
      <c r="AZ61" s="67"/>
      <c r="BA61" s="67"/>
      <c r="BB61" s="67"/>
      <c r="BC61" s="67"/>
      <c r="BD61" s="67"/>
      <c r="BE61" s="67"/>
      <c r="BF61" s="67"/>
      <c r="BG61" s="67"/>
      <c r="BH61" s="67"/>
      <c r="BI61" s="67"/>
      <c r="BJ61" s="67"/>
      <c r="BK61" s="67"/>
      <c r="BL61" s="67"/>
      <c r="BM61" s="67"/>
      <c r="BN61" s="67"/>
    </row>
    <row r="62" spans="1:66" s="31" customFormat="1" x14ac:dyDescent="0.25">
      <c r="A62" s="4"/>
      <c r="B62" s="179"/>
      <c r="C62" s="180"/>
      <c r="D62" s="180"/>
      <c r="E62" s="144"/>
      <c r="F62" s="143"/>
      <c r="G62" s="142"/>
      <c r="H62" s="145"/>
      <c r="I62" s="51"/>
      <c r="J62" s="22"/>
      <c r="K62" s="145"/>
      <c r="L62" s="51"/>
      <c r="M62" s="22"/>
      <c r="N62" s="145"/>
      <c r="O62" s="51"/>
      <c r="P62" s="22"/>
      <c r="Q62" s="145"/>
      <c r="R62" s="51"/>
      <c r="S62" s="32"/>
      <c r="T62" s="68"/>
      <c r="U62" s="68"/>
      <c r="V62" s="68"/>
      <c r="W62" s="68"/>
      <c r="X62" s="68"/>
      <c r="Y62" s="68"/>
      <c r="Z62" s="68"/>
      <c r="AA62" s="68"/>
      <c r="AB62" s="68"/>
      <c r="AC62" s="68"/>
      <c r="AD62" s="68"/>
      <c r="AE62" s="68"/>
      <c r="AF62" s="68"/>
      <c r="AG62" s="68"/>
      <c r="AH62" s="68"/>
      <c r="AI62" s="68"/>
      <c r="AJ62" s="68"/>
      <c r="AK62" s="68"/>
      <c r="AL62" s="68"/>
      <c r="AM62" s="68"/>
      <c r="AN62" s="68"/>
      <c r="AO62" s="68"/>
      <c r="AP62" s="68"/>
      <c r="AQ62" s="68"/>
      <c r="AR62" s="67"/>
      <c r="AS62" s="67"/>
      <c r="AT62" s="67"/>
      <c r="AU62" s="67"/>
      <c r="AV62" s="67"/>
      <c r="AW62" s="67"/>
      <c r="AX62" s="67"/>
      <c r="AY62" s="67"/>
      <c r="AZ62" s="67"/>
      <c r="BA62" s="67"/>
      <c r="BB62" s="67"/>
      <c r="BC62" s="67"/>
      <c r="BD62" s="67"/>
      <c r="BE62" s="67"/>
      <c r="BF62" s="67"/>
      <c r="BG62" s="67"/>
      <c r="BH62" s="67"/>
      <c r="BI62" s="67"/>
      <c r="BJ62" s="67"/>
      <c r="BK62" s="67"/>
      <c r="BL62" s="67"/>
      <c r="BM62" s="67"/>
      <c r="BN62" s="67"/>
    </row>
    <row r="63" spans="1:66" ht="26.1" customHeight="1" x14ac:dyDescent="0.25">
      <c r="B63" s="5"/>
      <c r="C63" s="184" t="s">
        <v>38</v>
      </c>
      <c r="D63" s="185"/>
      <c r="E63" s="185"/>
      <c r="F63" s="186"/>
      <c r="G63" s="24"/>
      <c r="H63" s="193" t="s">
        <v>112</v>
      </c>
      <c r="I63" s="194"/>
      <c r="J63" s="26"/>
      <c r="K63" s="193" t="s">
        <v>113</v>
      </c>
      <c r="L63" s="194"/>
      <c r="M63" s="26"/>
      <c r="N63" s="193" t="s">
        <v>114</v>
      </c>
      <c r="O63" s="194"/>
      <c r="P63" s="26"/>
      <c r="Q63" s="193" t="s">
        <v>115</v>
      </c>
      <c r="R63" s="194"/>
      <c r="S63" s="7"/>
      <c r="AR63" s="67"/>
      <c r="AS63" s="67"/>
      <c r="AT63" s="67"/>
      <c r="AU63" s="67"/>
      <c r="AV63" s="67"/>
      <c r="AW63" s="67"/>
      <c r="AX63" s="67"/>
      <c r="AY63" s="67"/>
      <c r="AZ63" s="67"/>
      <c r="BA63" s="67"/>
      <c r="BB63" s="67"/>
      <c r="BC63" s="67"/>
      <c r="BD63" s="67"/>
      <c r="BE63" s="67"/>
      <c r="BF63" s="67"/>
      <c r="BG63" s="67"/>
      <c r="BH63" s="67"/>
      <c r="BI63" s="67"/>
      <c r="BJ63" s="67"/>
      <c r="BK63" s="67"/>
      <c r="BL63" s="67"/>
      <c r="BM63" s="67"/>
      <c r="BN63" s="67"/>
    </row>
    <row r="64" spans="1:66" ht="13.15" customHeight="1" x14ac:dyDescent="0.25">
      <c r="B64" s="5"/>
      <c r="C64" s="181" t="s">
        <v>125</v>
      </c>
      <c r="D64" s="182"/>
      <c r="E64" s="182"/>
      <c r="F64" s="183"/>
      <c r="G64" s="137"/>
      <c r="H64" s="176"/>
      <c r="I64" s="177"/>
      <c r="J64" s="171"/>
      <c r="K64" s="176"/>
      <c r="L64" s="178"/>
      <c r="M64" s="171"/>
      <c r="N64" s="176"/>
      <c r="O64" s="177"/>
      <c r="P64" s="171"/>
      <c r="Q64" s="176"/>
      <c r="R64" s="177"/>
      <c r="S64" s="7"/>
    </row>
    <row r="65" spans="2:19" x14ac:dyDescent="0.25">
      <c r="B65" s="5"/>
      <c r="C65" s="190" t="s">
        <v>44</v>
      </c>
      <c r="D65" s="191"/>
      <c r="E65" s="191"/>
      <c r="F65" s="192"/>
      <c r="G65" s="137"/>
      <c r="H65" s="176">
        <f>'1. ZWB '!H59</f>
        <v>0</v>
      </c>
      <c r="I65" s="177"/>
      <c r="J65" s="171"/>
      <c r="K65" s="176">
        <f>'2. ZWB '!H59</f>
        <v>0</v>
      </c>
      <c r="L65" s="178"/>
      <c r="M65" s="171"/>
      <c r="N65" s="176">
        <f>'3. ZWB '!H59</f>
        <v>0</v>
      </c>
      <c r="O65" s="177"/>
      <c r="P65" s="171"/>
      <c r="Q65" s="176">
        <f>'EB '!H59</f>
        <v>0</v>
      </c>
      <c r="R65" s="177"/>
      <c r="S65" s="7"/>
    </row>
    <row r="66" spans="2:19" x14ac:dyDescent="0.25">
      <c r="B66" s="5"/>
      <c r="C66" s="190" t="s">
        <v>43</v>
      </c>
      <c r="D66" s="191"/>
      <c r="E66" s="191"/>
      <c r="F66" s="192"/>
      <c r="G66" s="137"/>
      <c r="H66" s="176">
        <f>'1. ZWB '!H60:I60</f>
        <v>116</v>
      </c>
      <c r="I66" s="177"/>
      <c r="J66" s="171"/>
      <c r="K66" s="176">
        <f>'2. ZWB '!H60</f>
        <v>216</v>
      </c>
      <c r="L66" s="178"/>
      <c r="M66" s="171"/>
      <c r="N66" s="176">
        <f>'3. ZWB '!H60</f>
        <v>317</v>
      </c>
      <c r="O66" s="177"/>
      <c r="P66" s="171"/>
      <c r="Q66" s="176">
        <f>'EB '!H60</f>
        <v>336</v>
      </c>
      <c r="R66" s="177"/>
      <c r="S66" s="7"/>
    </row>
    <row r="67" spans="2:19" x14ac:dyDescent="0.25">
      <c r="B67" s="5"/>
      <c r="C67" s="190" t="s">
        <v>128</v>
      </c>
      <c r="D67" s="191"/>
      <c r="E67" s="191"/>
      <c r="F67" s="192"/>
      <c r="G67" s="137"/>
      <c r="H67" s="176">
        <f>'1. ZWB '!H61:I61</f>
        <v>32</v>
      </c>
      <c r="I67" s="177"/>
      <c r="J67" s="171"/>
      <c r="K67" s="176">
        <f>'2. ZWB '!H61</f>
        <v>89</v>
      </c>
      <c r="L67" s="178"/>
      <c r="M67" s="171"/>
      <c r="N67" s="176">
        <f>'3. ZWB '!H61</f>
        <v>396</v>
      </c>
      <c r="O67" s="177"/>
      <c r="P67" s="171"/>
      <c r="Q67" s="176">
        <f>'EB '!H61</f>
        <v>428</v>
      </c>
      <c r="R67" s="177"/>
      <c r="S67" s="7"/>
    </row>
    <row r="68" spans="2:19" x14ac:dyDescent="0.25">
      <c r="B68" s="5"/>
      <c r="C68" s="190" t="s">
        <v>108</v>
      </c>
      <c r="D68" s="191"/>
      <c r="E68" s="191"/>
      <c r="F68" s="192"/>
      <c r="G68" s="137"/>
      <c r="H68" s="176">
        <f>'1. ZWB '!H62:I62</f>
        <v>0</v>
      </c>
      <c r="I68" s="177"/>
      <c r="J68" s="171"/>
      <c r="K68" s="176">
        <f>'2. ZWB '!H62</f>
        <v>0</v>
      </c>
      <c r="L68" s="178"/>
      <c r="M68" s="171"/>
      <c r="N68" s="176">
        <f>'3. ZWB '!H62</f>
        <v>0</v>
      </c>
      <c r="O68" s="177"/>
      <c r="P68" s="171"/>
      <c r="Q68" s="176">
        <f>'EB '!H62</f>
        <v>0</v>
      </c>
      <c r="R68" s="177"/>
      <c r="S68" s="7"/>
    </row>
    <row r="69" spans="2:19" ht="13.15" customHeight="1" x14ac:dyDescent="0.25">
      <c r="B69" s="5"/>
      <c r="C69" s="190" t="s">
        <v>107</v>
      </c>
      <c r="D69" s="191"/>
      <c r="E69" s="191"/>
      <c r="F69" s="192"/>
      <c r="G69" s="137"/>
      <c r="H69" s="176">
        <f>'1. ZWB '!H63:I63</f>
        <v>28</v>
      </c>
      <c r="I69" s="177"/>
      <c r="J69" s="171"/>
      <c r="K69" s="176">
        <f>'2. ZWB '!H63</f>
        <v>0</v>
      </c>
      <c r="L69" s="178"/>
      <c r="M69" s="171"/>
      <c r="N69" s="176">
        <f>'3. ZWB '!H63</f>
        <v>0</v>
      </c>
      <c r="O69" s="177"/>
      <c r="P69" s="171"/>
      <c r="Q69" s="176">
        <f>'EB '!H63</f>
        <v>0</v>
      </c>
      <c r="R69" s="177"/>
      <c r="S69" s="7"/>
    </row>
    <row r="70" spans="2:19" x14ac:dyDescent="0.25">
      <c r="B70" s="5"/>
      <c r="C70" s="190" t="s">
        <v>45</v>
      </c>
      <c r="D70" s="191"/>
      <c r="E70" s="191"/>
      <c r="F70" s="192"/>
      <c r="G70" s="137"/>
      <c r="H70" s="176">
        <f>'1. ZWB '!H64:I64</f>
        <v>0</v>
      </c>
      <c r="I70" s="177"/>
      <c r="J70" s="171"/>
      <c r="K70" s="176">
        <f>'2. ZWB '!H64</f>
        <v>256</v>
      </c>
      <c r="L70" s="178"/>
      <c r="M70" s="171"/>
      <c r="N70" s="176">
        <f>'3. ZWB '!H64</f>
        <v>268</v>
      </c>
      <c r="O70" s="177"/>
      <c r="P70" s="171"/>
      <c r="Q70" s="176">
        <f>'EB '!H64</f>
        <v>292</v>
      </c>
      <c r="R70" s="177"/>
      <c r="S70" s="7"/>
    </row>
    <row r="71" spans="2:19" x14ac:dyDescent="0.25">
      <c r="B71" s="5"/>
      <c r="C71" s="190" t="s">
        <v>73</v>
      </c>
      <c r="D71" s="191"/>
      <c r="E71" s="191"/>
      <c r="F71" s="192"/>
      <c r="G71" s="137"/>
      <c r="H71" s="176">
        <f>'1. ZWB '!H65:I65</f>
        <v>0</v>
      </c>
      <c r="I71" s="177"/>
      <c r="J71" s="171"/>
      <c r="K71" s="176">
        <f>'2. ZWB '!H65</f>
        <v>6</v>
      </c>
      <c r="L71" s="178"/>
      <c r="M71" s="171"/>
      <c r="N71" s="176">
        <f>'3. ZWB '!H65</f>
        <v>34</v>
      </c>
      <c r="O71" s="177"/>
      <c r="P71" s="171"/>
      <c r="Q71" s="176">
        <f>'EB '!H65</f>
        <v>91</v>
      </c>
      <c r="R71" s="177"/>
      <c r="S71" s="7"/>
    </row>
    <row r="72" spans="2:19" ht="14.65" customHeight="1" x14ac:dyDescent="0.25">
      <c r="B72" s="5"/>
      <c r="C72" s="181" t="s">
        <v>117</v>
      </c>
      <c r="D72" s="182"/>
      <c r="E72" s="182"/>
      <c r="F72" s="183"/>
      <c r="G72" s="137"/>
      <c r="H72" s="176"/>
      <c r="I72" s="177"/>
      <c r="J72" s="171"/>
      <c r="K72" s="176"/>
      <c r="L72" s="178"/>
      <c r="M72" s="171"/>
      <c r="N72" s="176"/>
      <c r="O72" s="177"/>
      <c r="P72" s="171"/>
      <c r="Q72" s="176"/>
      <c r="R72" s="177"/>
      <c r="S72" s="7"/>
    </row>
    <row r="73" spans="2:19" x14ac:dyDescent="0.25">
      <c r="B73" s="5"/>
      <c r="C73" s="187" t="s">
        <v>103</v>
      </c>
      <c r="D73" s="188"/>
      <c r="E73" s="188"/>
      <c r="F73" s="189"/>
      <c r="G73" s="137"/>
      <c r="H73" s="176">
        <f>'1. ZWB '!H67:I67</f>
        <v>137</v>
      </c>
      <c r="I73" s="177"/>
      <c r="J73" s="171"/>
      <c r="K73" s="176">
        <f>'2. ZWB '!H67</f>
        <v>0</v>
      </c>
      <c r="L73" s="178"/>
      <c r="M73" s="171"/>
      <c r="N73" s="176">
        <f>'3. ZWB '!H67</f>
        <v>255</v>
      </c>
      <c r="O73" s="177"/>
      <c r="P73" s="171"/>
      <c r="Q73" s="176">
        <f>'EB '!H67</f>
        <v>372</v>
      </c>
      <c r="R73" s="177"/>
      <c r="S73" s="7"/>
    </row>
    <row r="74" spans="2:19" x14ac:dyDescent="0.25">
      <c r="B74" s="5"/>
      <c r="C74" s="187" t="s">
        <v>104</v>
      </c>
      <c r="D74" s="188"/>
      <c r="E74" s="188"/>
      <c r="F74" s="189"/>
      <c r="G74" s="137"/>
      <c r="H74" s="176">
        <f>'1. ZWB '!H68:I68</f>
        <v>0</v>
      </c>
      <c r="I74" s="177"/>
      <c r="J74" s="171"/>
      <c r="K74" s="176">
        <f>'2. ZWB '!H68</f>
        <v>0</v>
      </c>
      <c r="L74" s="178"/>
      <c r="M74" s="171"/>
      <c r="N74" s="176">
        <f>'3. ZWB '!H68</f>
        <v>246</v>
      </c>
      <c r="O74" s="177"/>
      <c r="P74" s="171"/>
      <c r="Q74" s="176">
        <f>'EB '!H68</f>
        <v>152</v>
      </c>
      <c r="R74" s="177"/>
      <c r="S74" s="7"/>
    </row>
    <row r="75" spans="2:19" x14ac:dyDescent="0.25">
      <c r="B75" s="5"/>
      <c r="C75" s="155" t="s">
        <v>105</v>
      </c>
      <c r="D75" s="156"/>
      <c r="E75" s="156"/>
      <c r="F75" s="168"/>
      <c r="G75" s="137"/>
      <c r="H75" s="176">
        <f>'1. ZWB '!H69:I69</f>
        <v>0</v>
      </c>
      <c r="I75" s="177"/>
      <c r="J75" s="171"/>
      <c r="K75" s="176">
        <f>'2. ZWB '!H69</f>
        <v>0</v>
      </c>
      <c r="L75" s="178"/>
      <c r="M75" s="171"/>
      <c r="N75" s="176">
        <f>'3. ZWB '!H69</f>
        <v>19</v>
      </c>
      <c r="O75" s="177"/>
      <c r="P75" s="171"/>
      <c r="Q75" s="176">
        <f>'EB '!H69</f>
        <v>10</v>
      </c>
      <c r="R75" s="177"/>
      <c r="S75" s="7"/>
    </row>
    <row r="76" spans="2:19" x14ac:dyDescent="0.25">
      <c r="B76" s="5"/>
      <c r="C76" s="187" t="s">
        <v>98</v>
      </c>
      <c r="D76" s="188"/>
      <c r="E76" s="188"/>
      <c r="F76" s="189"/>
      <c r="G76" s="137"/>
      <c r="H76" s="176">
        <f>'1. ZWB '!H70:I70</f>
        <v>0</v>
      </c>
      <c r="I76" s="177"/>
      <c r="J76" s="171"/>
      <c r="K76" s="176">
        <f>'2. ZWB '!H70</f>
        <v>0</v>
      </c>
      <c r="L76" s="178"/>
      <c r="M76" s="171"/>
      <c r="N76" s="176">
        <f>'3. ZWB '!H70</f>
        <v>95</v>
      </c>
      <c r="O76" s="177"/>
      <c r="P76" s="171"/>
      <c r="Q76" s="176">
        <f>'EB '!H70</f>
        <v>143</v>
      </c>
      <c r="R76" s="177"/>
      <c r="S76" s="7"/>
    </row>
    <row r="77" spans="2:19" ht="13.15" customHeight="1" x14ac:dyDescent="0.25">
      <c r="B77" s="5"/>
      <c r="C77" s="181" t="s">
        <v>118</v>
      </c>
      <c r="D77" s="182"/>
      <c r="E77" s="182"/>
      <c r="F77" s="183"/>
      <c r="G77" s="137"/>
      <c r="H77" s="176"/>
      <c r="I77" s="177"/>
      <c r="J77" s="171"/>
      <c r="K77" s="176"/>
      <c r="L77" s="178"/>
      <c r="M77" s="171"/>
      <c r="N77" s="176"/>
      <c r="O77" s="177"/>
      <c r="P77" s="171"/>
      <c r="Q77" s="176"/>
      <c r="R77" s="177"/>
      <c r="S77" s="7"/>
    </row>
    <row r="78" spans="2:19" ht="13.15" customHeight="1" x14ac:dyDescent="0.25">
      <c r="B78" s="5"/>
      <c r="C78" s="187" t="s">
        <v>40</v>
      </c>
      <c r="D78" s="188"/>
      <c r="E78" s="188"/>
      <c r="F78" s="189"/>
      <c r="G78" s="137"/>
      <c r="H78" s="176">
        <f>'1. ZWB '!H72:I72</f>
        <v>217</v>
      </c>
      <c r="I78" s="177"/>
      <c r="J78" s="171"/>
      <c r="K78" s="176">
        <f>'2. ZWB '!H72</f>
        <v>405</v>
      </c>
      <c r="L78" s="178"/>
      <c r="M78" s="171"/>
      <c r="N78" s="176">
        <f>'3. ZWB '!H72</f>
        <v>418</v>
      </c>
      <c r="O78" s="177"/>
      <c r="P78" s="171"/>
      <c r="Q78" s="176">
        <f>'EB '!H72</f>
        <v>698</v>
      </c>
      <c r="R78" s="177"/>
      <c r="S78" s="7"/>
    </row>
    <row r="79" spans="2:19" x14ac:dyDescent="0.25">
      <c r="B79" s="5"/>
      <c r="C79" s="187" t="s">
        <v>41</v>
      </c>
      <c r="D79" s="188"/>
      <c r="E79" s="188"/>
      <c r="F79" s="189"/>
      <c r="G79" s="137"/>
      <c r="H79" s="176">
        <f>'1. ZWB '!H73:I73</f>
        <v>121</v>
      </c>
      <c r="I79" s="177"/>
      <c r="J79" s="171"/>
      <c r="K79" s="176">
        <f>'2. ZWB '!H73</f>
        <v>202</v>
      </c>
      <c r="L79" s="178"/>
      <c r="M79" s="171"/>
      <c r="N79" s="176">
        <f>'3. ZWB '!H73</f>
        <v>382</v>
      </c>
      <c r="O79" s="177"/>
      <c r="P79" s="171"/>
      <c r="Q79" s="176">
        <f>'EB '!H73</f>
        <v>506</v>
      </c>
      <c r="R79" s="177"/>
      <c r="S79" s="7"/>
    </row>
    <row r="80" spans="2:19" x14ac:dyDescent="0.25">
      <c r="B80" s="5"/>
      <c r="C80" s="155" t="s">
        <v>99</v>
      </c>
      <c r="D80" s="156"/>
      <c r="E80" s="156"/>
      <c r="F80" s="168"/>
      <c r="G80" s="137"/>
      <c r="H80" s="176">
        <f>'1. ZWB '!H74:I74</f>
        <v>0</v>
      </c>
      <c r="I80" s="177"/>
      <c r="J80" s="171"/>
      <c r="K80" s="176">
        <f>'2. ZWB '!H74</f>
        <v>0</v>
      </c>
      <c r="L80" s="178"/>
      <c r="M80" s="171"/>
      <c r="N80" s="176">
        <f>'3. ZWB '!H74</f>
        <v>0</v>
      </c>
      <c r="O80" s="177"/>
      <c r="P80" s="171"/>
      <c r="Q80" s="176">
        <f>'EB '!H74</f>
        <v>0</v>
      </c>
      <c r="R80" s="177"/>
      <c r="S80" s="7"/>
    </row>
    <row r="81" spans="2:43" x14ac:dyDescent="0.25">
      <c r="B81" s="5"/>
      <c r="C81" s="155" t="s">
        <v>100</v>
      </c>
      <c r="D81" s="156"/>
      <c r="E81" s="156"/>
      <c r="F81" s="168"/>
      <c r="G81" s="137"/>
      <c r="H81" s="176">
        <f>'1. ZWB '!H75:I75</f>
        <v>0</v>
      </c>
      <c r="I81" s="177"/>
      <c r="J81" s="171"/>
      <c r="K81" s="176">
        <f>'2. ZWB '!H75</f>
        <v>0</v>
      </c>
      <c r="L81" s="178"/>
      <c r="M81" s="171"/>
      <c r="N81" s="176">
        <f>'3. ZWB '!H75</f>
        <v>0</v>
      </c>
      <c r="O81" s="177"/>
      <c r="P81" s="171"/>
      <c r="Q81" s="176">
        <f>'EB '!H75</f>
        <v>0</v>
      </c>
      <c r="R81" s="177"/>
      <c r="S81" s="7"/>
    </row>
    <row r="82" spans="2:43" x14ac:dyDescent="0.25">
      <c r="B82" s="5"/>
      <c r="C82" s="155" t="s">
        <v>101</v>
      </c>
      <c r="D82" s="156"/>
      <c r="E82" s="156"/>
      <c r="F82" s="168"/>
      <c r="G82" s="137"/>
      <c r="H82" s="176">
        <f>'1. ZWB '!H76:I76</f>
        <v>0</v>
      </c>
      <c r="I82" s="177"/>
      <c r="J82" s="171"/>
      <c r="K82" s="176">
        <f>'2. ZWB '!H76</f>
        <v>0</v>
      </c>
      <c r="L82" s="178"/>
      <c r="M82" s="171"/>
      <c r="N82" s="176">
        <f>'3. ZWB '!H76</f>
        <v>0</v>
      </c>
      <c r="O82" s="177"/>
      <c r="P82" s="171"/>
      <c r="Q82" s="176">
        <f>'EB '!H76</f>
        <v>0</v>
      </c>
      <c r="R82" s="177"/>
      <c r="S82" s="7"/>
    </row>
    <row r="83" spans="2:43" x14ac:dyDescent="0.25">
      <c r="B83" s="5"/>
      <c r="C83" s="155" t="s">
        <v>102</v>
      </c>
      <c r="D83" s="156"/>
      <c r="E83" s="156"/>
      <c r="F83" s="168"/>
      <c r="G83" s="137"/>
      <c r="H83" s="176">
        <f>'1. ZWB '!H77:I77</f>
        <v>0</v>
      </c>
      <c r="I83" s="177"/>
      <c r="J83" s="171"/>
      <c r="K83" s="176">
        <f>'2. ZWB '!H77</f>
        <v>0</v>
      </c>
      <c r="L83" s="178"/>
      <c r="M83" s="171"/>
      <c r="N83" s="176">
        <f>'3. ZWB '!H77</f>
        <v>245</v>
      </c>
      <c r="O83" s="177"/>
      <c r="P83" s="171"/>
      <c r="Q83" s="176">
        <f>'EB '!H77</f>
        <v>0</v>
      </c>
      <c r="R83" s="177"/>
      <c r="S83" s="7"/>
    </row>
    <row r="84" spans="2:43" ht="14.65" customHeight="1" x14ac:dyDescent="0.25">
      <c r="B84" s="5"/>
      <c r="C84" s="181" t="s">
        <v>39</v>
      </c>
      <c r="D84" s="182"/>
      <c r="E84" s="182"/>
      <c r="F84" s="183"/>
      <c r="G84" s="137"/>
      <c r="H84" s="176">
        <f>'1. ZWB '!H78:I78</f>
        <v>0</v>
      </c>
      <c r="I84" s="177"/>
      <c r="J84" s="171"/>
      <c r="K84" s="176">
        <f>'2. ZWB '!H78</f>
        <v>0</v>
      </c>
      <c r="L84" s="178"/>
      <c r="M84" s="171"/>
      <c r="N84" s="176">
        <f>'3. ZWB '!H78</f>
        <v>0</v>
      </c>
      <c r="O84" s="177"/>
      <c r="P84" s="171"/>
      <c r="Q84" s="176">
        <f>'EB '!H78</f>
        <v>0</v>
      </c>
      <c r="R84" s="177"/>
      <c r="S84" s="7"/>
    </row>
    <row r="85" spans="2:43" ht="26.65" customHeight="1" x14ac:dyDescent="0.25">
      <c r="B85" s="5"/>
      <c r="C85" s="184" t="s">
        <v>46</v>
      </c>
      <c r="D85" s="185"/>
      <c r="E85" s="185"/>
      <c r="F85" s="186"/>
      <c r="G85" s="137"/>
      <c r="H85" s="193" t="s">
        <v>112</v>
      </c>
      <c r="I85" s="194"/>
      <c r="J85" s="28"/>
      <c r="K85" s="193" t="s">
        <v>113</v>
      </c>
      <c r="L85" s="194"/>
      <c r="M85" s="28"/>
      <c r="N85" s="193" t="s">
        <v>114</v>
      </c>
      <c r="O85" s="194"/>
      <c r="P85" s="28"/>
      <c r="Q85" s="193" t="s">
        <v>115</v>
      </c>
      <c r="R85" s="194"/>
      <c r="S85" s="7"/>
    </row>
    <row r="86" spans="2:43" x14ac:dyDescent="0.25">
      <c r="B86" s="5"/>
      <c r="C86" s="181" t="s">
        <v>106</v>
      </c>
      <c r="D86" s="182"/>
      <c r="E86" s="182"/>
      <c r="F86" s="183"/>
      <c r="G86" s="137"/>
      <c r="H86" s="176">
        <f>'1. ZWB '!H80:I80</f>
        <v>0</v>
      </c>
      <c r="I86" s="177"/>
      <c r="J86" s="171"/>
      <c r="K86" s="176">
        <f>'2. ZWB '!H80</f>
        <v>0</v>
      </c>
      <c r="L86" s="178"/>
      <c r="M86" s="171"/>
      <c r="N86" s="176">
        <f>'3. ZWB '!H80</f>
        <v>0</v>
      </c>
      <c r="O86" s="177"/>
      <c r="P86" s="171"/>
      <c r="Q86" s="176">
        <f>'EB '!H80</f>
        <v>0</v>
      </c>
      <c r="R86" s="177"/>
      <c r="S86" s="7"/>
    </row>
    <row r="87" spans="2:43" x14ac:dyDescent="0.25">
      <c r="B87" s="5"/>
      <c r="C87" s="181" t="s">
        <v>96</v>
      </c>
      <c r="D87" s="182"/>
      <c r="E87" s="182" t="s">
        <v>116</v>
      </c>
      <c r="F87" s="183" t="s">
        <v>116</v>
      </c>
      <c r="G87" s="137"/>
      <c r="H87" s="176">
        <f>'1. ZWB '!H81:I81</f>
        <v>0</v>
      </c>
      <c r="I87" s="177"/>
      <c r="J87" s="171"/>
      <c r="K87" s="176">
        <f>'2. ZWB '!H81</f>
        <v>0</v>
      </c>
      <c r="L87" s="178"/>
      <c r="M87" s="171"/>
      <c r="N87" s="176">
        <f>'3. ZWB '!H81</f>
        <v>0</v>
      </c>
      <c r="O87" s="177"/>
      <c r="P87" s="171"/>
      <c r="Q87" s="176">
        <f>'EB '!H81</f>
        <v>0</v>
      </c>
      <c r="R87" s="177"/>
      <c r="S87" s="7"/>
    </row>
    <row r="88" spans="2:43" ht="29.1" customHeight="1" x14ac:dyDescent="0.25">
      <c r="B88" s="5"/>
      <c r="C88" s="181" t="s">
        <v>93</v>
      </c>
      <c r="D88" s="182"/>
      <c r="E88" s="182" t="s">
        <v>116</v>
      </c>
      <c r="F88" s="183" t="s">
        <v>116</v>
      </c>
      <c r="G88" s="137"/>
      <c r="H88" s="176">
        <f>'1. ZWB '!H82:I82</f>
        <v>0</v>
      </c>
      <c r="I88" s="177"/>
      <c r="J88" s="171"/>
      <c r="K88" s="176">
        <f>'2. ZWB '!H82</f>
        <v>0</v>
      </c>
      <c r="L88" s="178"/>
      <c r="M88" s="171"/>
      <c r="N88" s="176">
        <f>'3. ZWB '!H82</f>
        <v>0</v>
      </c>
      <c r="O88" s="177"/>
      <c r="P88" s="171"/>
      <c r="Q88" s="176">
        <f>'EB '!H82</f>
        <v>0</v>
      </c>
      <c r="R88" s="177"/>
      <c r="S88" s="7"/>
    </row>
    <row r="89" spans="2:43" x14ac:dyDescent="0.25">
      <c r="B89" s="5"/>
      <c r="C89" s="181" t="s">
        <v>92</v>
      </c>
      <c r="D89" s="182"/>
      <c r="E89" s="182"/>
      <c r="F89" s="183"/>
      <c r="G89" s="137"/>
      <c r="H89" s="176">
        <f>'1. ZWB '!H83:I83</f>
        <v>0</v>
      </c>
      <c r="I89" s="177"/>
      <c r="J89" s="171"/>
      <c r="K89" s="176">
        <f>'2. ZWB '!H83</f>
        <v>0</v>
      </c>
      <c r="L89" s="178"/>
      <c r="M89" s="171"/>
      <c r="N89" s="176">
        <f>'3. ZWB '!H83</f>
        <v>0</v>
      </c>
      <c r="O89" s="177"/>
      <c r="P89" s="171"/>
      <c r="Q89" s="176">
        <f>'EB '!H83</f>
        <v>0</v>
      </c>
      <c r="R89" s="177"/>
      <c r="S89" s="7"/>
    </row>
    <row r="90" spans="2:43" x14ac:dyDescent="0.25">
      <c r="B90" s="5"/>
      <c r="C90" s="181" t="s">
        <v>127</v>
      </c>
      <c r="D90" s="182"/>
      <c r="E90" s="182"/>
      <c r="F90" s="183"/>
      <c r="G90" s="137"/>
      <c r="H90" s="176">
        <f>'1. ZWB '!H84:I84</f>
        <v>0</v>
      </c>
      <c r="I90" s="177"/>
      <c r="J90" s="171"/>
      <c r="K90" s="176">
        <f>'2. ZWB '!H84</f>
        <v>0</v>
      </c>
      <c r="L90" s="178"/>
      <c r="M90" s="171"/>
      <c r="N90" s="176">
        <f>'3. ZWB '!H84</f>
        <v>0</v>
      </c>
      <c r="O90" s="177"/>
      <c r="P90" s="171"/>
      <c r="Q90" s="176">
        <f>'EB '!H84</f>
        <v>0</v>
      </c>
      <c r="R90" s="177"/>
      <c r="S90" s="7"/>
    </row>
    <row r="91" spans="2:43" x14ac:dyDescent="0.25">
      <c r="B91" s="5"/>
      <c r="C91" s="181" t="s">
        <v>95</v>
      </c>
      <c r="D91" s="182"/>
      <c r="E91" s="182" t="s">
        <v>116</v>
      </c>
      <c r="F91" s="183" t="s">
        <v>116</v>
      </c>
      <c r="G91" s="137"/>
      <c r="H91" s="176">
        <f>'1. ZWB '!H85:I85</f>
        <v>0</v>
      </c>
      <c r="I91" s="177"/>
      <c r="J91" s="171"/>
      <c r="K91" s="176">
        <f>'2. ZWB '!H85</f>
        <v>0</v>
      </c>
      <c r="L91" s="178"/>
      <c r="M91" s="171"/>
      <c r="N91" s="176">
        <f>'3. ZWB '!H85</f>
        <v>0</v>
      </c>
      <c r="O91" s="177"/>
      <c r="P91" s="171"/>
      <c r="Q91" s="176">
        <f>'EB '!H85</f>
        <v>0</v>
      </c>
      <c r="R91" s="177"/>
      <c r="S91" s="7"/>
    </row>
    <row r="92" spans="2:43" x14ac:dyDescent="0.25">
      <c r="B92" s="5"/>
      <c r="C92" s="181" t="s">
        <v>94</v>
      </c>
      <c r="D92" s="182"/>
      <c r="E92" s="182" t="s">
        <v>116</v>
      </c>
      <c r="F92" s="183" t="s">
        <v>116</v>
      </c>
      <c r="G92" s="137"/>
      <c r="H92" s="176">
        <f>'1. ZWB '!H86:I86</f>
        <v>0</v>
      </c>
      <c r="I92" s="177"/>
      <c r="J92" s="171"/>
      <c r="K92" s="176">
        <f>'2. ZWB '!H86</f>
        <v>0</v>
      </c>
      <c r="L92" s="178"/>
      <c r="M92" s="171"/>
      <c r="N92" s="176">
        <f>'3. ZWB '!H86</f>
        <v>0</v>
      </c>
      <c r="O92" s="177"/>
      <c r="P92" s="171"/>
      <c r="Q92" s="176">
        <f>'EB '!H86</f>
        <v>0</v>
      </c>
      <c r="R92" s="177"/>
      <c r="S92" s="7"/>
    </row>
    <row r="93" spans="2:43" s="9" customFormat="1" ht="25.15" customHeight="1" x14ac:dyDescent="0.25">
      <c r="B93" s="59"/>
      <c r="C93" s="35" t="s">
        <v>0</v>
      </c>
      <c r="D93" s="11"/>
      <c r="E93" s="11"/>
      <c r="F93" s="14"/>
      <c r="G93" s="14"/>
      <c r="H93" s="14"/>
      <c r="I93" s="55"/>
      <c r="J93" s="14"/>
      <c r="K93" s="14"/>
      <c r="L93" s="55"/>
      <c r="M93" s="14"/>
      <c r="N93" s="14"/>
      <c r="O93" s="55"/>
      <c r="P93" s="14"/>
      <c r="Q93" s="14"/>
      <c r="R93" s="55"/>
      <c r="S93" s="97"/>
      <c r="T93" s="68"/>
      <c r="U93" s="68"/>
      <c r="V93" s="68"/>
      <c r="W93" s="68"/>
      <c r="X93" s="68"/>
      <c r="Y93" s="68"/>
      <c r="Z93" s="68"/>
      <c r="AA93" s="68"/>
      <c r="AB93" s="68"/>
      <c r="AC93" s="68"/>
      <c r="AD93" s="68"/>
      <c r="AE93" s="68"/>
      <c r="AF93" s="68"/>
      <c r="AG93" s="68"/>
      <c r="AH93" s="68"/>
      <c r="AI93" s="68"/>
      <c r="AJ93" s="68"/>
      <c r="AK93" s="68"/>
      <c r="AL93" s="68"/>
      <c r="AM93" s="68"/>
      <c r="AN93" s="68"/>
      <c r="AO93" s="68"/>
      <c r="AP93" s="68"/>
      <c r="AQ93" s="68"/>
    </row>
    <row r="94" spans="2:43" s="68" customFormat="1" x14ac:dyDescent="0.25">
      <c r="I94" s="124"/>
      <c r="L94" s="124"/>
      <c r="O94" s="124"/>
      <c r="R94" s="124"/>
    </row>
    <row r="95" spans="2:43" s="68" customFormat="1" x14ac:dyDescent="0.25">
      <c r="I95" s="124"/>
      <c r="L95" s="124"/>
      <c r="O95" s="124"/>
      <c r="R95" s="124"/>
    </row>
    <row r="96" spans="2:43" s="68" customFormat="1" x14ac:dyDescent="0.25">
      <c r="I96" s="124"/>
      <c r="L96" s="124"/>
      <c r="O96" s="124"/>
      <c r="R96" s="124"/>
    </row>
    <row r="97" spans="9:18" s="68" customFormat="1" x14ac:dyDescent="0.25">
      <c r="I97" s="124"/>
      <c r="L97" s="124"/>
      <c r="O97" s="124"/>
      <c r="R97" s="124"/>
    </row>
    <row r="98" spans="9:18" s="68" customFormat="1" x14ac:dyDescent="0.25">
      <c r="I98" s="124"/>
      <c r="L98" s="124"/>
      <c r="O98" s="124"/>
      <c r="R98" s="124"/>
    </row>
    <row r="99" spans="9:18" s="68" customFormat="1" x14ac:dyDescent="0.25">
      <c r="I99" s="124"/>
      <c r="L99" s="124"/>
      <c r="O99" s="124"/>
      <c r="R99" s="124"/>
    </row>
    <row r="100" spans="9:18" s="68" customFormat="1" x14ac:dyDescent="0.25">
      <c r="I100" s="124"/>
      <c r="L100" s="124"/>
      <c r="O100" s="124"/>
      <c r="R100" s="124"/>
    </row>
    <row r="101" spans="9:18" s="68" customFormat="1" x14ac:dyDescent="0.25">
      <c r="I101" s="124"/>
      <c r="L101" s="124"/>
      <c r="O101" s="124"/>
      <c r="R101" s="124"/>
    </row>
    <row r="102" spans="9:18" s="68" customFormat="1" x14ac:dyDescent="0.25">
      <c r="I102" s="124"/>
      <c r="L102" s="124"/>
      <c r="O102" s="124"/>
      <c r="R102" s="124"/>
    </row>
    <row r="103" spans="9:18" s="68" customFormat="1" x14ac:dyDescent="0.25">
      <c r="I103" s="124"/>
      <c r="L103" s="124"/>
      <c r="O103" s="124"/>
      <c r="R103" s="124"/>
    </row>
    <row r="104" spans="9:18" s="68" customFormat="1" x14ac:dyDescent="0.25">
      <c r="I104" s="124"/>
      <c r="L104" s="124"/>
      <c r="O104" s="124"/>
      <c r="R104" s="124"/>
    </row>
    <row r="105" spans="9:18" s="68" customFormat="1" x14ac:dyDescent="0.25">
      <c r="I105" s="124"/>
      <c r="L105" s="124"/>
      <c r="O105" s="124"/>
      <c r="R105" s="124"/>
    </row>
    <row r="106" spans="9:18" s="68" customFormat="1" x14ac:dyDescent="0.25">
      <c r="I106" s="124"/>
      <c r="L106" s="124"/>
      <c r="O106" s="124"/>
      <c r="R106" s="124"/>
    </row>
    <row r="107" spans="9:18" s="68" customFormat="1" x14ac:dyDescent="0.25">
      <c r="I107" s="124"/>
      <c r="L107" s="124"/>
      <c r="O107" s="124"/>
      <c r="R107" s="124"/>
    </row>
    <row r="108" spans="9:18" s="68" customFormat="1" x14ac:dyDescent="0.25">
      <c r="I108" s="124"/>
      <c r="L108" s="124"/>
      <c r="O108" s="124"/>
      <c r="R108" s="124"/>
    </row>
    <row r="109" spans="9:18" s="68" customFormat="1" x14ac:dyDescent="0.25">
      <c r="I109" s="124"/>
      <c r="L109" s="124"/>
      <c r="O109" s="124"/>
      <c r="R109" s="124"/>
    </row>
    <row r="110" spans="9:18" s="68" customFormat="1" x14ac:dyDescent="0.25">
      <c r="I110" s="124"/>
      <c r="L110" s="124"/>
      <c r="O110" s="124"/>
      <c r="R110" s="124"/>
    </row>
    <row r="111" spans="9:18" s="68" customFormat="1" x14ac:dyDescent="0.25">
      <c r="I111" s="124"/>
      <c r="L111" s="124"/>
      <c r="O111" s="124"/>
      <c r="R111" s="124"/>
    </row>
    <row r="112" spans="9:18" s="68" customFormat="1" x14ac:dyDescent="0.25">
      <c r="I112" s="124"/>
      <c r="L112" s="124"/>
      <c r="O112" s="124"/>
      <c r="R112" s="124"/>
    </row>
    <row r="113" spans="9:18" s="68" customFormat="1" x14ac:dyDescent="0.25">
      <c r="I113" s="124"/>
      <c r="L113" s="124"/>
      <c r="O113" s="124"/>
      <c r="R113" s="124"/>
    </row>
    <row r="114" spans="9:18" s="68" customFormat="1" x14ac:dyDescent="0.25">
      <c r="I114" s="124"/>
      <c r="L114" s="124"/>
      <c r="O114" s="124"/>
      <c r="R114" s="124"/>
    </row>
    <row r="115" spans="9:18" s="68" customFormat="1" x14ac:dyDescent="0.25">
      <c r="I115" s="124"/>
      <c r="L115" s="124"/>
      <c r="O115" s="124"/>
      <c r="R115" s="124"/>
    </row>
    <row r="116" spans="9:18" s="68" customFormat="1" x14ac:dyDescent="0.25">
      <c r="I116" s="124"/>
      <c r="L116" s="124"/>
      <c r="O116" s="124"/>
      <c r="R116" s="124"/>
    </row>
    <row r="117" spans="9:18" s="68" customFormat="1" x14ac:dyDescent="0.25">
      <c r="I117" s="124"/>
      <c r="L117" s="124"/>
      <c r="O117" s="124"/>
      <c r="R117" s="124"/>
    </row>
    <row r="118" spans="9:18" s="68" customFormat="1" x14ac:dyDescent="0.25">
      <c r="I118" s="124"/>
      <c r="L118" s="124"/>
      <c r="O118" s="124"/>
      <c r="R118" s="124"/>
    </row>
    <row r="119" spans="9:18" s="68" customFormat="1" x14ac:dyDescent="0.25">
      <c r="I119" s="124"/>
      <c r="L119" s="124"/>
      <c r="O119" s="124"/>
      <c r="R119" s="124"/>
    </row>
    <row r="120" spans="9:18" s="68" customFormat="1" x14ac:dyDescent="0.25">
      <c r="I120" s="124"/>
      <c r="L120" s="124"/>
      <c r="O120" s="124"/>
      <c r="R120" s="124"/>
    </row>
    <row r="121" spans="9:18" s="68" customFormat="1" x14ac:dyDescent="0.25">
      <c r="I121" s="124"/>
      <c r="L121" s="124"/>
      <c r="O121" s="124"/>
      <c r="R121" s="124"/>
    </row>
    <row r="122" spans="9:18" s="68" customFormat="1" x14ac:dyDescent="0.25">
      <c r="I122" s="124"/>
      <c r="L122" s="124"/>
      <c r="O122" s="124"/>
      <c r="R122" s="124"/>
    </row>
    <row r="123" spans="9:18" s="68" customFormat="1" x14ac:dyDescent="0.25">
      <c r="I123" s="124"/>
      <c r="L123" s="124"/>
      <c r="O123" s="124"/>
      <c r="R123" s="124"/>
    </row>
    <row r="124" spans="9:18" s="68" customFormat="1" x14ac:dyDescent="0.25">
      <c r="I124" s="124"/>
      <c r="L124" s="124"/>
      <c r="O124" s="124"/>
      <c r="R124" s="124"/>
    </row>
    <row r="125" spans="9:18" s="68" customFormat="1" x14ac:dyDescent="0.25">
      <c r="I125" s="124"/>
      <c r="L125" s="124"/>
      <c r="O125" s="124"/>
      <c r="R125" s="124"/>
    </row>
    <row r="126" spans="9:18" s="68" customFormat="1" x14ac:dyDescent="0.25">
      <c r="I126" s="124"/>
      <c r="L126" s="124"/>
      <c r="O126" s="124"/>
      <c r="R126" s="124"/>
    </row>
    <row r="127" spans="9:18" s="68" customFormat="1" x14ac:dyDescent="0.25">
      <c r="I127" s="124"/>
      <c r="L127" s="124"/>
      <c r="O127" s="124"/>
      <c r="R127" s="124"/>
    </row>
    <row r="128" spans="9:18" s="68" customFormat="1" x14ac:dyDescent="0.25">
      <c r="I128" s="124"/>
      <c r="L128" s="124"/>
      <c r="O128" s="124"/>
      <c r="R128" s="124"/>
    </row>
    <row r="129" spans="9:18" s="68" customFormat="1" x14ac:dyDescent="0.25">
      <c r="I129" s="124"/>
      <c r="L129" s="124"/>
      <c r="O129" s="124"/>
      <c r="R129" s="124"/>
    </row>
    <row r="130" spans="9:18" s="68" customFormat="1" x14ac:dyDescent="0.25">
      <c r="I130" s="124"/>
      <c r="L130" s="124"/>
      <c r="O130" s="124"/>
      <c r="R130" s="124"/>
    </row>
    <row r="131" spans="9:18" s="68" customFormat="1" x14ac:dyDescent="0.25">
      <c r="I131" s="124"/>
      <c r="L131" s="124"/>
      <c r="O131" s="124"/>
      <c r="R131" s="124"/>
    </row>
    <row r="132" spans="9:18" s="68" customFormat="1" x14ac:dyDescent="0.25">
      <c r="I132" s="124"/>
      <c r="L132" s="124"/>
      <c r="O132" s="124"/>
      <c r="R132" s="124"/>
    </row>
    <row r="133" spans="9:18" s="68" customFormat="1" x14ac:dyDescent="0.25">
      <c r="I133" s="124"/>
      <c r="L133" s="124"/>
      <c r="O133" s="124"/>
      <c r="R133" s="124"/>
    </row>
    <row r="134" spans="9:18" s="68" customFormat="1" x14ac:dyDescent="0.25">
      <c r="I134" s="124"/>
      <c r="L134" s="124"/>
      <c r="O134" s="124"/>
      <c r="R134" s="124"/>
    </row>
    <row r="135" spans="9:18" s="68" customFormat="1" x14ac:dyDescent="0.25">
      <c r="I135" s="124"/>
      <c r="L135" s="124"/>
      <c r="O135" s="124"/>
      <c r="R135" s="124"/>
    </row>
    <row r="136" spans="9:18" s="68" customFormat="1" x14ac:dyDescent="0.25">
      <c r="I136" s="124"/>
      <c r="L136" s="124"/>
      <c r="O136" s="124"/>
      <c r="R136" s="124"/>
    </row>
    <row r="137" spans="9:18" s="68" customFormat="1" x14ac:dyDescent="0.25">
      <c r="I137" s="124"/>
      <c r="L137" s="124"/>
      <c r="O137" s="124"/>
      <c r="R137" s="124"/>
    </row>
    <row r="138" spans="9:18" s="68" customFormat="1" x14ac:dyDescent="0.25">
      <c r="I138" s="124"/>
      <c r="L138" s="124"/>
      <c r="O138" s="124"/>
      <c r="R138" s="124"/>
    </row>
    <row r="139" spans="9:18" s="68" customFormat="1" x14ac:dyDescent="0.25">
      <c r="I139" s="124"/>
      <c r="L139" s="124"/>
      <c r="O139" s="124"/>
      <c r="R139" s="124"/>
    </row>
    <row r="140" spans="9:18" s="68" customFormat="1" x14ac:dyDescent="0.25">
      <c r="I140" s="124"/>
      <c r="L140" s="124"/>
      <c r="O140" s="124"/>
      <c r="R140" s="124"/>
    </row>
    <row r="141" spans="9:18" s="68" customFormat="1" x14ac:dyDescent="0.25">
      <c r="I141" s="124"/>
      <c r="L141" s="124"/>
      <c r="O141" s="124"/>
      <c r="R141" s="124"/>
    </row>
    <row r="142" spans="9:18" s="68" customFormat="1" x14ac:dyDescent="0.25">
      <c r="I142" s="124"/>
      <c r="L142" s="124"/>
      <c r="O142" s="124"/>
      <c r="R142" s="124"/>
    </row>
    <row r="143" spans="9:18" s="68" customFormat="1" x14ac:dyDescent="0.25">
      <c r="I143" s="124"/>
      <c r="L143" s="124"/>
      <c r="O143" s="124"/>
      <c r="R143" s="124"/>
    </row>
    <row r="144" spans="9:18" s="68" customFormat="1" x14ac:dyDescent="0.25">
      <c r="I144" s="124"/>
      <c r="L144" s="124"/>
      <c r="O144" s="124"/>
      <c r="R144" s="124"/>
    </row>
    <row r="145" spans="9:18" s="68" customFormat="1" x14ac:dyDescent="0.25">
      <c r="I145" s="124"/>
      <c r="L145" s="124"/>
      <c r="O145" s="124"/>
      <c r="R145" s="124"/>
    </row>
    <row r="146" spans="9:18" s="68" customFormat="1" x14ac:dyDescent="0.25">
      <c r="I146" s="124"/>
      <c r="L146" s="124"/>
      <c r="O146" s="124"/>
      <c r="R146" s="124"/>
    </row>
    <row r="147" spans="9:18" s="68" customFormat="1" x14ac:dyDescent="0.25">
      <c r="I147" s="124"/>
      <c r="L147" s="124"/>
      <c r="O147" s="124"/>
      <c r="R147" s="124"/>
    </row>
    <row r="148" spans="9:18" s="68" customFormat="1" x14ac:dyDescent="0.25">
      <c r="I148" s="124"/>
      <c r="L148" s="124"/>
      <c r="O148" s="124"/>
      <c r="R148" s="124"/>
    </row>
    <row r="149" spans="9:18" s="68" customFormat="1" x14ac:dyDescent="0.25">
      <c r="I149" s="124"/>
      <c r="L149" s="124"/>
      <c r="O149" s="124"/>
      <c r="R149" s="124"/>
    </row>
    <row r="150" spans="9:18" s="68" customFormat="1" x14ac:dyDescent="0.25">
      <c r="I150" s="124"/>
      <c r="L150" s="124"/>
      <c r="O150" s="124"/>
      <c r="R150" s="124"/>
    </row>
    <row r="151" spans="9:18" s="68" customFormat="1" x14ac:dyDescent="0.25">
      <c r="I151" s="124"/>
      <c r="L151" s="124"/>
      <c r="O151" s="124"/>
      <c r="R151" s="124"/>
    </row>
    <row r="152" spans="9:18" s="68" customFormat="1" x14ac:dyDescent="0.25">
      <c r="I152" s="124"/>
      <c r="L152" s="124"/>
      <c r="O152" s="124"/>
      <c r="R152" s="124"/>
    </row>
    <row r="153" spans="9:18" s="68" customFormat="1" x14ac:dyDescent="0.25">
      <c r="I153" s="124"/>
      <c r="L153" s="124"/>
      <c r="O153" s="124"/>
      <c r="R153" s="124"/>
    </row>
    <row r="154" spans="9:18" s="68" customFormat="1" x14ac:dyDescent="0.25">
      <c r="I154" s="124"/>
      <c r="L154" s="124"/>
      <c r="O154" s="124"/>
      <c r="R154" s="124"/>
    </row>
    <row r="155" spans="9:18" s="68" customFormat="1" x14ac:dyDescent="0.25">
      <c r="I155" s="124"/>
      <c r="L155" s="124"/>
      <c r="O155" s="124"/>
      <c r="R155" s="124"/>
    </row>
    <row r="156" spans="9:18" s="68" customFormat="1" x14ac:dyDescent="0.25">
      <c r="I156" s="124"/>
      <c r="L156" s="124"/>
      <c r="O156" s="124"/>
      <c r="R156" s="124"/>
    </row>
    <row r="157" spans="9:18" s="68" customFormat="1" x14ac:dyDescent="0.25">
      <c r="I157" s="124"/>
      <c r="L157" s="124"/>
      <c r="O157" s="124"/>
      <c r="R157" s="124"/>
    </row>
    <row r="158" spans="9:18" s="68" customFormat="1" x14ac:dyDescent="0.25">
      <c r="I158" s="124"/>
      <c r="L158" s="124"/>
      <c r="O158" s="124"/>
      <c r="R158" s="124"/>
    </row>
    <row r="159" spans="9:18" s="68" customFormat="1" x14ac:dyDescent="0.25">
      <c r="I159" s="124"/>
      <c r="L159" s="124"/>
      <c r="O159" s="124"/>
      <c r="R159" s="124"/>
    </row>
    <row r="160" spans="9:18" s="68" customFormat="1" x14ac:dyDescent="0.25">
      <c r="I160" s="124"/>
      <c r="L160" s="124"/>
      <c r="O160" s="124"/>
      <c r="R160" s="124"/>
    </row>
    <row r="161" spans="9:18" s="68" customFormat="1" x14ac:dyDescent="0.25">
      <c r="I161" s="124"/>
      <c r="L161" s="124"/>
      <c r="O161" s="124"/>
      <c r="R161" s="124"/>
    </row>
    <row r="162" spans="9:18" s="68" customFormat="1" x14ac:dyDescent="0.25">
      <c r="I162" s="124"/>
      <c r="L162" s="124"/>
      <c r="O162" s="124"/>
      <c r="R162" s="124"/>
    </row>
    <row r="163" spans="9:18" s="68" customFormat="1" x14ac:dyDescent="0.25">
      <c r="I163" s="124"/>
      <c r="L163" s="124"/>
      <c r="O163" s="124"/>
      <c r="R163" s="124"/>
    </row>
    <row r="164" spans="9:18" s="68" customFormat="1" x14ac:dyDescent="0.25">
      <c r="I164" s="124"/>
      <c r="L164" s="124"/>
      <c r="O164" s="124"/>
      <c r="R164" s="124"/>
    </row>
    <row r="165" spans="9:18" s="68" customFormat="1" x14ac:dyDescent="0.25">
      <c r="I165" s="124"/>
      <c r="L165" s="124"/>
      <c r="O165" s="124"/>
      <c r="R165" s="124"/>
    </row>
    <row r="166" spans="9:18" s="68" customFormat="1" x14ac:dyDescent="0.25">
      <c r="I166" s="124"/>
      <c r="L166" s="124"/>
      <c r="O166" s="124"/>
      <c r="R166" s="124"/>
    </row>
    <row r="167" spans="9:18" s="68" customFormat="1" x14ac:dyDescent="0.25">
      <c r="I167" s="124"/>
      <c r="L167" s="124"/>
      <c r="O167" s="124"/>
      <c r="R167" s="124"/>
    </row>
    <row r="168" spans="9:18" s="68" customFormat="1" x14ac:dyDescent="0.25">
      <c r="I168" s="124"/>
      <c r="L168" s="124"/>
      <c r="O168" s="124"/>
      <c r="R168" s="124"/>
    </row>
    <row r="169" spans="9:18" s="68" customFormat="1" x14ac:dyDescent="0.25">
      <c r="I169" s="124"/>
      <c r="L169" s="124"/>
      <c r="O169" s="124"/>
      <c r="R169" s="124"/>
    </row>
    <row r="170" spans="9:18" s="68" customFormat="1" x14ac:dyDescent="0.25">
      <c r="I170" s="124"/>
      <c r="L170" s="124"/>
      <c r="O170" s="124"/>
      <c r="R170" s="124"/>
    </row>
    <row r="171" spans="9:18" s="68" customFormat="1" x14ac:dyDescent="0.25">
      <c r="I171" s="124"/>
      <c r="L171" s="124"/>
      <c r="O171" s="124"/>
      <c r="R171" s="124"/>
    </row>
    <row r="172" spans="9:18" s="68" customFormat="1" x14ac:dyDescent="0.25">
      <c r="I172" s="124"/>
      <c r="L172" s="124"/>
      <c r="O172" s="124"/>
      <c r="R172" s="124"/>
    </row>
    <row r="173" spans="9:18" s="68" customFormat="1" x14ac:dyDescent="0.25">
      <c r="I173" s="124"/>
      <c r="L173" s="124"/>
      <c r="O173" s="124"/>
      <c r="R173" s="124"/>
    </row>
    <row r="174" spans="9:18" s="68" customFormat="1" x14ac:dyDescent="0.25">
      <c r="I174" s="124"/>
      <c r="L174" s="124"/>
      <c r="O174" s="124"/>
      <c r="R174" s="124"/>
    </row>
    <row r="175" spans="9:18" s="68" customFormat="1" x14ac:dyDescent="0.25">
      <c r="I175" s="124"/>
      <c r="L175" s="124"/>
      <c r="O175" s="124"/>
      <c r="R175" s="124"/>
    </row>
    <row r="176" spans="9:18" s="68" customFormat="1" x14ac:dyDescent="0.25">
      <c r="I176" s="124"/>
      <c r="L176" s="124"/>
      <c r="O176" s="124"/>
      <c r="R176" s="124"/>
    </row>
    <row r="177" spans="9:18" s="68" customFormat="1" x14ac:dyDescent="0.25">
      <c r="I177" s="124"/>
      <c r="L177" s="124"/>
      <c r="O177" s="124"/>
      <c r="R177" s="124"/>
    </row>
    <row r="178" spans="9:18" s="68" customFormat="1" x14ac:dyDescent="0.25">
      <c r="I178" s="124"/>
      <c r="L178" s="124"/>
      <c r="O178" s="124"/>
      <c r="R178" s="124"/>
    </row>
    <row r="179" spans="9:18" s="68" customFormat="1" x14ac:dyDescent="0.25">
      <c r="I179" s="124"/>
      <c r="L179" s="124"/>
      <c r="O179" s="124"/>
      <c r="R179" s="124"/>
    </row>
    <row r="180" spans="9:18" s="68" customFormat="1" x14ac:dyDescent="0.25">
      <c r="I180" s="124"/>
      <c r="L180" s="124"/>
      <c r="O180" s="124"/>
      <c r="R180" s="124"/>
    </row>
    <row r="181" spans="9:18" s="68" customFormat="1" x14ac:dyDescent="0.25">
      <c r="I181" s="124"/>
      <c r="L181" s="124"/>
      <c r="O181" s="124"/>
      <c r="R181" s="124"/>
    </row>
    <row r="182" spans="9:18" s="68" customFormat="1" x14ac:dyDescent="0.25">
      <c r="I182" s="124"/>
      <c r="L182" s="124"/>
      <c r="O182" s="124"/>
      <c r="R182" s="124"/>
    </row>
    <row r="183" spans="9:18" s="68" customFormat="1" x14ac:dyDescent="0.25">
      <c r="I183" s="124"/>
      <c r="L183" s="124"/>
      <c r="O183" s="124"/>
      <c r="R183" s="124"/>
    </row>
    <row r="184" spans="9:18" s="68" customFormat="1" x14ac:dyDescent="0.25">
      <c r="I184" s="124"/>
      <c r="L184" s="124"/>
      <c r="O184" s="124"/>
      <c r="R184" s="124"/>
    </row>
    <row r="185" spans="9:18" s="68" customFormat="1" x14ac:dyDescent="0.25">
      <c r="I185" s="124"/>
      <c r="L185" s="124"/>
      <c r="O185" s="124"/>
      <c r="R185" s="124"/>
    </row>
    <row r="186" spans="9:18" s="68" customFormat="1" x14ac:dyDescent="0.25">
      <c r="I186" s="124"/>
      <c r="L186" s="124"/>
      <c r="O186" s="124"/>
      <c r="R186" s="124"/>
    </row>
    <row r="187" spans="9:18" s="68" customFormat="1" x14ac:dyDescent="0.25">
      <c r="I187" s="124"/>
      <c r="L187" s="124"/>
      <c r="O187" s="124"/>
      <c r="R187" s="124"/>
    </row>
    <row r="188" spans="9:18" s="68" customFormat="1" x14ac:dyDescent="0.25">
      <c r="I188" s="124"/>
      <c r="L188" s="124"/>
      <c r="O188" s="124"/>
      <c r="R188" s="124"/>
    </row>
    <row r="189" spans="9:18" s="68" customFormat="1" x14ac:dyDescent="0.25">
      <c r="I189" s="124"/>
      <c r="L189" s="124"/>
      <c r="O189" s="124"/>
      <c r="R189" s="124"/>
    </row>
    <row r="190" spans="9:18" s="68" customFormat="1" x14ac:dyDescent="0.25">
      <c r="I190" s="124"/>
      <c r="L190" s="124"/>
      <c r="O190" s="124"/>
      <c r="R190" s="124"/>
    </row>
    <row r="191" spans="9:18" s="68" customFormat="1" x14ac:dyDescent="0.25">
      <c r="I191" s="124"/>
      <c r="L191" s="124"/>
      <c r="O191" s="124"/>
      <c r="R191" s="124"/>
    </row>
    <row r="192" spans="9:18" s="68" customFormat="1" x14ac:dyDescent="0.25">
      <c r="I192" s="124"/>
      <c r="L192" s="124"/>
      <c r="O192" s="124"/>
      <c r="R192" s="124"/>
    </row>
    <row r="193" spans="9:18" s="68" customFormat="1" x14ac:dyDescent="0.25">
      <c r="I193" s="124"/>
      <c r="L193" s="124"/>
      <c r="O193" s="124"/>
      <c r="R193" s="124"/>
    </row>
    <row r="194" spans="9:18" s="68" customFormat="1" x14ac:dyDescent="0.25">
      <c r="I194" s="124"/>
      <c r="L194" s="124"/>
      <c r="O194" s="124"/>
      <c r="R194" s="124"/>
    </row>
    <row r="195" spans="9:18" s="68" customFormat="1" x14ac:dyDescent="0.25">
      <c r="I195" s="124"/>
      <c r="L195" s="124"/>
      <c r="O195" s="124"/>
      <c r="R195" s="124"/>
    </row>
    <row r="196" spans="9:18" s="68" customFormat="1" x14ac:dyDescent="0.25">
      <c r="I196" s="124"/>
      <c r="L196" s="124"/>
      <c r="O196" s="124"/>
      <c r="R196" s="124"/>
    </row>
    <row r="197" spans="9:18" s="68" customFormat="1" x14ac:dyDescent="0.25">
      <c r="I197" s="124"/>
      <c r="L197" s="124"/>
      <c r="O197" s="124"/>
      <c r="R197" s="124"/>
    </row>
    <row r="198" spans="9:18" s="68" customFormat="1" x14ac:dyDescent="0.25">
      <c r="I198" s="124"/>
      <c r="L198" s="124"/>
      <c r="O198" s="124"/>
      <c r="R198" s="124"/>
    </row>
    <row r="199" spans="9:18" s="68" customFormat="1" x14ac:dyDescent="0.25">
      <c r="I199" s="124"/>
      <c r="L199" s="124"/>
      <c r="O199" s="124"/>
      <c r="R199" s="124"/>
    </row>
    <row r="200" spans="9:18" s="68" customFormat="1" x14ac:dyDescent="0.25">
      <c r="I200" s="124"/>
      <c r="L200" s="124"/>
      <c r="O200" s="124"/>
      <c r="R200" s="124"/>
    </row>
    <row r="201" spans="9:18" s="68" customFormat="1" x14ac:dyDescent="0.25">
      <c r="I201" s="124"/>
      <c r="L201" s="124"/>
      <c r="O201" s="124"/>
      <c r="R201" s="124"/>
    </row>
    <row r="202" spans="9:18" s="68" customFormat="1" x14ac:dyDescent="0.25">
      <c r="I202" s="124"/>
      <c r="L202" s="124"/>
      <c r="O202" s="124"/>
      <c r="R202" s="124"/>
    </row>
    <row r="203" spans="9:18" s="68" customFormat="1" x14ac:dyDescent="0.25">
      <c r="I203" s="124"/>
      <c r="L203" s="124"/>
      <c r="O203" s="124"/>
      <c r="R203" s="124"/>
    </row>
    <row r="204" spans="9:18" s="68" customFormat="1" x14ac:dyDescent="0.25">
      <c r="I204" s="124"/>
      <c r="L204" s="124"/>
      <c r="O204" s="124"/>
      <c r="R204" s="124"/>
    </row>
    <row r="205" spans="9:18" s="68" customFormat="1" x14ac:dyDescent="0.25">
      <c r="I205" s="124"/>
      <c r="L205" s="124"/>
      <c r="O205" s="124"/>
      <c r="R205" s="124"/>
    </row>
    <row r="206" spans="9:18" s="68" customFormat="1" x14ac:dyDescent="0.25">
      <c r="I206" s="124"/>
      <c r="L206" s="124"/>
      <c r="O206" s="124"/>
      <c r="R206" s="124"/>
    </row>
    <row r="207" spans="9:18" s="68" customFormat="1" x14ac:dyDescent="0.25">
      <c r="I207" s="124"/>
      <c r="L207" s="124"/>
      <c r="O207" s="124"/>
      <c r="R207" s="124"/>
    </row>
    <row r="208" spans="9:18" s="68" customFormat="1" x14ac:dyDescent="0.25">
      <c r="I208" s="124"/>
      <c r="L208" s="124"/>
      <c r="O208" s="124"/>
      <c r="R208" s="124"/>
    </row>
    <row r="209" spans="9:18" s="68" customFormat="1" x14ac:dyDescent="0.25">
      <c r="I209" s="124"/>
      <c r="L209" s="124"/>
      <c r="O209" s="124"/>
      <c r="R209" s="124"/>
    </row>
    <row r="210" spans="9:18" s="68" customFormat="1" x14ac:dyDescent="0.25">
      <c r="I210" s="124"/>
      <c r="L210" s="124"/>
      <c r="O210" s="124"/>
      <c r="R210" s="124"/>
    </row>
    <row r="211" spans="9:18" s="68" customFormat="1" x14ac:dyDescent="0.25">
      <c r="I211" s="124"/>
      <c r="L211" s="124"/>
      <c r="O211" s="124"/>
      <c r="R211" s="124"/>
    </row>
    <row r="212" spans="9:18" s="68" customFormat="1" x14ac:dyDescent="0.25">
      <c r="I212" s="124"/>
      <c r="L212" s="124"/>
      <c r="O212" s="124"/>
      <c r="R212" s="124"/>
    </row>
    <row r="213" spans="9:18" s="68" customFormat="1" x14ac:dyDescent="0.25">
      <c r="I213" s="124"/>
      <c r="L213" s="124"/>
      <c r="O213" s="124"/>
      <c r="R213" s="124"/>
    </row>
    <row r="214" spans="9:18" s="68" customFormat="1" x14ac:dyDescent="0.25">
      <c r="I214" s="124"/>
      <c r="L214" s="124"/>
      <c r="O214" s="124"/>
      <c r="R214" s="124"/>
    </row>
    <row r="215" spans="9:18" s="68" customFormat="1" x14ac:dyDescent="0.25">
      <c r="I215" s="124"/>
      <c r="L215" s="124"/>
      <c r="O215" s="124"/>
      <c r="R215" s="124"/>
    </row>
    <row r="216" spans="9:18" s="68" customFormat="1" x14ac:dyDescent="0.25">
      <c r="I216" s="124"/>
      <c r="L216" s="124"/>
      <c r="O216" s="124"/>
      <c r="R216" s="124"/>
    </row>
    <row r="217" spans="9:18" s="68" customFormat="1" x14ac:dyDescent="0.25">
      <c r="I217" s="124"/>
      <c r="L217" s="124"/>
      <c r="O217" s="124"/>
      <c r="R217" s="124"/>
    </row>
    <row r="218" spans="9:18" s="68" customFormat="1" x14ac:dyDescent="0.25">
      <c r="I218" s="124"/>
      <c r="L218" s="124"/>
      <c r="O218" s="124"/>
      <c r="R218" s="124"/>
    </row>
    <row r="219" spans="9:18" s="68" customFormat="1" x14ac:dyDescent="0.25">
      <c r="I219" s="124"/>
      <c r="L219" s="124"/>
      <c r="O219" s="124"/>
      <c r="R219" s="124"/>
    </row>
    <row r="220" spans="9:18" s="68" customFormat="1" x14ac:dyDescent="0.25">
      <c r="I220" s="124"/>
      <c r="L220" s="124"/>
      <c r="O220" s="124"/>
      <c r="R220" s="124"/>
    </row>
    <row r="221" spans="9:18" s="68" customFormat="1" x14ac:dyDescent="0.25">
      <c r="I221" s="124"/>
      <c r="L221" s="124"/>
      <c r="O221" s="124"/>
      <c r="R221" s="124"/>
    </row>
    <row r="222" spans="9:18" s="68" customFormat="1" x14ac:dyDescent="0.25">
      <c r="I222" s="124"/>
      <c r="L222" s="124"/>
      <c r="O222" s="124"/>
      <c r="R222" s="124"/>
    </row>
    <row r="223" spans="9:18" s="68" customFormat="1" x14ac:dyDescent="0.25">
      <c r="I223" s="124"/>
      <c r="L223" s="124"/>
      <c r="O223" s="124"/>
      <c r="R223" s="124"/>
    </row>
    <row r="224" spans="9:18" s="68" customFormat="1" x14ac:dyDescent="0.25">
      <c r="I224" s="124"/>
      <c r="L224" s="124"/>
      <c r="O224" s="124"/>
      <c r="R224" s="124"/>
    </row>
    <row r="225" spans="9:18" s="68" customFormat="1" x14ac:dyDescent="0.25">
      <c r="I225" s="124"/>
      <c r="L225" s="124"/>
      <c r="O225" s="124"/>
      <c r="R225" s="124"/>
    </row>
    <row r="226" spans="9:18" s="68" customFormat="1" x14ac:dyDescent="0.25">
      <c r="I226" s="124"/>
      <c r="L226" s="124"/>
      <c r="O226" s="124"/>
      <c r="R226" s="124"/>
    </row>
    <row r="227" spans="9:18" s="68" customFormat="1" x14ac:dyDescent="0.25">
      <c r="I227" s="124"/>
      <c r="L227" s="124"/>
      <c r="O227" s="124"/>
      <c r="R227" s="124"/>
    </row>
    <row r="228" spans="9:18" s="68" customFormat="1" x14ac:dyDescent="0.25">
      <c r="I228" s="124"/>
      <c r="L228" s="124"/>
      <c r="O228" s="124"/>
      <c r="R228" s="124"/>
    </row>
    <row r="229" spans="9:18" s="68" customFormat="1" x14ac:dyDescent="0.25">
      <c r="I229" s="124"/>
      <c r="L229" s="124"/>
      <c r="O229" s="124"/>
      <c r="R229" s="124"/>
    </row>
    <row r="230" spans="9:18" s="68" customFormat="1" x14ac:dyDescent="0.25">
      <c r="I230" s="124"/>
      <c r="L230" s="124"/>
      <c r="O230" s="124"/>
      <c r="R230" s="124"/>
    </row>
    <row r="231" spans="9:18" s="68" customFormat="1" x14ac:dyDescent="0.25">
      <c r="I231" s="124"/>
      <c r="L231" s="124"/>
      <c r="O231" s="124"/>
      <c r="R231" s="124"/>
    </row>
    <row r="232" spans="9:18" s="68" customFormat="1" x14ac:dyDescent="0.25">
      <c r="I232" s="124"/>
      <c r="L232" s="124"/>
      <c r="O232" s="124"/>
      <c r="R232" s="124"/>
    </row>
    <row r="233" spans="9:18" s="68" customFormat="1" x14ac:dyDescent="0.25">
      <c r="I233" s="124"/>
      <c r="L233" s="124"/>
      <c r="O233" s="124"/>
      <c r="R233" s="124"/>
    </row>
    <row r="234" spans="9:18" s="68" customFormat="1" x14ac:dyDescent="0.25">
      <c r="I234" s="124"/>
      <c r="L234" s="124"/>
      <c r="O234" s="124"/>
      <c r="R234" s="124"/>
    </row>
    <row r="235" spans="9:18" s="68" customFormat="1" x14ac:dyDescent="0.25">
      <c r="I235" s="124"/>
      <c r="L235" s="124"/>
      <c r="O235" s="124"/>
      <c r="R235" s="124"/>
    </row>
    <row r="236" spans="9:18" s="68" customFormat="1" x14ac:dyDescent="0.25">
      <c r="I236" s="124"/>
      <c r="L236" s="124"/>
      <c r="O236" s="124"/>
      <c r="R236" s="124"/>
    </row>
    <row r="237" spans="9:18" s="68" customFormat="1" x14ac:dyDescent="0.25">
      <c r="I237" s="124"/>
      <c r="L237" s="124"/>
      <c r="O237" s="124"/>
      <c r="R237" s="124"/>
    </row>
    <row r="238" spans="9:18" s="68" customFormat="1" x14ac:dyDescent="0.25">
      <c r="I238" s="124"/>
      <c r="L238" s="124"/>
      <c r="O238" s="124"/>
      <c r="R238" s="124"/>
    </row>
    <row r="239" spans="9:18" s="68" customFormat="1" x14ac:dyDescent="0.25">
      <c r="I239" s="124"/>
      <c r="L239" s="124"/>
      <c r="O239" s="124"/>
      <c r="R239" s="124"/>
    </row>
    <row r="240" spans="9:18" s="68" customFormat="1" x14ac:dyDescent="0.25">
      <c r="I240" s="124"/>
      <c r="L240" s="124"/>
      <c r="O240" s="124"/>
      <c r="R240" s="124"/>
    </row>
    <row r="241" spans="9:18" s="68" customFormat="1" x14ac:dyDescent="0.25">
      <c r="I241" s="124"/>
      <c r="L241" s="124"/>
      <c r="O241" s="124"/>
      <c r="R241" s="124"/>
    </row>
    <row r="242" spans="9:18" s="68" customFormat="1" x14ac:dyDescent="0.25">
      <c r="I242" s="124"/>
      <c r="L242" s="124"/>
      <c r="O242" s="124"/>
      <c r="R242" s="124"/>
    </row>
    <row r="243" spans="9:18" s="68" customFormat="1" x14ac:dyDescent="0.25">
      <c r="I243" s="124"/>
      <c r="L243" s="124"/>
      <c r="O243" s="124"/>
      <c r="R243" s="124"/>
    </row>
    <row r="244" spans="9:18" s="68" customFormat="1" x14ac:dyDescent="0.25">
      <c r="I244" s="124"/>
      <c r="L244" s="124"/>
      <c r="O244" s="124"/>
      <c r="R244" s="124"/>
    </row>
    <row r="245" spans="9:18" s="68" customFormat="1" x14ac:dyDescent="0.25">
      <c r="I245" s="124"/>
      <c r="L245" s="124"/>
      <c r="O245" s="124"/>
      <c r="R245" s="124"/>
    </row>
    <row r="246" spans="9:18" s="68" customFormat="1" x14ac:dyDescent="0.25">
      <c r="I246" s="124"/>
      <c r="L246" s="124"/>
      <c r="O246" s="124"/>
      <c r="R246" s="124"/>
    </row>
    <row r="247" spans="9:18" s="68" customFormat="1" x14ac:dyDescent="0.25">
      <c r="I247" s="124"/>
      <c r="L247" s="124"/>
      <c r="O247" s="124"/>
      <c r="R247" s="124"/>
    </row>
    <row r="248" spans="9:18" s="68" customFormat="1" x14ac:dyDescent="0.25">
      <c r="I248" s="124"/>
      <c r="L248" s="124"/>
      <c r="O248" s="124"/>
      <c r="R248" s="124"/>
    </row>
    <row r="249" spans="9:18" s="68" customFormat="1" x14ac:dyDescent="0.25">
      <c r="I249" s="124"/>
      <c r="L249" s="124"/>
      <c r="O249" s="124"/>
      <c r="R249" s="124"/>
    </row>
    <row r="250" spans="9:18" s="68" customFormat="1" x14ac:dyDescent="0.25">
      <c r="I250" s="124"/>
      <c r="L250" s="124"/>
      <c r="O250" s="124"/>
      <c r="R250" s="124"/>
    </row>
    <row r="251" spans="9:18" s="68" customFormat="1" x14ac:dyDescent="0.25">
      <c r="I251" s="124"/>
      <c r="L251" s="124"/>
      <c r="O251" s="124"/>
      <c r="R251" s="124"/>
    </row>
    <row r="252" spans="9:18" s="68" customFormat="1" x14ac:dyDescent="0.25">
      <c r="I252" s="124"/>
      <c r="L252" s="124"/>
      <c r="O252" s="124"/>
      <c r="R252" s="124"/>
    </row>
    <row r="253" spans="9:18" s="68" customFormat="1" x14ac:dyDescent="0.25">
      <c r="I253" s="124"/>
      <c r="L253" s="124"/>
      <c r="O253" s="124"/>
      <c r="R253" s="124"/>
    </row>
    <row r="254" spans="9:18" s="68" customFormat="1" x14ac:dyDescent="0.25">
      <c r="I254" s="124"/>
      <c r="L254" s="124"/>
      <c r="O254" s="124"/>
      <c r="R254" s="124"/>
    </row>
    <row r="255" spans="9:18" s="68" customFormat="1" x14ac:dyDescent="0.25">
      <c r="I255" s="124"/>
      <c r="L255" s="124"/>
      <c r="O255" s="124"/>
      <c r="R255" s="124"/>
    </row>
    <row r="256" spans="9:18" s="68" customFormat="1" x14ac:dyDescent="0.25">
      <c r="I256" s="124"/>
      <c r="L256" s="124"/>
      <c r="O256" s="124"/>
      <c r="R256" s="124"/>
    </row>
    <row r="257" spans="9:18" s="68" customFormat="1" x14ac:dyDescent="0.25">
      <c r="I257" s="124"/>
      <c r="L257" s="124"/>
      <c r="O257" s="124"/>
      <c r="R257" s="124"/>
    </row>
    <row r="258" spans="9:18" s="68" customFormat="1" x14ac:dyDescent="0.25">
      <c r="I258" s="124"/>
      <c r="L258" s="124"/>
      <c r="O258" s="124"/>
      <c r="R258" s="124"/>
    </row>
    <row r="259" spans="9:18" s="68" customFormat="1" x14ac:dyDescent="0.25">
      <c r="I259" s="124"/>
      <c r="L259" s="124"/>
      <c r="O259" s="124"/>
      <c r="R259" s="124"/>
    </row>
    <row r="260" spans="9:18" s="68" customFormat="1" x14ac:dyDescent="0.25">
      <c r="I260" s="124"/>
      <c r="L260" s="124"/>
      <c r="O260" s="124"/>
      <c r="R260" s="124"/>
    </row>
    <row r="261" spans="9:18" s="68" customFormat="1" x14ac:dyDescent="0.25">
      <c r="I261" s="124"/>
      <c r="L261" s="124"/>
      <c r="O261" s="124"/>
      <c r="R261" s="124"/>
    </row>
    <row r="262" spans="9:18" s="68" customFormat="1" x14ac:dyDescent="0.25">
      <c r="I262" s="124"/>
      <c r="L262" s="124"/>
      <c r="O262" s="124"/>
      <c r="R262" s="124"/>
    </row>
    <row r="263" spans="9:18" s="68" customFormat="1" x14ac:dyDescent="0.25">
      <c r="I263" s="124"/>
      <c r="L263" s="124"/>
      <c r="O263" s="124"/>
      <c r="R263" s="124"/>
    </row>
    <row r="264" spans="9:18" s="68" customFormat="1" x14ac:dyDescent="0.25">
      <c r="I264" s="124"/>
      <c r="L264" s="124"/>
      <c r="O264" s="124"/>
      <c r="R264" s="124"/>
    </row>
    <row r="265" spans="9:18" s="68" customFormat="1" x14ac:dyDescent="0.25">
      <c r="I265" s="124"/>
      <c r="L265" s="124"/>
      <c r="O265" s="124"/>
      <c r="R265" s="124"/>
    </row>
    <row r="266" spans="9:18" s="68" customFormat="1" x14ac:dyDescent="0.25">
      <c r="I266" s="124"/>
      <c r="L266" s="124"/>
      <c r="O266" s="124"/>
      <c r="R266" s="124"/>
    </row>
    <row r="267" spans="9:18" s="68" customFormat="1" x14ac:dyDescent="0.25">
      <c r="I267" s="124"/>
      <c r="L267" s="124"/>
      <c r="O267" s="124"/>
      <c r="R267" s="124"/>
    </row>
    <row r="268" spans="9:18" s="68" customFormat="1" x14ac:dyDescent="0.25">
      <c r="I268" s="124"/>
      <c r="L268" s="124"/>
      <c r="O268" s="124"/>
      <c r="R268" s="124"/>
    </row>
    <row r="269" spans="9:18" s="68" customFormat="1" x14ac:dyDescent="0.25">
      <c r="I269" s="124"/>
      <c r="L269" s="124"/>
      <c r="O269" s="124"/>
      <c r="R269" s="124"/>
    </row>
    <row r="270" spans="9:18" s="68" customFormat="1" x14ac:dyDescent="0.25">
      <c r="I270" s="124"/>
      <c r="L270" s="124"/>
      <c r="O270" s="124"/>
      <c r="R270" s="124"/>
    </row>
    <row r="271" spans="9:18" s="68" customFormat="1" x14ac:dyDescent="0.25">
      <c r="I271" s="124"/>
      <c r="L271" s="124"/>
      <c r="O271" s="124"/>
      <c r="R271" s="124"/>
    </row>
    <row r="272" spans="9:18" s="68" customFormat="1" x14ac:dyDescent="0.25">
      <c r="I272" s="124"/>
      <c r="L272" s="124"/>
      <c r="O272" s="124"/>
      <c r="R272" s="124"/>
    </row>
    <row r="273" spans="9:18" s="68" customFormat="1" x14ac:dyDescent="0.25">
      <c r="I273" s="124"/>
      <c r="L273" s="124"/>
      <c r="O273" s="124"/>
      <c r="R273" s="124"/>
    </row>
    <row r="274" spans="9:18" s="68" customFormat="1" x14ac:dyDescent="0.25">
      <c r="I274" s="124"/>
      <c r="L274" s="124"/>
      <c r="O274" s="124"/>
      <c r="R274" s="124"/>
    </row>
    <row r="275" spans="9:18" s="68" customFormat="1" x14ac:dyDescent="0.25">
      <c r="I275" s="124"/>
      <c r="L275" s="124"/>
      <c r="O275" s="124"/>
      <c r="R275" s="124"/>
    </row>
    <row r="276" spans="9:18" s="68" customFormat="1" x14ac:dyDescent="0.25">
      <c r="I276" s="124"/>
      <c r="L276" s="124"/>
      <c r="O276" s="124"/>
      <c r="R276" s="124"/>
    </row>
    <row r="277" spans="9:18" s="68" customFormat="1" x14ac:dyDescent="0.25">
      <c r="I277" s="124"/>
      <c r="L277" s="124"/>
      <c r="O277" s="124"/>
      <c r="R277" s="124"/>
    </row>
    <row r="278" spans="9:18" s="68" customFormat="1" x14ac:dyDescent="0.25">
      <c r="I278" s="124"/>
      <c r="L278" s="124"/>
      <c r="O278" s="124"/>
      <c r="R278" s="124"/>
    </row>
    <row r="279" spans="9:18" s="68" customFormat="1" x14ac:dyDescent="0.25">
      <c r="I279" s="124"/>
      <c r="L279" s="124"/>
      <c r="O279" s="124"/>
      <c r="R279" s="124"/>
    </row>
    <row r="280" spans="9:18" s="68" customFormat="1" x14ac:dyDescent="0.25">
      <c r="I280" s="124"/>
      <c r="L280" s="124"/>
      <c r="O280" s="124"/>
      <c r="R280" s="124"/>
    </row>
    <row r="281" spans="9:18" s="68" customFormat="1" x14ac:dyDescent="0.25">
      <c r="I281" s="124"/>
      <c r="L281" s="124"/>
      <c r="O281" s="124"/>
      <c r="R281" s="124"/>
    </row>
    <row r="282" spans="9:18" s="68" customFormat="1" x14ac:dyDescent="0.25">
      <c r="I282" s="124"/>
      <c r="L282" s="124"/>
      <c r="O282" s="124"/>
      <c r="R282" s="124"/>
    </row>
    <row r="283" spans="9:18" s="68" customFormat="1" x14ac:dyDescent="0.25">
      <c r="I283" s="124"/>
      <c r="L283" s="124"/>
      <c r="O283" s="124"/>
      <c r="R283" s="124"/>
    </row>
    <row r="284" spans="9:18" s="68" customFormat="1" x14ac:dyDescent="0.25">
      <c r="I284" s="124"/>
      <c r="L284" s="124"/>
      <c r="O284" s="124"/>
      <c r="R284" s="124"/>
    </row>
    <row r="285" spans="9:18" s="68" customFormat="1" x14ac:dyDescent="0.25">
      <c r="I285" s="124"/>
      <c r="L285" s="124"/>
      <c r="O285" s="124"/>
      <c r="R285" s="124"/>
    </row>
    <row r="286" spans="9:18" s="68" customFormat="1" x14ac:dyDescent="0.25">
      <c r="I286" s="124"/>
      <c r="L286" s="124"/>
      <c r="O286" s="124"/>
      <c r="R286" s="124"/>
    </row>
    <row r="287" spans="9:18" s="68" customFormat="1" x14ac:dyDescent="0.25">
      <c r="I287" s="124"/>
      <c r="L287" s="124"/>
      <c r="O287" s="124"/>
      <c r="R287" s="124"/>
    </row>
    <row r="288" spans="9:18" s="68" customFormat="1" x14ac:dyDescent="0.25">
      <c r="I288" s="124"/>
      <c r="L288" s="124"/>
      <c r="O288" s="124"/>
      <c r="R288" s="124"/>
    </row>
    <row r="289" spans="9:18" s="68" customFormat="1" x14ac:dyDescent="0.25">
      <c r="I289" s="124"/>
      <c r="L289" s="124"/>
      <c r="O289" s="124"/>
      <c r="R289" s="124"/>
    </row>
    <row r="290" spans="9:18" s="68" customFormat="1" x14ac:dyDescent="0.25">
      <c r="I290" s="124"/>
      <c r="L290" s="124"/>
      <c r="O290" s="124"/>
      <c r="R290" s="124"/>
    </row>
    <row r="291" spans="9:18" s="68" customFormat="1" x14ac:dyDescent="0.25">
      <c r="I291" s="124"/>
      <c r="L291" s="124"/>
      <c r="O291" s="124"/>
      <c r="R291" s="124"/>
    </row>
    <row r="292" spans="9:18" s="68" customFormat="1" x14ac:dyDescent="0.25">
      <c r="I292" s="124"/>
      <c r="L292" s="124"/>
      <c r="O292" s="124"/>
      <c r="R292" s="124"/>
    </row>
    <row r="293" spans="9:18" s="68" customFormat="1" x14ac:dyDescent="0.25">
      <c r="I293" s="124"/>
      <c r="L293" s="124"/>
      <c r="O293" s="124"/>
      <c r="R293" s="124"/>
    </row>
    <row r="294" spans="9:18" s="68" customFormat="1" x14ac:dyDescent="0.25">
      <c r="I294" s="124"/>
      <c r="L294" s="124"/>
      <c r="O294" s="124"/>
      <c r="R294" s="124"/>
    </row>
    <row r="295" spans="9:18" s="68" customFormat="1" x14ac:dyDescent="0.25">
      <c r="I295" s="124"/>
      <c r="L295" s="124"/>
      <c r="O295" s="124"/>
      <c r="R295" s="124"/>
    </row>
    <row r="296" spans="9:18" s="68" customFormat="1" x14ac:dyDescent="0.25">
      <c r="I296" s="124"/>
      <c r="L296" s="124"/>
      <c r="O296" s="124"/>
      <c r="R296" s="124"/>
    </row>
    <row r="297" spans="9:18" s="68" customFormat="1" x14ac:dyDescent="0.25">
      <c r="I297" s="124"/>
      <c r="L297" s="124"/>
      <c r="O297" s="124"/>
      <c r="R297" s="124"/>
    </row>
    <row r="298" spans="9:18" s="68" customFormat="1" x14ac:dyDescent="0.25">
      <c r="I298" s="124"/>
      <c r="L298" s="124"/>
      <c r="O298" s="124"/>
      <c r="R298" s="124"/>
    </row>
    <row r="299" spans="9:18" s="68" customFormat="1" x14ac:dyDescent="0.25">
      <c r="I299" s="124"/>
      <c r="L299" s="124"/>
      <c r="O299" s="124"/>
      <c r="R299" s="124"/>
    </row>
    <row r="300" spans="9:18" s="68" customFormat="1" x14ac:dyDescent="0.25">
      <c r="I300" s="124"/>
      <c r="L300" s="124"/>
      <c r="O300" s="124"/>
      <c r="R300" s="124"/>
    </row>
    <row r="301" spans="9:18" s="68" customFormat="1" x14ac:dyDescent="0.25">
      <c r="I301" s="124"/>
      <c r="L301" s="124"/>
      <c r="O301" s="124"/>
      <c r="R301" s="124"/>
    </row>
    <row r="302" spans="9:18" s="68" customFormat="1" x14ac:dyDescent="0.25">
      <c r="I302" s="124"/>
      <c r="L302" s="124"/>
      <c r="O302" s="124"/>
      <c r="R302" s="124"/>
    </row>
    <row r="303" spans="9:18" s="68" customFormat="1" x14ac:dyDescent="0.25">
      <c r="I303" s="124"/>
      <c r="L303" s="124"/>
      <c r="O303" s="124"/>
      <c r="R303" s="124"/>
    </row>
    <row r="304" spans="9:18" s="68" customFormat="1" x14ac:dyDescent="0.25">
      <c r="I304" s="124"/>
      <c r="L304" s="124"/>
      <c r="O304" s="124"/>
      <c r="R304" s="124"/>
    </row>
    <row r="305" spans="9:18" s="68" customFormat="1" x14ac:dyDescent="0.25">
      <c r="I305" s="124"/>
      <c r="L305" s="124"/>
      <c r="O305" s="124"/>
      <c r="R305" s="124"/>
    </row>
    <row r="306" spans="9:18" s="68" customFormat="1" x14ac:dyDescent="0.25">
      <c r="I306" s="124"/>
      <c r="L306" s="124"/>
      <c r="O306" s="124"/>
      <c r="R306" s="124"/>
    </row>
    <row r="307" spans="9:18" s="68" customFormat="1" x14ac:dyDescent="0.25">
      <c r="I307" s="124"/>
      <c r="L307" s="124"/>
      <c r="O307" s="124"/>
      <c r="R307" s="124"/>
    </row>
    <row r="308" spans="9:18" s="68" customFormat="1" x14ac:dyDescent="0.25">
      <c r="I308" s="124"/>
      <c r="L308" s="124"/>
      <c r="O308" s="124"/>
      <c r="R308" s="124"/>
    </row>
    <row r="309" spans="9:18" s="68" customFormat="1" x14ac:dyDescent="0.25">
      <c r="I309" s="124"/>
      <c r="L309" s="124"/>
      <c r="O309" s="124"/>
      <c r="R309" s="124"/>
    </row>
    <row r="310" spans="9:18" s="68" customFormat="1" x14ac:dyDescent="0.25">
      <c r="I310" s="124"/>
      <c r="L310" s="124"/>
      <c r="O310" s="124"/>
      <c r="R310" s="124"/>
    </row>
    <row r="311" spans="9:18" s="68" customFormat="1" x14ac:dyDescent="0.25">
      <c r="I311" s="124"/>
      <c r="L311" s="124"/>
      <c r="O311" s="124"/>
      <c r="R311" s="124"/>
    </row>
    <row r="312" spans="9:18" s="68" customFormat="1" x14ac:dyDescent="0.25">
      <c r="I312" s="124"/>
      <c r="L312" s="124"/>
      <c r="O312" s="124"/>
      <c r="R312" s="124"/>
    </row>
    <row r="313" spans="9:18" s="68" customFormat="1" x14ac:dyDescent="0.25">
      <c r="I313" s="124"/>
      <c r="L313" s="124"/>
      <c r="O313" s="124"/>
      <c r="R313" s="124"/>
    </row>
    <row r="314" spans="9:18" s="68" customFormat="1" x14ac:dyDescent="0.25">
      <c r="I314" s="124"/>
      <c r="L314" s="124"/>
      <c r="O314" s="124"/>
      <c r="R314" s="124"/>
    </row>
    <row r="315" spans="9:18" s="68" customFormat="1" x14ac:dyDescent="0.25">
      <c r="I315" s="124"/>
      <c r="L315" s="124"/>
      <c r="O315" s="124"/>
      <c r="R315" s="124"/>
    </row>
    <row r="316" spans="9:18" s="68" customFormat="1" x14ac:dyDescent="0.25">
      <c r="I316" s="124"/>
      <c r="L316" s="124"/>
      <c r="O316" s="124"/>
      <c r="R316" s="124"/>
    </row>
    <row r="317" spans="9:18" s="68" customFormat="1" x14ac:dyDescent="0.25">
      <c r="I317" s="124"/>
      <c r="L317" s="124"/>
      <c r="O317" s="124"/>
      <c r="R317" s="124"/>
    </row>
    <row r="318" spans="9:18" s="68" customFormat="1" x14ac:dyDescent="0.25">
      <c r="I318" s="124"/>
      <c r="L318" s="124"/>
      <c r="O318" s="124"/>
      <c r="R318" s="124"/>
    </row>
    <row r="319" spans="9:18" s="68" customFormat="1" x14ac:dyDescent="0.25">
      <c r="I319" s="124"/>
      <c r="L319" s="124"/>
      <c r="O319" s="124"/>
      <c r="R319" s="124"/>
    </row>
    <row r="320" spans="9:18" s="68" customFormat="1" x14ac:dyDescent="0.25">
      <c r="I320" s="124"/>
      <c r="L320" s="124"/>
      <c r="O320" s="124"/>
      <c r="R320" s="124"/>
    </row>
    <row r="321" spans="9:18" s="68" customFormat="1" x14ac:dyDescent="0.25">
      <c r="I321" s="124"/>
      <c r="L321" s="124"/>
      <c r="O321" s="124"/>
      <c r="R321" s="124"/>
    </row>
    <row r="322" spans="9:18" s="68" customFormat="1" x14ac:dyDescent="0.25">
      <c r="I322" s="124"/>
      <c r="L322" s="124"/>
      <c r="O322" s="124"/>
      <c r="R322" s="124"/>
    </row>
    <row r="323" spans="9:18" s="68" customFormat="1" x14ac:dyDescent="0.25">
      <c r="I323" s="124"/>
      <c r="L323" s="124"/>
      <c r="O323" s="124"/>
      <c r="R323" s="124"/>
    </row>
    <row r="324" spans="9:18" s="68" customFormat="1" x14ac:dyDescent="0.25">
      <c r="I324" s="124"/>
      <c r="L324" s="124"/>
      <c r="O324" s="124"/>
      <c r="R324" s="124"/>
    </row>
    <row r="325" spans="9:18" s="68" customFormat="1" x14ac:dyDescent="0.25">
      <c r="I325" s="124"/>
      <c r="L325" s="124"/>
      <c r="O325" s="124"/>
      <c r="R325" s="124"/>
    </row>
    <row r="326" spans="9:18" s="68" customFormat="1" x14ac:dyDescent="0.25">
      <c r="I326" s="124"/>
      <c r="L326" s="124"/>
      <c r="O326" s="124"/>
      <c r="R326" s="124"/>
    </row>
    <row r="327" spans="9:18" s="68" customFormat="1" x14ac:dyDescent="0.25">
      <c r="I327" s="124"/>
      <c r="L327" s="124"/>
      <c r="O327" s="124"/>
      <c r="R327" s="124"/>
    </row>
    <row r="328" spans="9:18" s="68" customFormat="1" x14ac:dyDescent="0.25">
      <c r="I328" s="124"/>
      <c r="L328" s="124"/>
      <c r="O328" s="124"/>
      <c r="R328" s="124"/>
    </row>
    <row r="329" spans="9:18" s="68" customFormat="1" x14ac:dyDescent="0.25">
      <c r="I329" s="124"/>
      <c r="L329" s="124"/>
      <c r="O329" s="124"/>
      <c r="R329" s="124"/>
    </row>
    <row r="330" spans="9:18" s="68" customFormat="1" x14ac:dyDescent="0.25">
      <c r="I330" s="124"/>
      <c r="L330" s="124"/>
      <c r="O330" s="124"/>
      <c r="R330" s="124"/>
    </row>
    <row r="331" spans="9:18" s="68" customFormat="1" x14ac:dyDescent="0.25">
      <c r="I331" s="124"/>
      <c r="L331" s="124"/>
      <c r="O331" s="124"/>
      <c r="R331" s="124"/>
    </row>
    <row r="332" spans="9:18" s="68" customFormat="1" x14ac:dyDescent="0.25">
      <c r="I332" s="124"/>
      <c r="L332" s="124"/>
      <c r="O332" s="124"/>
      <c r="R332" s="124"/>
    </row>
    <row r="333" spans="9:18" s="68" customFormat="1" x14ac:dyDescent="0.25">
      <c r="I333" s="124"/>
      <c r="L333" s="124"/>
      <c r="O333" s="124"/>
      <c r="R333" s="124"/>
    </row>
    <row r="334" spans="9:18" s="68" customFormat="1" x14ac:dyDescent="0.25">
      <c r="I334" s="124"/>
      <c r="L334" s="124"/>
      <c r="O334" s="124"/>
      <c r="R334" s="124"/>
    </row>
    <row r="335" spans="9:18" s="68" customFormat="1" x14ac:dyDescent="0.25">
      <c r="I335" s="124"/>
      <c r="L335" s="124"/>
      <c r="O335" s="124"/>
      <c r="R335" s="124"/>
    </row>
    <row r="336" spans="9:18" s="68" customFormat="1" x14ac:dyDescent="0.25">
      <c r="I336" s="124"/>
      <c r="L336" s="124"/>
      <c r="O336" s="124"/>
      <c r="R336" s="124"/>
    </row>
    <row r="337" spans="9:18" s="68" customFormat="1" x14ac:dyDescent="0.25">
      <c r="I337" s="124"/>
      <c r="L337" s="124"/>
      <c r="O337" s="124"/>
      <c r="R337" s="124"/>
    </row>
    <row r="338" spans="9:18" s="68" customFormat="1" x14ac:dyDescent="0.25">
      <c r="I338" s="124"/>
      <c r="L338" s="124"/>
      <c r="O338" s="124"/>
      <c r="R338" s="124"/>
    </row>
    <row r="339" spans="9:18" s="68" customFormat="1" x14ac:dyDescent="0.25">
      <c r="I339" s="124"/>
      <c r="L339" s="124"/>
      <c r="O339" s="124"/>
      <c r="R339" s="124"/>
    </row>
    <row r="340" spans="9:18" s="68" customFormat="1" x14ac:dyDescent="0.25">
      <c r="I340" s="124"/>
      <c r="L340" s="124"/>
      <c r="O340" s="124"/>
      <c r="R340" s="124"/>
    </row>
    <row r="341" spans="9:18" s="68" customFormat="1" x14ac:dyDescent="0.25">
      <c r="I341" s="124"/>
      <c r="L341" s="124"/>
      <c r="O341" s="124"/>
      <c r="R341" s="124"/>
    </row>
    <row r="342" spans="9:18" s="68" customFormat="1" x14ac:dyDescent="0.25">
      <c r="I342" s="124"/>
      <c r="L342" s="124"/>
      <c r="O342" s="124"/>
      <c r="R342" s="124"/>
    </row>
    <row r="343" spans="9:18" s="68" customFormat="1" x14ac:dyDescent="0.25">
      <c r="I343" s="124"/>
      <c r="L343" s="124"/>
      <c r="O343" s="124"/>
      <c r="R343" s="124"/>
    </row>
    <row r="344" spans="9:18" s="68" customFormat="1" x14ac:dyDescent="0.25">
      <c r="I344" s="124"/>
      <c r="L344" s="124"/>
      <c r="O344" s="124"/>
      <c r="R344" s="124"/>
    </row>
    <row r="345" spans="9:18" s="68" customFormat="1" x14ac:dyDescent="0.25">
      <c r="I345" s="124"/>
      <c r="L345" s="124"/>
      <c r="O345" s="124"/>
      <c r="R345" s="124"/>
    </row>
    <row r="346" spans="9:18" s="68" customFormat="1" x14ac:dyDescent="0.25">
      <c r="I346" s="124"/>
      <c r="L346" s="124"/>
      <c r="O346" s="124"/>
      <c r="R346" s="124"/>
    </row>
    <row r="347" spans="9:18" s="68" customFormat="1" x14ac:dyDescent="0.25">
      <c r="I347" s="124"/>
      <c r="L347" s="124"/>
      <c r="O347" s="124"/>
      <c r="R347" s="124"/>
    </row>
    <row r="348" spans="9:18" s="68" customFormat="1" x14ac:dyDescent="0.25">
      <c r="I348" s="124"/>
      <c r="L348" s="124"/>
      <c r="O348" s="124"/>
      <c r="R348" s="124"/>
    </row>
    <row r="349" spans="9:18" s="68" customFormat="1" x14ac:dyDescent="0.25">
      <c r="I349" s="124"/>
      <c r="L349" s="124"/>
      <c r="O349" s="124"/>
      <c r="R349" s="124"/>
    </row>
    <row r="350" spans="9:18" s="68" customFormat="1" x14ac:dyDescent="0.25">
      <c r="I350" s="124"/>
      <c r="L350" s="124"/>
      <c r="O350" s="124"/>
      <c r="R350" s="124"/>
    </row>
    <row r="351" spans="9:18" s="68" customFormat="1" x14ac:dyDescent="0.25">
      <c r="I351" s="124"/>
      <c r="L351" s="124"/>
      <c r="O351" s="124"/>
      <c r="R351" s="124"/>
    </row>
    <row r="352" spans="9:18" s="68" customFormat="1" x14ac:dyDescent="0.25">
      <c r="I352" s="124"/>
      <c r="L352" s="124"/>
      <c r="O352" s="124"/>
      <c r="R352" s="124"/>
    </row>
    <row r="353" spans="9:18" s="68" customFormat="1" x14ac:dyDescent="0.25">
      <c r="I353" s="124"/>
      <c r="L353" s="124"/>
      <c r="O353" s="124"/>
      <c r="R353" s="124"/>
    </row>
    <row r="354" spans="9:18" s="68" customFormat="1" x14ac:dyDescent="0.25">
      <c r="I354" s="124"/>
      <c r="L354" s="124"/>
      <c r="O354" s="124"/>
      <c r="R354" s="124"/>
    </row>
    <row r="355" spans="9:18" s="68" customFormat="1" x14ac:dyDescent="0.25">
      <c r="I355" s="124"/>
      <c r="L355" s="124"/>
      <c r="O355" s="124"/>
      <c r="R355" s="124"/>
    </row>
    <row r="356" spans="9:18" s="68" customFormat="1" x14ac:dyDescent="0.25">
      <c r="I356" s="124"/>
      <c r="L356" s="124"/>
      <c r="O356" s="124"/>
      <c r="R356" s="124"/>
    </row>
    <row r="357" spans="9:18" s="68" customFormat="1" x14ac:dyDescent="0.25">
      <c r="I357" s="124"/>
      <c r="L357" s="124"/>
      <c r="O357" s="124"/>
      <c r="R357" s="124"/>
    </row>
    <row r="358" spans="9:18" s="68" customFormat="1" x14ac:dyDescent="0.25">
      <c r="I358" s="124"/>
      <c r="L358" s="124"/>
      <c r="O358" s="124"/>
      <c r="R358" s="124"/>
    </row>
    <row r="359" spans="9:18" s="68" customFormat="1" x14ac:dyDescent="0.25">
      <c r="I359" s="124"/>
      <c r="L359" s="124"/>
      <c r="O359" s="124"/>
      <c r="R359" s="124"/>
    </row>
    <row r="360" spans="9:18" s="68" customFormat="1" x14ac:dyDescent="0.25">
      <c r="I360" s="124"/>
      <c r="L360" s="124"/>
      <c r="O360" s="124"/>
      <c r="R360" s="124"/>
    </row>
    <row r="361" spans="9:18" s="68" customFormat="1" x14ac:dyDescent="0.25">
      <c r="I361" s="124"/>
      <c r="L361" s="124"/>
      <c r="O361" s="124"/>
      <c r="R361" s="124"/>
    </row>
    <row r="362" spans="9:18" s="68" customFormat="1" x14ac:dyDescent="0.25">
      <c r="I362" s="124"/>
      <c r="L362" s="124"/>
      <c r="O362" s="124"/>
      <c r="R362" s="124"/>
    </row>
    <row r="363" spans="9:18" s="68" customFormat="1" x14ac:dyDescent="0.25">
      <c r="I363" s="124"/>
      <c r="L363" s="124"/>
      <c r="O363" s="124"/>
      <c r="R363" s="124"/>
    </row>
    <row r="364" spans="9:18" s="68" customFormat="1" x14ac:dyDescent="0.25">
      <c r="I364" s="124"/>
      <c r="L364" s="124"/>
      <c r="O364" s="124"/>
      <c r="R364" s="124"/>
    </row>
    <row r="365" spans="9:18" s="68" customFormat="1" x14ac:dyDescent="0.25">
      <c r="I365" s="124"/>
      <c r="L365" s="124"/>
      <c r="O365" s="124"/>
      <c r="R365" s="124"/>
    </row>
    <row r="366" spans="9:18" s="68" customFormat="1" x14ac:dyDescent="0.25">
      <c r="I366" s="124"/>
      <c r="L366" s="124"/>
      <c r="O366" s="124"/>
      <c r="R366" s="124"/>
    </row>
    <row r="367" spans="9:18" s="68" customFormat="1" x14ac:dyDescent="0.25">
      <c r="I367" s="124"/>
      <c r="L367" s="124"/>
      <c r="O367" s="124"/>
      <c r="R367" s="124"/>
    </row>
    <row r="368" spans="9:18" s="68" customFormat="1" x14ac:dyDescent="0.25">
      <c r="I368" s="124"/>
      <c r="L368" s="124"/>
      <c r="O368" s="124"/>
      <c r="R368" s="124"/>
    </row>
    <row r="369" spans="9:18" s="68" customFormat="1" x14ac:dyDescent="0.25">
      <c r="I369" s="124"/>
      <c r="L369" s="124"/>
      <c r="O369" s="124"/>
      <c r="R369" s="124"/>
    </row>
    <row r="370" spans="9:18" s="68" customFormat="1" x14ac:dyDescent="0.25">
      <c r="I370" s="124"/>
      <c r="L370" s="124"/>
      <c r="O370" s="124"/>
      <c r="R370" s="124"/>
    </row>
    <row r="371" spans="9:18" s="68" customFormat="1" x14ac:dyDescent="0.25">
      <c r="I371" s="124"/>
      <c r="L371" s="124"/>
      <c r="O371" s="124"/>
      <c r="R371" s="124"/>
    </row>
    <row r="372" spans="9:18" s="68" customFormat="1" x14ac:dyDescent="0.25">
      <c r="I372" s="124"/>
      <c r="L372" s="124"/>
      <c r="O372" s="124"/>
      <c r="R372" s="124"/>
    </row>
    <row r="373" spans="9:18" s="68" customFormat="1" x14ac:dyDescent="0.25">
      <c r="I373" s="124"/>
      <c r="L373" s="124"/>
      <c r="O373" s="124"/>
      <c r="R373" s="124"/>
    </row>
    <row r="374" spans="9:18" s="68" customFormat="1" x14ac:dyDescent="0.25">
      <c r="I374" s="124"/>
      <c r="L374" s="124"/>
      <c r="O374" s="124"/>
      <c r="R374" s="124"/>
    </row>
    <row r="375" spans="9:18" s="68" customFormat="1" x14ac:dyDescent="0.25">
      <c r="I375" s="124"/>
      <c r="L375" s="124"/>
      <c r="O375" s="124"/>
      <c r="R375" s="124"/>
    </row>
    <row r="376" spans="9:18" s="68" customFormat="1" x14ac:dyDescent="0.25">
      <c r="I376" s="124"/>
      <c r="L376" s="124"/>
      <c r="O376" s="124"/>
      <c r="R376" s="124"/>
    </row>
    <row r="377" spans="9:18" s="68" customFormat="1" x14ac:dyDescent="0.25">
      <c r="I377" s="124"/>
      <c r="L377" s="124"/>
      <c r="O377" s="124"/>
      <c r="R377" s="124"/>
    </row>
    <row r="378" spans="9:18" s="68" customFormat="1" x14ac:dyDescent="0.25">
      <c r="I378" s="124"/>
      <c r="L378" s="124"/>
      <c r="O378" s="124"/>
      <c r="R378" s="124"/>
    </row>
    <row r="379" spans="9:18" s="68" customFormat="1" x14ac:dyDescent="0.25">
      <c r="I379" s="124"/>
      <c r="L379" s="124"/>
      <c r="O379" s="124"/>
      <c r="R379" s="124"/>
    </row>
    <row r="380" spans="9:18" s="68" customFormat="1" x14ac:dyDescent="0.25">
      <c r="I380" s="124"/>
      <c r="L380" s="124"/>
      <c r="O380" s="124"/>
      <c r="R380" s="124"/>
    </row>
    <row r="381" spans="9:18" s="68" customFormat="1" x14ac:dyDescent="0.25">
      <c r="I381" s="124"/>
      <c r="L381" s="124"/>
      <c r="O381" s="124"/>
      <c r="R381" s="124"/>
    </row>
    <row r="382" spans="9:18" s="68" customFormat="1" x14ac:dyDescent="0.25">
      <c r="I382" s="124"/>
      <c r="L382" s="124"/>
      <c r="O382" s="124"/>
      <c r="R382" s="124"/>
    </row>
    <row r="383" spans="9:18" s="68" customFormat="1" x14ac:dyDescent="0.25">
      <c r="I383" s="124"/>
      <c r="L383" s="124"/>
      <c r="O383" s="124"/>
      <c r="R383" s="124"/>
    </row>
    <row r="384" spans="9:18" s="68" customFormat="1" x14ac:dyDescent="0.25">
      <c r="I384" s="124"/>
      <c r="L384" s="124"/>
      <c r="O384" s="124"/>
      <c r="R384" s="124"/>
    </row>
    <row r="385" spans="9:18" s="68" customFormat="1" x14ac:dyDescent="0.25">
      <c r="I385" s="124"/>
      <c r="L385" s="124"/>
      <c r="O385" s="124"/>
      <c r="R385" s="124"/>
    </row>
    <row r="386" spans="9:18" s="68" customFormat="1" x14ac:dyDescent="0.25">
      <c r="I386" s="124"/>
      <c r="L386" s="124"/>
      <c r="O386" s="124"/>
      <c r="R386" s="124"/>
    </row>
    <row r="387" spans="9:18" s="68" customFormat="1" x14ac:dyDescent="0.25">
      <c r="I387" s="124"/>
      <c r="L387" s="124"/>
      <c r="O387" s="124"/>
      <c r="R387" s="124"/>
    </row>
    <row r="388" spans="9:18" s="68" customFormat="1" x14ac:dyDescent="0.25">
      <c r="I388" s="124"/>
      <c r="L388" s="124"/>
      <c r="O388" s="124"/>
      <c r="R388" s="124"/>
    </row>
    <row r="389" spans="9:18" s="68" customFormat="1" x14ac:dyDescent="0.25">
      <c r="I389" s="124"/>
      <c r="L389" s="124"/>
      <c r="O389" s="124"/>
      <c r="R389" s="124"/>
    </row>
    <row r="390" spans="9:18" s="68" customFormat="1" x14ac:dyDescent="0.25">
      <c r="I390" s="124"/>
      <c r="L390" s="124"/>
      <c r="O390" s="124"/>
      <c r="R390" s="124"/>
    </row>
    <row r="391" spans="9:18" s="68" customFormat="1" x14ac:dyDescent="0.25">
      <c r="I391" s="124"/>
      <c r="L391" s="124"/>
      <c r="O391" s="124"/>
      <c r="R391" s="124"/>
    </row>
    <row r="392" spans="9:18" s="68" customFormat="1" x14ac:dyDescent="0.25">
      <c r="I392" s="124"/>
      <c r="L392" s="124"/>
      <c r="O392" s="124"/>
      <c r="R392" s="124"/>
    </row>
    <row r="393" spans="9:18" s="68" customFormat="1" x14ac:dyDescent="0.25">
      <c r="I393" s="124"/>
      <c r="L393" s="124"/>
      <c r="O393" s="124"/>
      <c r="R393" s="124"/>
    </row>
    <row r="394" spans="9:18" s="68" customFormat="1" x14ac:dyDescent="0.25">
      <c r="I394" s="124"/>
      <c r="L394" s="124"/>
      <c r="O394" s="124"/>
      <c r="R394" s="124"/>
    </row>
    <row r="395" spans="9:18" s="68" customFormat="1" x14ac:dyDescent="0.25">
      <c r="I395" s="124"/>
      <c r="L395" s="124"/>
      <c r="O395" s="124"/>
      <c r="R395" s="124"/>
    </row>
    <row r="396" spans="9:18" s="68" customFormat="1" x14ac:dyDescent="0.25">
      <c r="I396" s="124"/>
      <c r="L396" s="124"/>
      <c r="O396" s="124"/>
      <c r="R396" s="124"/>
    </row>
    <row r="397" spans="9:18" s="68" customFormat="1" x14ac:dyDescent="0.25">
      <c r="I397" s="124"/>
      <c r="L397" s="124"/>
      <c r="O397" s="124"/>
      <c r="R397" s="124"/>
    </row>
    <row r="398" spans="9:18" s="68" customFormat="1" x14ac:dyDescent="0.25">
      <c r="I398" s="124"/>
      <c r="L398" s="124"/>
      <c r="O398" s="124"/>
      <c r="R398" s="124"/>
    </row>
    <row r="399" spans="9:18" s="68" customFormat="1" x14ac:dyDescent="0.25">
      <c r="I399" s="124"/>
      <c r="L399" s="124"/>
      <c r="O399" s="124"/>
      <c r="R399" s="124"/>
    </row>
    <row r="400" spans="9:18" s="68" customFormat="1" x14ac:dyDescent="0.25">
      <c r="I400" s="124"/>
      <c r="L400" s="124"/>
      <c r="O400" s="124"/>
      <c r="R400" s="124"/>
    </row>
    <row r="401" spans="9:18" s="68" customFormat="1" x14ac:dyDescent="0.25">
      <c r="I401" s="124"/>
      <c r="L401" s="124"/>
      <c r="O401" s="124"/>
      <c r="R401" s="124"/>
    </row>
    <row r="402" spans="9:18" s="68" customFormat="1" x14ac:dyDescent="0.25">
      <c r="I402" s="124"/>
      <c r="L402" s="124"/>
      <c r="O402" s="124"/>
      <c r="R402" s="124"/>
    </row>
    <row r="403" spans="9:18" s="68" customFormat="1" x14ac:dyDescent="0.25">
      <c r="I403" s="124"/>
      <c r="L403" s="124"/>
      <c r="O403" s="124"/>
      <c r="R403" s="124"/>
    </row>
    <row r="404" spans="9:18" s="68" customFormat="1" x14ac:dyDescent="0.25">
      <c r="I404" s="124"/>
      <c r="L404" s="124"/>
      <c r="O404" s="124"/>
      <c r="R404" s="124"/>
    </row>
    <row r="405" spans="9:18" s="68" customFormat="1" x14ac:dyDescent="0.25">
      <c r="I405" s="124"/>
      <c r="L405" s="124"/>
      <c r="O405" s="124"/>
      <c r="R405" s="124"/>
    </row>
    <row r="406" spans="9:18" s="68" customFormat="1" x14ac:dyDescent="0.25">
      <c r="I406" s="124"/>
      <c r="L406" s="124"/>
      <c r="O406" s="124"/>
      <c r="R406" s="124"/>
    </row>
    <row r="407" spans="9:18" s="68" customFormat="1" x14ac:dyDescent="0.25">
      <c r="I407" s="124"/>
      <c r="L407" s="124"/>
      <c r="O407" s="124"/>
      <c r="R407" s="124"/>
    </row>
    <row r="408" spans="9:18" s="68" customFormat="1" x14ac:dyDescent="0.25">
      <c r="I408" s="124"/>
      <c r="L408" s="124"/>
      <c r="O408" s="124"/>
      <c r="R408" s="124"/>
    </row>
    <row r="409" spans="9:18" s="68" customFormat="1" x14ac:dyDescent="0.25">
      <c r="I409" s="124"/>
      <c r="L409" s="124"/>
      <c r="O409" s="124"/>
      <c r="R409" s="124"/>
    </row>
    <row r="410" spans="9:18" s="68" customFormat="1" x14ac:dyDescent="0.25">
      <c r="I410" s="124"/>
      <c r="L410" s="124"/>
      <c r="O410" s="124"/>
      <c r="R410" s="124"/>
    </row>
    <row r="411" spans="9:18" s="68" customFormat="1" x14ac:dyDescent="0.25">
      <c r="I411" s="124"/>
      <c r="L411" s="124"/>
      <c r="O411" s="124"/>
      <c r="R411" s="124"/>
    </row>
    <row r="412" spans="9:18" s="68" customFormat="1" x14ac:dyDescent="0.25">
      <c r="I412" s="124"/>
      <c r="L412" s="124"/>
      <c r="O412" s="124"/>
      <c r="R412" s="124"/>
    </row>
    <row r="413" spans="9:18" s="68" customFormat="1" x14ac:dyDescent="0.25">
      <c r="I413" s="124"/>
      <c r="L413" s="124"/>
      <c r="O413" s="124"/>
      <c r="R413" s="124"/>
    </row>
    <row r="414" spans="9:18" s="68" customFormat="1" x14ac:dyDescent="0.25">
      <c r="I414" s="124"/>
      <c r="L414" s="124"/>
      <c r="O414" s="124"/>
      <c r="R414" s="124"/>
    </row>
    <row r="415" spans="9:18" s="68" customFormat="1" x14ac:dyDescent="0.25">
      <c r="I415" s="124"/>
      <c r="L415" s="124"/>
      <c r="O415" s="124"/>
      <c r="R415" s="124"/>
    </row>
    <row r="416" spans="9:18" s="68" customFormat="1" x14ac:dyDescent="0.25">
      <c r="I416" s="124"/>
      <c r="L416" s="124"/>
      <c r="O416" s="124"/>
      <c r="R416" s="124"/>
    </row>
    <row r="417" spans="9:18" s="68" customFormat="1" x14ac:dyDescent="0.25">
      <c r="I417" s="124"/>
      <c r="L417" s="124"/>
      <c r="O417" s="124"/>
      <c r="R417" s="124"/>
    </row>
    <row r="418" spans="9:18" s="68" customFormat="1" x14ac:dyDescent="0.25">
      <c r="I418" s="124"/>
      <c r="L418" s="124"/>
      <c r="O418" s="124"/>
      <c r="R418" s="124"/>
    </row>
    <row r="419" spans="9:18" s="68" customFormat="1" x14ac:dyDescent="0.25">
      <c r="I419" s="124"/>
      <c r="L419" s="124"/>
      <c r="O419" s="124"/>
      <c r="R419" s="124"/>
    </row>
    <row r="420" spans="9:18" s="68" customFormat="1" x14ac:dyDescent="0.25">
      <c r="I420" s="124"/>
      <c r="L420" s="124"/>
      <c r="O420" s="124"/>
      <c r="R420" s="124"/>
    </row>
    <row r="421" spans="9:18" s="68" customFormat="1" x14ac:dyDescent="0.25">
      <c r="I421" s="124"/>
      <c r="L421" s="124"/>
      <c r="O421" s="124"/>
      <c r="R421" s="124"/>
    </row>
    <row r="422" spans="9:18" s="68" customFormat="1" x14ac:dyDescent="0.25">
      <c r="I422" s="124"/>
      <c r="L422" s="124"/>
      <c r="O422" s="124"/>
      <c r="R422" s="124"/>
    </row>
    <row r="423" spans="9:18" s="68" customFormat="1" x14ac:dyDescent="0.25">
      <c r="I423" s="124"/>
      <c r="L423" s="124"/>
      <c r="O423" s="124"/>
      <c r="R423" s="124"/>
    </row>
    <row r="424" spans="9:18" s="68" customFormat="1" x14ac:dyDescent="0.25">
      <c r="I424" s="124"/>
      <c r="L424" s="124"/>
      <c r="O424" s="124"/>
      <c r="R424" s="124"/>
    </row>
    <row r="425" spans="9:18" s="68" customFormat="1" x14ac:dyDescent="0.25">
      <c r="I425" s="124"/>
      <c r="L425" s="124"/>
      <c r="O425" s="124"/>
      <c r="R425" s="124"/>
    </row>
    <row r="426" spans="9:18" s="68" customFormat="1" x14ac:dyDescent="0.25">
      <c r="I426" s="124"/>
      <c r="L426" s="124"/>
      <c r="O426" s="124"/>
      <c r="R426" s="124"/>
    </row>
    <row r="427" spans="9:18" s="68" customFormat="1" x14ac:dyDescent="0.25">
      <c r="I427" s="124"/>
      <c r="L427" s="124"/>
      <c r="O427" s="124"/>
      <c r="R427" s="124"/>
    </row>
    <row r="428" spans="9:18" s="68" customFormat="1" x14ac:dyDescent="0.25">
      <c r="I428" s="124"/>
      <c r="L428" s="124"/>
      <c r="O428" s="124"/>
      <c r="R428" s="124"/>
    </row>
    <row r="429" spans="9:18" s="68" customFormat="1" x14ac:dyDescent="0.25">
      <c r="I429" s="124"/>
      <c r="L429" s="124"/>
      <c r="O429" s="124"/>
      <c r="R429" s="124"/>
    </row>
    <row r="430" spans="9:18" s="68" customFormat="1" x14ac:dyDescent="0.25">
      <c r="I430" s="124"/>
      <c r="L430" s="124"/>
      <c r="O430" s="124"/>
      <c r="R430" s="124"/>
    </row>
    <row r="431" spans="9:18" s="68" customFormat="1" x14ac:dyDescent="0.25">
      <c r="I431" s="124"/>
      <c r="L431" s="124"/>
      <c r="O431" s="124"/>
      <c r="R431" s="124"/>
    </row>
    <row r="432" spans="9:18" s="68" customFormat="1" x14ac:dyDescent="0.25">
      <c r="I432" s="124"/>
      <c r="L432" s="124"/>
      <c r="O432" s="124"/>
      <c r="R432" s="124"/>
    </row>
    <row r="433" spans="9:18" s="68" customFormat="1" x14ac:dyDescent="0.25">
      <c r="I433" s="124"/>
      <c r="L433" s="124"/>
      <c r="O433" s="124"/>
      <c r="R433" s="124"/>
    </row>
    <row r="434" spans="9:18" s="68" customFormat="1" x14ac:dyDescent="0.25">
      <c r="I434" s="124"/>
      <c r="L434" s="124"/>
      <c r="O434" s="124"/>
      <c r="R434" s="124"/>
    </row>
    <row r="435" spans="9:18" s="68" customFormat="1" x14ac:dyDescent="0.25">
      <c r="I435" s="124"/>
      <c r="L435" s="124"/>
      <c r="O435" s="124"/>
      <c r="R435" s="124"/>
    </row>
    <row r="436" spans="9:18" s="68" customFormat="1" x14ac:dyDescent="0.25">
      <c r="I436" s="124"/>
      <c r="L436" s="124"/>
      <c r="O436" s="124"/>
      <c r="R436" s="124"/>
    </row>
    <row r="437" spans="9:18" s="68" customFormat="1" x14ac:dyDescent="0.25">
      <c r="I437" s="124"/>
      <c r="L437" s="124"/>
      <c r="O437" s="124"/>
      <c r="R437" s="124"/>
    </row>
    <row r="438" spans="9:18" s="68" customFormat="1" x14ac:dyDescent="0.25">
      <c r="I438" s="124"/>
      <c r="L438" s="124"/>
      <c r="O438" s="124"/>
      <c r="R438" s="124"/>
    </row>
    <row r="439" spans="9:18" s="68" customFormat="1" x14ac:dyDescent="0.25">
      <c r="I439" s="124"/>
      <c r="L439" s="124"/>
      <c r="O439" s="124"/>
      <c r="R439" s="124"/>
    </row>
    <row r="440" spans="9:18" s="68" customFormat="1" x14ac:dyDescent="0.25">
      <c r="I440" s="124"/>
      <c r="L440" s="124"/>
      <c r="O440" s="124"/>
      <c r="R440" s="124"/>
    </row>
    <row r="441" spans="9:18" s="68" customFormat="1" x14ac:dyDescent="0.25">
      <c r="I441" s="124"/>
      <c r="L441" s="124"/>
      <c r="O441" s="124"/>
      <c r="R441" s="124"/>
    </row>
    <row r="442" spans="9:18" s="68" customFormat="1" x14ac:dyDescent="0.25">
      <c r="I442" s="124"/>
      <c r="L442" s="124"/>
      <c r="O442" s="124"/>
      <c r="R442" s="124"/>
    </row>
    <row r="443" spans="9:18" s="68" customFormat="1" x14ac:dyDescent="0.25">
      <c r="I443" s="124"/>
      <c r="L443" s="124"/>
      <c r="O443" s="124"/>
      <c r="R443" s="124"/>
    </row>
    <row r="444" spans="9:18" s="68" customFormat="1" x14ac:dyDescent="0.25">
      <c r="I444" s="124"/>
      <c r="L444" s="124"/>
      <c r="O444" s="124"/>
      <c r="R444" s="124"/>
    </row>
    <row r="445" spans="9:18" s="68" customFormat="1" x14ac:dyDescent="0.25">
      <c r="I445" s="124"/>
      <c r="L445" s="124"/>
      <c r="O445" s="124"/>
      <c r="R445" s="124"/>
    </row>
    <row r="446" spans="9:18" s="68" customFormat="1" x14ac:dyDescent="0.25">
      <c r="I446" s="124"/>
      <c r="L446" s="124"/>
      <c r="O446" s="124"/>
      <c r="R446" s="124"/>
    </row>
    <row r="447" spans="9:18" s="68" customFormat="1" x14ac:dyDescent="0.25">
      <c r="I447" s="124"/>
      <c r="L447" s="124"/>
      <c r="O447" s="124"/>
      <c r="R447" s="124"/>
    </row>
    <row r="448" spans="9:18" s="68" customFormat="1" x14ac:dyDescent="0.25">
      <c r="I448" s="124"/>
      <c r="L448" s="124"/>
      <c r="O448" s="124"/>
      <c r="R448" s="124"/>
    </row>
    <row r="449" spans="9:18" s="68" customFormat="1" x14ac:dyDescent="0.25">
      <c r="I449" s="124"/>
      <c r="L449" s="124"/>
      <c r="O449" s="124"/>
      <c r="R449" s="124"/>
    </row>
    <row r="450" spans="9:18" s="68" customFormat="1" x14ac:dyDescent="0.25">
      <c r="I450" s="124"/>
      <c r="L450" s="124"/>
      <c r="O450" s="124"/>
      <c r="R450" s="124"/>
    </row>
    <row r="451" spans="9:18" s="68" customFormat="1" x14ac:dyDescent="0.25">
      <c r="I451" s="124"/>
      <c r="L451" s="124"/>
      <c r="O451" s="124"/>
      <c r="R451" s="124"/>
    </row>
    <row r="452" spans="9:18" s="68" customFormat="1" x14ac:dyDescent="0.25">
      <c r="I452" s="124"/>
      <c r="L452" s="124"/>
      <c r="O452" s="124"/>
      <c r="R452" s="124"/>
    </row>
    <row r="453" spans="9:18" s="68" customFormat="1" x14ac:dyDescent="0.25">
      <c r="I453" s="124"/>
      <c r="L453" s="124"/>
      <c r="O453" s="124"/>
      <c r="R453" s="124"/>
    </row>
    <row r="454" spans="9:18" s="68" customFormat="1" x14ac:dyDescent="0.25">
      <c r="I454" s="124"/>
      <c r="L454" s="124"/>
      <c r="O454" s="124"/>
      <c r="R454" s="124"/>
    </row>
    <row r="455" spans="9:18" s="68" customFormat="1" x14ac:dyDescent="0.25">
      <c r="I455" s="124"/>
      <c r="L455" s="124"/>
      <c r="O455" s="124"/>
      <c r="R455" s="124"/>
    </row>
    <row r="456" spans="9:18" s="68" customFormat="1" x14ac:dyDescent="0.25">
      <c r="I456" s="124"/>
      <c r="L456" s="124"/>
      <c r="O456" s="124"/>
      <c r="R456" s="124"/>
    </row>
    <row r="457" spans="9:18" s="68" customFormat="1" x14ac:dyDescent="0.25">
      <c r="I457" s="124"/>
      <c r="L457" s="124"/>
      <c r="O457" s="124"/>
      <c r="R457" s="124"/>
    </row>
    <row r="458" spans="9:18" s="68" customFormat="1" x14ac:dyDescent="0.25">
      <c r="I458" s="124"/>
      <c r="L458" s="124"/>
      <c r="O458" s="124"/>
      <c r="R458" s="124"/>
    </row>
    <row r="459" spans="9:18" s="68" customFormat="1" x14ac:dyDescent="0.25">
      <c r="I459" s="124"/>
      <c r="L459" s="124"/>
      <c r="O459" s="124"/>
      <c r="R459" s="124"/>
    </row>
    <row r="460" spans="9:18" s="68" customFormat="1" x14ac:dyDescent="0.25">
      <c r="I460" s="124"/>
      <c r="L460" s="124"/>
      <c r="O460" s="124"/>
      <c r="R460" s="124"/>
    </row>
    <row r="461" spans="9:18" s="68" customFormat="1" x14ac:dyDescent="0.25">
      <c r="I461" s="124"/>
      <c r="L461" s="124"/>
      <c r="O461" s="124"/>
      <c r="R461" s="124"/>
    </row>
    <row r="462" spans="9:18" s="68" customFormat="1" x14ac:dyDescent="0.25">
      <c r="I462" s="124"/>
      <c r="L462" s="124"/>
      <c r="O462" s="124"/>
      <c r="R462" s="124"/>
    </row>
    <row r="463" spans="9:18" s="68" customFormat="1" x14ac:dyDescent="0.25">
      <c r="I463" s="124"/>
      <c r="L463" s="124"/>
      <c r="O463" s="124"/>
      <c r="R463" s="124"/>
    </row>
    <row r="464" spans="9:18" s="68" customFormat="1" x14ac:dyDescent="0.25">
      <c r="I464" s="124"/>
      <c r="L464" s="124"/>
      <c r="O464" s="124"/>
      <c r="R464" s="124"/>
    </row>
    <row r="465" spans="9:18" s="68" customFormat="1" x14ac:dyDescent="0.25">
      <c r="I465" s="124"/>
      <c r="L465" s="124"/>
      <c r="O465" s="124"/>
      <c r="R465" s="124"/>
    </row>
    <row r="466" spans="9:18" s="68" customFormat="1" x14ac:dyDescent="0.25">
      <c r="I466" s="124"/>
      <c r="L466" s="124"/>
      <c r="O466" s="124"/>
      <c r="R466" s="124"/>
    </row>
    <row r="467" spans="9:18" s="68" customFormat="1" x14ac:dyDescent="0.25">
      <c r="I467" s="124"/>
      <c r="L467" s="124"/>
      <c r="O467" s="124"/>
      <c r="R467" s="124"/>
    </row>
    <row r="468" spans="9:18" s="68" customFormat="1" x14ac:dyDescent="0.25">
      <c r="I468" s="124"/>
      <c r="L468" s="124"/>
      <c r="O468" s="124"/>
      <c r="R468" s="124"/>
    </row>
    <row r="469" spans="9:18" s="68" customFormat="1" x14ac:dyDescent="0.25">
      <c r="I469" s="124"/>
      <c r="L469" s="124"/>
      <c r="O469" s="124"/>
      <c r="R469" s="124"/>
    </row>
    <row r="470" spans="9:18" s="68" customFormat="1" x14ac:dyDescent="0.25">
      <c r="I470" s="124"/>
      <c r="L470" s="124"/>
      <c r="O470" s="124"/>
      <c r="R470" s="124"/>
    </row>
    <row r="471" spans="9:18" s="68" customFormat="1" x14ac:dyDescent="0.25">
      <c r="I471" s="124"/>
      <c r="L471" s="124"/>
      <c r="O471" s="124"/>
      <c r="R471" s="124"/>
    </row>
    <row r="472" spans="9:18" s="68" customFormat="1" x14ac:dyDescent="0.25">
      <c r="I472" s="124"/>
      <c r="L472" s="124"/>
      <c r="O472" s="124"/>
      <c r="R472" s="124"/>
    </row>
    <row r="473" spans="9:18" s="68" customFormat="1" x14ac:dyDescent="0.25">
      <c r="I473" s="124"/>
      <c r="L473" s="124"/>
      <c r="O473" s="124"/>
      <c r="R473" s="124"/>
    </row>
    <row r="474" spans="9:18" s="68" customFormat="1" x14ac:dyDescent="0.25">
      <c r="I474" s="124"/>
      <c r="L474" s="124"/>
      <c r="O474" s="124"/>
      <c r="R474" s="124"/>
    </row>
    <row r="475" spans="9:18" s="68" customFormat="1" x14ac:dyDescent="0.25">
      <c r="I475" s="124"/>
      <c r="L475" s="124"/>
      <c r="O475" s="124"/>
      <c r="R475" s="124"/>
    </row>
    <row r="476" spans="9:18" s="68" customFormat="1" x14ac:dyDescent="0.25">
      <c r="I476" s="124"/>
      <c r="L476" s="124"/>
      <c r="O476" s="124"/>
      <c r="R476" s="124"/>
    </row>
    <row r="477" spans="9:18" s="68" customFormat="1" x14ac:dyDescent="0.25">
      <c r="I477" s="124"/>
      <c r="L477" s="124"/>
      <c r="O477" s="124"/>
      <c r="R477" s="124"/>
    </row>
    <row r="478" spans="9:18" s="68" customFormat="1" x14ac:dyDescent="0.25">
      <c r="I478" s="124"/>
      <c r="L478" s="124"/>
      <c r="O478" s="124"/>
      <c r="R478" s="124"/>
    </row>
    <row r="479" spans="9:18" s="68" customFormat="1" x14ac:dyDescent="0.25">
      <c r="I479" s="124"/>
      <c r="L479" s="124"/>
      <c r="O479" s="124"/>
      <c r="R479" s="124"/>
    </row>
    <row r="480" spans="9:18" s="68" customFormat="1" x14ac:dyDescent="0.25">
      <c r="I480" s="124"/>
      <c r="L480" s="124"/>
      <c r="O480" s="124"/>
      <c r="R480" s="124"/>
    </row>
    <row r="481" spans="9:18" s="68" customFormat="1" x14ac:dyDescent="0.25">
      <c r="I481" s="124"/>
      <c r="L481" s="124"/>
      <c r="O481" s="124"/>
      <c r="R481" s="124"/>
    </row>
    <row r="482" spans="9:18" s="68" customFormat="1" x14ac:dyDescent="0.25">
      <c r="I482" s="124"/>
      <c r="L482" s="124"/>
      <c r="O482" s="124"/>
      <c r="R482" s="124"/>
    </row>
    <row r="483" spans="9:18" s="68" customFormat="1" x14ac:dyDescent="0.25">
      <c r="I483" s="124"/>
      <c r="L483" s="124"/>
      <c r="O483" s="124"/>
      <c r="R483" s="124"/>
    </row>
    <row r="484" spans="9:18" s="68" customFormat="1" x14ac:dyDescent="0.25">
      <c r="I484" s="124"/>
      <c r="L484" s="124"/>
      <c r="O484" s="124"/>
      <c r="R484" s="124"/>
    </row>
    <row r="485" spans="9:18" s="68" customFormat="1" x14ac:dyDescent="0.25">
      <c r="I485" s="124"/>
      <c r="L485" s="124"/>
      <c r="O485" s="124"/>
      <c r="R485" s="124"/>
    </row>
    <row r="486" spans="9:18" s="68" customFormat="1" x14ac:dyDescent="0.25">
      <c r="I486" s="124"/>
      <c r="L486" s="124"/>
      <c r="O486" s="124"/>
      <c r="R486" s="124"/>
    </row>
    <row r="487" spans="9:18" s="68" customFormat="1" x14ac:dyDescent="0.25">
      <c r="I487" s="124"/>
      <c r="L487" s="124"/>
      <c r="O487" s="124"/>
      <c r="R487" s="124"/>
    </row>
    <row r="488" spans="9:18" s="68" customFormat="1" x14ac:dyDescent="0.25">
      <c r="I488" s="124"/>
      <c r="L488" s="124"/>
      <c r="O488" s="124"/>
      <c r="R488" s="124"/>
    </row>
    <row r="489" spans="9:18" s="68" customFormat="1" x14ac:dyDescent="0.25">
      <c r="I489" s="124"/>
      <c r="L489" s="124"/>
      <c r="O489" s="124"/>
      <c r="R489" s="124"/>
    </row>
    <row r="490" spans="9:18" s="68" customFormat="1" x14ac:dyDescent="0.25">
      <c r="I490" s="124"/>
      <c r="L490" s="124"/>
      <c r="O490" s="124"/>
      <c r="R490" s="124"/>
    </row>
    <row r="491" spans="9:18" s="68" customFormat="1" x14ac:dyDescent="0.25">
      <c r="I491" s="124"/>
      <c r="L491" s="124"/>
      <c r="O491" s="124"/>
      <c r="R491" s="124"/>
    </row>
    <row r="492" spans="9:18" s="68" customFormat="1" x14ac:dyDescent="0.25">
      <c r="I492" s="124"/>
      <c r="L492" s="124"/>
      <c r="O492" s="124"/>
      <c r="R492" s="124"/>
    </row>
    <row r="493" spans="9:18" s="68" customFormat="1" x14ac:dyDescent="0.25">
      <c r="I493" s="124"/>
      <c r="L493" s="124"/>
      <c r="O493" s="124"/>
      <c r="R493" s="124"/>
    </row>
    <row r="494" spans="9:18" s="68" customFormat="1" x14ac:dyDescent="0.25">
      <c r="I494" s="124"/>
      <c r="L494" s="124"/>
      <c r="O494" s="124"/>
      <c r="R494" s="124"/>
    </row>
    <row r="495" spans="9:18" s="68" customFormat="1" x14ac:dyDescent="0.25">
      <c r="I495" s="124"/>
      <c r="L495" s="124"/>
      <c r="O495" s="124"/>
      <c r="R495" s="124"/>
    </row>
    <row r="496" spans="9:18" s="68" customFormat="1" x14ac:dyDescent="0.25">
      <c r="I496" s="124"/>
      <c r="L496" s="124"/>
      <c r="O496" s="124"/>
      <c r="R496" s="124"/>
    </row>
    <row r="497" spans="9:18" s="68" customFormat="1" x14ac:dyDescent="0.25">
      <c r="I497" s="124"/>
      <c r="L497" s="124"/>
      <c r="O497" s="124"/>
      <c r="R497" s="124"/>
    </row>
    <row r="498" spans="9:18" s="68" customFormat="1" x14ac:dyDescent="0.25">
      <c r="I498" s="124"/>
      <c r="L498" s="124"/>
      <c r="O498" s="124"/>
      <c r="R498" s="124"/>
    </row>
    <row r="499" spans="9:18" s="68" customFormat="1" x14ac:dyDescent="0.25">
      <c r="I499" s="124"/>
      <c r="L499" s="124"/>
      <c r="O499" s="124"/>
      <c r="R499" s="124"/>
    </row>
    <row r="500" spans="9:18" s="68" customFormat="1" x14ac:dyDescent="0.25">
      <c r="I500" s="124"/>
      <c r="L500" s="124"/>
      <c r="O500" s="124"/>
      <c r="R500" s="124"/>
    </row>
    <row r="501" spans="9:18" s="68" customFormat="1" x14ac:dyDescent="0.25">
      <c r="I501" s="124"/>
      <c r="L501" s="124"/>
      <c r="O501" s="124"/>
      <c r="R501" s="124"/>
    </row>
    <row r="502" spans="9:18" s="68" customFormat="1" x14ac:dyDescent="0.25">
      <c r="I502" s="124"/>
      <c r="L502" s="124"/>
      <c r="O502" s="124"/>
      <c r="R502" s="124"/>
    </row>
    <row r="503" spans="9:18" s="68" customFormat="1" x14ac:dyDescent="0.25">
      <c r="I503" s="124"/>
      <c r="L503" s="124"/>
      <c r="O503" s="124"/>
      <c r="R503" s="124"/>
    </row>
    <row r="504" spans="9:18" s="68" customFormat="1" x14ac:dyDescent="0.25">
      <c r="I504" s="124"/>
      <c r="L504" s="124"/>
      <c r="O504" s="124"/>
      <c r="R504" s="124"/>
    </row>
    <row r="505" spans="9:18" s="68" customFormat="1" x14ac:dyDescent="0.25">
      <c r="I505" s="124"/>
      <c r="L505" s="124"/>
      <c r="O505" s="124"/>
      <c r="R505" s="124"/>
    </row>
    <row r="506" spans="9:18" s="68" customFormat="1" x14ac:dyDescent="0.25">
      <c r="I506" s="124"/>
      <c r="L506" s="124"/>
      <c r="O506" s="124"/>
      <c r="R506" s="124"/>
    </row>
    <row r="507" spans="9:18" s="68" customFormat="1" x14ac:dyDescent="0.25">
      <c r="I507" s="124"/>
      <c r="L507" s="124"/>
      <c r="O507" s="124"/>
      <c r="R507" s="124"/>
    </row>
    <row r="508" spans="9:18" s="68" customFormat="1" x14ac:dyDescent="0.25">
      <c r="I508" s="124"/>
      <c r="L508" s="124"/>
      <c r="O508" s="124"/>
      <c r="R508" s="124"/>
    </row>
    <row r="509" spans="9:18" s="68" customFormat="1" x14ac:dyDescent="0.25">
      <c r="I509" s="124"/>
      <c r="L509" s="124"/>
      <c r="O509" s="124"/>
      <c r="R509" s="124"/>
    </row>
    <row r="510" spans="9:18" s="68" customFormat="1" x14ac:dyDescent="0.25">
      <c r="I510" s="124"/>
      <c r="L510" s="124"/>
      <c r="O510" s="124"/>
      <c r="R510" s="124"/>
    </row>
    <row r="511" spans="9:18" s="68" customFormat="1" x14ac:dyDescent="0.25">
      <c r="I511" s="124"/>
      <c r="L511" s="124"/>
      <c r="O511" s="124"/>
      <c r="R511" s="124"/>
    </row>
    <row r="512" spans="9:18" s="68" customFormat="1" x14ac:dyDescent="0.25">
      <c r="I512" s="124"/>
      <c r="L512" s="124"/>
      <c r="O512" s="124"/>
      <c r="R512" s="124"/>
    </row>
    <row r="513" spans="9:18" s="68" customFormat="1" x14ac:dyDescent="0.25">
      <c r="I513" s="124"/>
      <c r="L513" s="124"/>
      <c r="O513" s="124"/>
      <c r="R513" s="124"/>
    </row>
    <row r="514" spans="9:18" s="68" customFormat="1" x14ac:dyDescent="0.25">
      <c r="I514" s="124"/>
      <c r="L514" s="124"/>
      <c r="O514" s="124"/>
      <c r="R514" s="124"/>
    </row>
    <row r="515" spans="9:18" s="68" customFormat="1" x14ac:dyDescent="0.25">
      <c r="I515" s="124"/>
      <c r="L515" s="124"/>
      <c r="O515" s="124"/>
      <c r="R515" s="124"/>
    </row>
    <row r="516" spans="9:18" s="68" customFormat="1" x14ac:dyDescent="0.25">
      <c r="I516" s="124"/>
      <c r="L516" s="124"/>
      <c r="O516" s="124"/>
      <c r="R516" s="124"/>
    </row>
    <row r="517" spans="9:18" s="68" customFormat="1" x14ac:dyDescent="0.25">
      <c r="I517" s="124"/>
      <c r="L517" s="124"/>
      <c r="O517" s="124"/>
      <c r="R517" s="124"/>
    </row>
    <row r="518" spans="9:18" s="68" customFormat="1" x14ac:dyDescent="0.25">
      <c r="I518" s="124"/>
      <c r="L518" s="124"/>
      <c r="O518" s="124"/>
      <c r="R518" s="124"/>
    </row>
    <row r="519" spans="9:18" s="68" customFormat="1" x14ac:dyDescent="0.25">
      <c r="I519" s="124"/>
      <c r="L519" s="124"/>
      <c r="O519" s="124"/>
      <c r="R519" s="124"/>
    </row>
    <row r="520" spans="9:18" s="68" customFormat="1" x14ac:dyDescent="0.25">
      <c r="I520" s="124"/>
      <c r="L520" s="124"/>
      <c r="O520" s="124"/>
      <c r="R520" s="124"/>
    </row>
    <row r="521" spans="9:18" s="68" customFormat="1" x14ac:dyDescent="0.25">
      <c r="I521" s="124"/>
      <c r="L521" s="124"/>
      <c r="O521" s="124"/>
      <c r="R521" s="124"/>
    </row>
    <row r="522" spans="9:18" s="68" customFormat="1" x14ac:dyDescent="0.25">
      <c r="I522" s="124"/>
      <c r="L522" s="124"/>
      <c r="O522" s="124"/>
      <c r="R522" s="124"/>
    </row>
    <row r="523" spans="9:18" s="68" customFormat="1" x14ac:dyDescent="0.25">
      <c r="I523" s="124"/>
      <c r="L523" s="124"/>
      <c r="O523" s="124"/>
      <c r="R523" s="124"/>
    </row>
    <row r="524" spans="9:18" s="68" customFormat="1" x14ac:dyDescent="0.25">
      <c r="I524" s="124"/>
      <c r="L524" s="124"/>
      <c r="O524" s="124"/>
      <c r="R524" s="124"/>
    </row>
    <row r="525" spans="9:18" s="68" customFormat="1" x14ac:dyDescent="0.25">
      <c r="I525" s="124"/>
      <c r="L525" s="124"/>
      <c r="O525" s="124"/>
      <c r="R525" s="124"/>
    </row>
    <row r="526" spans="9:18" s="68" customFormat="1" x14ac:dyDescent="0.25">
      <c r="I526" s="124"/>
      <c r="L526" s="124"/>
      <c r="O526" s="124"/>
      <c r="R526" s="124"/>
    </row>
    <row r="527" spans="9:18" s="68" customFormat="1" x14ac:dyDescent="0.25">
      <c r="I527" s="124"/>
      <c r="L527" s="124"/>
      <c r="O527" s="124"/>
      <c r="R527" s="124"/>
    </row>
    <row r="528" spans="9:18" s="68" customFormat="1" x14ac:dyDescent="0.25">
      <c r="I528" s="124"/>
      <c r="L528" s="124"/>
      <c r="O528" s="124"/>
      <c r="R528" s="124"/>
    </row>
    <row r="529" spans="9:18" s="68" customFormat="1" x14ac:dyDescent="0.25">
      <c r="I529" s="124"/>
      <c r="L529" s="124"/>
      <c r="O529" s="124"/>
      <c r="R529" s="124"/>
    </row>
    <row r="530" spans="9:18" s="68" customFormat="1" x14ac:dyDescent="0.25">
      <c r="I530" s="124"/>
      <c r="L530" s="124"/>
      <c r="O530" s="124"/>
      <c r="R530" s="124"/>
    </row>
    <row r="531" spans="9:18" s="68" customFormat="1" x14ac:dyDescent="0.25">
      <c r="I531" s="124"/>
      <c r="L531" s="124"/>
      <c r="O531" s="124"/>
      <c r="R531" s="124"/>
    </row>
    <row r="532" spans="9:18" s="68" customFormat="1" x14ac:dyDescent="0.25">
      <c r="I532" s="124"/>
      <c r="L532" s="124"/>
      <c r="O532" s="124"/>
      <c r="R532" s="124"/>
    </row>
    <row r="533" spans="9:18" s="68" customFormat="1" x14ac:dyDescent="0.25">
      <c r="I533" s="124"/>
      <c r="L533" s="124"/>
      <c r="O533" s="124"/>
      <c r="R533" s="124"/>
    </row>
    <row r="534" spans="9:18" s="68" customFormat="1" x14ac:dyDescent="0.25">
      <c r="I534" s="124"/>
      <c r="L534" s="124"/>
      <c r="O534" s="124"/>
      <c r="R534" s="124"/>
    </row>
    <row r="535" spans="9:18" s="68" customFormat="1" x14ac:dyDescent="0.25">
      <c r="I535" s="124"/>
      <c r="L535" s="124"/>
      <c r="O535" s="124"/>
      <c r="R535" s="124"/>
    </row>
    <row r="536" spans="9:18" s="68" customFormat="1" x14ac:dyDescent="0.25">
      <c r="I536" s="124"/>
      <c r="L536" s="124"/>
      <c r="O536" s="124"/>
      <c r="R536" s="124"/>
    </row>
    <row r="537" spans="9:18" s="68" customFormat="1" x14ac:dyDescent="0.25">
      <c r="I537" s="124"/>
      <c r="L537" s="124"/>
      <c r="O537" s="124"/>
      <c r="R537" s="124"/>
    </row>
    <row r="538" spans="9:18" s="68" customFormat="1" x14ac:dyDescent="0.25">
      <c r="I538" s="124"/>
      <c r="L538" s="124"/>
      <c r="O538" s="124"/>
      <c r="R538" s="124"/>
    </row>
    <row r="539" spans="9:18" s="68" customFormat="1" x14ac:dyDescent="0.25">
      <c r="I539" s="124"/>
      <c r="L539" s="124"/>
      <c r="O539" s="124"/>
      <c r="R539" s="124"/>
    </row>
    <row r="540" spans="9:18" s="68" customFormat="1" x14ac:dyDescent="0.25">
      <c r="I540" s="124"/>
      <c r="L540" s="124"/>
      <c r="O540" s="124"/>
      <c r="R540" s="124"/>
    </row>
    <row r="541" spans="9:18" s="68" customFormat="1" x14ac:dyDescent="0.25">
      <c r="I541" s="124"/>
      <c r="L541" s="124"/>
      <c r="O541" s="124"/>
      <c r="R541" s="124"/>
    </row>
    <row r="542" spans="9:18" s="68" customFormat="1" x14ac:dyDescent="0.25">
      <c r="I542" s="124"/>
      <c r="L542" s="124"/>
      <c r="O542" s="124"/>
      <c r="R542" s="124"/>
    </row>
    <row r="543" spans="9:18" s="68" customFormat="1" x14ac:dyDescent="0.25">
      <c r="I543" s="124"/>
      <c r="L543" s="124"/>
      <c r="O543" s="124"/>
      <c r="R543" s="124"/>
    </row>
    <row r="544" spans="9:18" s="68" customFormat="1" x14ac:dyDescent="0.25">
      <c r="I544" s="124"/>
      <c r="L544" s="124"/>
      <c r="O544" s="124"/>
      <c r="R544" s="124"/>
    </row>
    <row r="545" spans="9:18" s="68" customFormat="1" x14ac:dyDescent="0.25">
      <c r="I545" s="124"/>
      <c r="L545" s="124"/>
      <c r="O545" s="124"/>
      <c r="R545" s="124"/>
    </row>
    <row r="546" spans="9:18" s="68" customFormat="1" x14ac:dyDescent="0.25">
      <c r="I546" s="124"/>
      <c r="L546" s="124"/>
      <c r="O546" s="124"/>
      <c r="R546" s="124"/>
    </row>
    <row r="547" spans="9:18" s="68" customFormat="1" x14ac:dyDescent="0.25">
      <c r="I547" s="124"/>
      <c r="L547" s="124"/>
      <c r="O547" s="124"/>
      <c r="R547" s="124"/>
    </row>
    <row r="548" spans="9:18" s="68" customFormat="1" x14ac:dyDescent="0.25">
      <c r="I548" s="124"/>
      <c r="L548" s="124"/>
      <c r="O548" s="124"/>
      <c r="R548" s="124"/>
    </row>
    <row r="549" spans="9:18" s="68" customFormat="1" x14ac:dyDescent="0.25">
      <c r="I549" s="124"/>
      <c r="L549" s="124"/>
      <c r="O549" s="124"/>
      <c r="R549" s="124"/>
    </row>
    <row r="550" spans="9:18" s="68" customFormat="1" x14ac:dyDescent="0.25">
      <c r="I550" s="124"/>
      <c r="L550" s="124"/>
      <c r="O550" s="124"/>
      <c r="R550" s="124"/>
    </row>
    <row r="551" spans="9:18" s="68" customFormat="1" x14ac:dyDescent="0.25">
      <c r="I551" s="124"/>
      <c r="L551" s="124"/>
      <c r="O551" s="124"/>
      <c r="R551" s="124"/>
    </row>
    <row r="552" spans="9:18" s="68" customFormat="1" x14ac:dyDescent="0.25">
      <c r="I552" s="124"/>
      <c r="L552" s="124"/>
      <c r="O552" s="124"/>
      <c r="R552" s="124"/>
    </row>
    <row r="553" spans="9:18" s="68" customFormat="1" x14ac:dyDescent="0.25">
      <c r="I553" s="124"/>
      <c r="L553" s="124"/>
      <c r="O553" s="124"/>
      <c r="R553" s="124"/>
    </row>
    <row r="554" spans="9:18" s="68" customFormat="1" x14ac:dyDescent="0.25">
      <c r="I554" s="124"/>
      <c r="L554" s="124"/>
      <c r="O554" s="124"/>
      <c r="R554" s="124"/>
    </row>
    <row r="555" spans="9:18" s="68" customFormat="1" x14ac:dyDescent="0.25">
      <c r="I555" s="124"/>
      <c r="L555" s="124"/>
      <c r="O555" s="124"/>
      <c r="R555" s="124"/>
    </row>
    <row r="556" spans="9:18" s="68" customFormat="1" x14ac:dyDescent="0.25">
      <c r="I556" s="124"/>
      <c r="L556" s="124"/>
      <c r="O556" s="124"/>
      <c r="R556" s="124"/>
    </row>
    <row r="557" spans="9:18" s="68" customFormat="1" x14ac:dyDescent="0.25">
      <c r="I557" s="124"/>
      <c r="L557" s="124"/>
      <c r="O557" s="124"/>
      <c r="R557" s="124"/>
    </row>
    <row r="558" spans="9:18" s="68" customFormat="1" x14ac:dyDescent="0.25">
      <c r="I558" s="124"/>
      <c r="L558" s="124"/>
      <c r="O558" s="124"/>
      <c r="R558" s="124"/>
    </row>
    <row r="559" spans="9:18" s="68" customFormat="1" x14ac:dyDescent="0.25">
      <c r="I559" s="124"/>
      <c r="L559" s="124"/>
      <c r="O559" s="124"/>
      <c r="R559" s="124"/>
    </row>
    <row r="560" spans="9:18" s="68" customFormat="1" x14ac:dyDescent="0.25">
      <c r="I560" s="124"/>
      <c r="L560" s="124"/>
      <c r="O560" s="124"/>
      <c r="R560" s="124"/>
    </row>
    <row r="561" spans="9:18" s="68" customFormat="1" x14ac:dyDescent="0.25">
      <c r="I561" s="124"/>
      <c r="L561" s="124"/>
      <c r="O561" s="124"/>
      <c r="R561" s="124"/>
    </row>
    <row r="562" spans="9:18" s="68" customFormat="1" x14ac:dyDescent="0.25">
      <c r="I562" s="124"/>
      <c r="L562" s="124"/>
      <c r="O562" s="124"/>
      <c r="R562" s="124"/>
    </row>
    <row r="563" spans="9:18" s="68" customFormat="1" x14ac:dyDescent="0.25">
      <c r="I563" s="124"/>
      <c r="L563" s="124"/>
      <c r="O563" s="124"/>
      <c r="R563" s="124"/>
    </row>
    <row r="564" spans="9:18" s="68" customFormat="1" x14ac:dyDescent="0.25">
      <c r="I564" s="124"/>
      <c r="L564" s="124"/>
      <c r="O564" s="124"/>
      <c r="R564" s="124"/>
    </row>
    <row r="565" spans="9:18" s="68" customFormat="1" x14ac:dyDescent="0.25">
      <c r="I565" s="124"/>
      <c r="L565" s="124"/>
      <c r="O565" s="124"/>
      <c r="R565" s="124"/>
    </row>
    <row r="566" spans="9:18" s="68" customFormat="1" x14ac:dyDescent="0.25">
      <c r="I566" s="124"/>
      <c r="L566" s="124"/>
      <c r="O566" s="124"/>
      <c r="R566" s="124"/>
    </row>
    <row r="567" spans="9:18" s="68" customFormat="1" x14ac:dyDescent="0.25">
      <c r="I567" s="124"/>
      <c r="L567" s="124"/>
      <c r="O567" s="124"/>
      <c r="R567" s="124"/>
    </row>
  </sheetData>
  <sheetProtection password="FFFD" sheet="1" insertColumns="0" deleteColumns="0" deleteRows="0"/>
  <mergeCells count="192">
    <mergeCell ref="C91:F91"/>
    <mergeCell ref="C92:F92"/>
    <mergeCell ref="C89:F89"/>
    <mergeCell ref="C79:F79"/>
    <mergeCell ref="C66:F66"/>
    <mergeCell ref="C68:F68"/>
    <mergeCell ref="C3:R3"/>
    <mergeCell ref="E15:F15"/>
    <mergeCell ref="E16:F16"/>
    <mergeCell ref="E17:F17"/>
    <mergeCell ref="E18:F19"/>
    <mergeCell ref="E20:F23"/>
    <mergeCell ref="K11:L11"/>
    <mergeCell ref="K12:L12"/>
    <mergeCell ref="N4:R4"/>
    <mergeCell ref="N5:R5"/>
    <mergeCell ref="N12:R12"/>
    <mergeCell ref="N70:O70"/>
    <mergeCell ref="N71:O71"/>
    <mergeCell ref="N63:O63"/>
    <mergeCell ref="N64:O64"/>
    <mergeCell ref="N6:R6"/>
    <mergeCell ref="K66:L66"/>
    <mergeCell ref="Q92:R92"/>
    <mergeCell ref="N92:O92"/>
    <mergeCell ref="N85:O85"/>
    <mergeCell ref="N72:O72"/>
    <mergeCell ref="N73:O73"/>
    <mergeCell ref="N76:O76"/>
    <mergeCell ref="Q85:R85"/>
    <mergeCell ref="Q89:R89"/>
    <mergeCell ref="Q74:R74"/>
    <mergeCell ref="Q75:R75"/>
    <mergeCell ref="Q87:R87"/>
    <mergeCell ref="Q88:R88"/>
    <mergeCell ref="Q91:R91"/>
    <mergeCell ref="Q79:R79"/>
    <mergeCell ref="Q72:R72"/>
    <mergeCell ref="Q73:R73"/>
    <mergeCell ref="Q76:R76"/>
    <mergeCell ref="N77:O77"/>
    <mergeCell ref="N79:O79"/>
    <mergeCell ref="Q77:R77"/>
    <mergeCell ref="H68:I68"/>
    <mergeCell ref="K67:L67"/>
    <mergeCell ref="N74:O74"/>
    <mergeCell ref="N75:O75"/>
    <mergeCell ref="N78:O78"/>
    <mergeCell ref="N80:O80"/>
    <mergeCell ref="N81:O81"/>
    <mergeCell ref="N82:O82"/>
    <mergeCell ref="N83:O83"/>
    <mergeCell ref="K68:L68"/>
    <mergeCell ref="K69:L69"/>
    <mergeCell ref="H71:I71"/>
    <mergeCell ref="H72:I72"/>
    <mergeCell ref="H79:I79"/>
    <mergeCell ref="H83:I83"/>
    <mergeCell ref="Q64:R64"/>
    <mergeCell ref="Q65:R65"/>
    <mergeCell ref="Q66:R66"/>
    <mergeCell ref="Q68:R68"/>
    <mergeCell ref="Q69:R69"/>
    <mergeCell ref="N65:O65"/>
    <mergeCell ref="N66:O66"/>
    <mergeCell ref="N68:O68"/>
    <mergeCell ref="N69:O69"/>
    <mergeCell ref="Q67:R67"/>
    <mergeCell ref="N67:O67"/>
    <mergeCell ref="H92:I92"/>
    <mergeCell ref="H77:I77"/>
    <mergeCell ref="H73:I73"/>
    <mergeCell ref="H88:I88"/>
    <mergeCell ref="K86:L86"/>
    <mergeCell ref="K74:L74"/>
    <mergeCell ref="K75:L75"/>
    <mergeCell ref="K78:L78"/>
    <mergeCell ref="K80:L80"/>
    <mergeCell ref="K81:L81"/>
    <mergeCell ref="K82:L82"/>
    <mergeCell ref="K83:L83"/>
    <mergeCell ref="K84:L84"/>
    <mergeCell ref="K92:L92"/>
    <mergeCell ref="K79:L79"/>
    <mergeCell ref="K73:L73"/>
    <mergeCell ref="K76:L76"/>
    <mergeCell ref="K77:L77"/>
    <mergeCell ref="H74:I74"/>
    <mergeCell ref="H75:I75"/>
    <mergeCell ref="H89:I89"/>
    <mergeCell ref="K85:L85"/>
    <mergeCell ref="K89:L89"/>
    <mergeCell ref="H87:I87"/>
    <mergeCell ref="K4:L4"/>
    <mergeCell ref="K5:L5"/>
    <mergeCell ref="K6:L6"/>
    <mergeCell ref="K7:L7"/>
    <mergeCell ref="K8:L8"/>
    <mergeCell ref="K9:L9"/>
    <mergeCell ref="K10:L10"/>
    <mergeCell ref="D13:I13"/>
    <mergeCell ref="Q63:R63"/>
    <mergeCell ref="K63:L63"/>
    <mergeCell ref="N8:R8"/>
    <mergeCell ref="N9:R9"/>
    <mergeCell ref="N10:R10"/>
    <mergeCell ref="N11:R11"/>
    <mergeCell ref="E53:F53"/>
    <mergeCell ref="D4:J4"/>
    <mergeCell ref="D5:J5"/>
    <mergeCell ref="D6:J6"/>
    <mergeCell ref="D7:J7"/>
    <mergeCell ref="D10:J10"/>
    <mergeCell ref="N7:R7"/>
    <mergeCell ref="D8:J8"/>
    <mergeCell ref="D9:J9"/>
    <mergeCell ref="H63:I63"/>
    <mergeCell ref="E24:F24"/>
    <mergeCell ref="E54:F55"/>
    <mergeCell ref="E56:F58"/>
    <mergeCell ref="E59:F61"/>
    <mergeCell ref="E52:F52"/>
    <mergeCell ref="E37:F37"/>
    <mergeCell ref="E31:F36"/>
    <mergeCell ref="E38:F49"/>
    <mergeCell ref="E50:F51"/>
    <mergeCell ref="E25:F27"/>
    <mergeCell ref="E28:F30"/>
    <mergeCell ref="C67:F67"/>
    <mergeCell ref="H67:I67"/>
    <mergeCell ref="C63:F63"/>
    <mergeCell ref="C64:F64"/>
    <mergeCell ref="C65:F65"/>
    <mergeCell ref="C71:F71"/>
    <mergeCell ref="C84:F84"/>
    <mergeCell ref="C69:F69"/>
    <mergeCell ref="Q86:R86"/>
    <mergeCell ref="H69:I69"/>
    <mergeCell ref="H64:I64"/>
    <mergeCell ref="H65:I65"/>
    <mergeCell ref="H66:I66"/>
    <mergeCell ref="Q78:R78"/>
    <mergeCell ref="Q80:R80"/>
    <mergeCell ref="Q81:R81"/>
    <mergeCell ref="Q82:R82"/>
    <mergeCell ref="Q83:R83"/>
    <mergeCell ref="Q84:R84"/>
    <mergeCell ref="K64:L64"/>
    <mergeCell ref="K65:L65"/>
    <mergeCell ref="K70:L70"/>
    <mergeCell ref="K71:L71"/>
    <mergeCell ref="K72:L72"/>
    <mergeCell ref="H84:I84"/>
    <mergeCell ref="N84:O84"/>
    <mergeCell ref="Q90:R90"/>
    <mergeCell ref="H86:I86"/>
    <mergeCell ref="C70:F70"/>
    <mergeCell ref="C72:F72"/>
    <mergeCell ref="C73:F73"/>
    <mergeCell ref="C76:F76"/>
    <mergeCell ref="C77:F77"/>
    <mergeCell ref="H85:I85"/>
    <mergeCell ref="H76:I76"/>
    <mergeCell ref="C74:F74"/>
    <mergeCell ref="C90:F90"/>
    <mergeCell ref="N89:O89"/>
    <mergeCell ref="Q70:R70"/>
    <mergeCell ref="Q71:R71"/>
    <mergeCell ref="D11:J11"/>
    <mergeCell ref="D12:J12"/>
    <mergeCell ref="H90:I90"/>
    <mergeCell ref="H91:I91"/>
    <mergeCell ref="K87:L87"/>
    <mergeCell ref="K88:L88"/>
    <mergeCell ref="K90:L90"/>
    <mergeCell ref="K91:L91"/>
    <mergeCell ref="N86:O86"/>
    <mergeCell ref="N87:O87"/>
    <mergeCell ref="N88:O88"/>
    <mergeCell ref="N90:O90"/>
    <mergeCell ref="N91:O91"/>
    <mergeCell ref="H78:I78"/>
    <mergeCell ref="H80:I80"/>
    <mergeCell ref="H81:I81"/>
    <mergeCell ref="H82:I82"/>
    <mergeCell ref="B62:D62"/>
    <mergeCell ref="C86:F86"/>
    <mergeCell ref="C88:F88"/>
    <mergeCell ref="C85:F85"/>
    <mergeCell ref="C78:F78"/>
    <mergeCell ref="C87:F87"/>
    <mergeCell ref="H70:I70"/>
  </mergeCells>
  <conditionalFormatting sqref="I16:J16">
    <cfRule type="cellIs" dxfId="39" priority="4" stopIfTrue="1" operator="notBetween">
      <formula>0</formula>
      <formula>999999999</formula>
    </cfRule>
  </conditionalFormatting>
  <conditionalFormatting sqref="I18:J23 L18:M23 O18:P23 R18:R23 I25:I36 L25:L36 O25:O36 R25:R36 I38:I51 L38:L51 O38:O51 R38:R51 I53:I61 L53:L61 O53:O61 R53:R61">
    <cfRule type="cellIs" dxfId="38" priority="78" stopIfTrue="1" operator="notBetween">
      <formula>0</formula>
      <formula>999999999</formula>
    </cfRule>
  </conditionalFormatting>
  <conditionalFormatting sqref="J25:J27">
    <cfRule type="cellIs" dxfId="37" priority="30" stopIfTrue="1" operator="notBetween">
      <formula>0</formula>
      <formula>999999999</formula>
    </cfRule>
  </conditionalFormatting>
  <conditionalFormatting sqref="L16:M16">
    <cfRule type="cellIs" dxfId="36" priority="33" stopIfTrue="1" operator="notBetween">
      <formula>0</formula>
      <formula>999999999</formula>
    </cfRule>
  </conditionalFormatting>
  <conditionalFormatting sqref="M25:M27">
    <cfRule type="cellIs" dxfId="35" priority="29" stopIfTrue="1" operator="notBetween">
      <formula>0</formula>
      <formula>999999999</formula>
    </cfRule>
  </conditionalFormatting>
  <conditionalFormatting sqref="O16">
    <cfRule type="cellIs" dxfId="34" priority="8" stopIfTrue="1" operator="notBetween">
      <formula>0</formula>
      <formula>999999999</formula>
    </cfRule>
  </conditionalFormatting>
  <conditionalFormatting sqref="P25:P27">
    <cfRule type="cellIs" dxfId="33" priority="28" stopIfTrue="1" operator="notBetween">
      <formula>0</formula>
      <formula>999999999</formula>
    </cfRule>
  </conditionalFormatting>
  <conditionalFormatting sqref="R16">
    <cfRule type="cellIs" dxfId="32" priority="9" stopIfTrue="1" operator="notBetween">
      <formula>0</formula>
      <formula>999999999</formula>
    </cfRule>
  </conditionalFormatting>
  <pageMargins left="0.70866141732283472" right="0.70866141732283472" top="0.78740157480314965" bottom="0.78740157480314965" header="0.31496062992125984" footer="0.31496062992125984"/>
  <pageSetup paperSize="9" scale="42" fitToWidth="0" fitToHeight="2" orientation="landscape" r:id="rId1"/>
  <rowBreaks count="1" manualBreakCount="1">
    <brk id="36" min="1" max="11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558"/>
  <sheetViews>
    <sheetView topLeftCell="A2" zoomScale="80" zoomScaleNormal="80" workbookViewId="0">
      <selection activeCell="H25" sqref="H25"/>
    </sheetView>
  </sheetViews>
  <sheetFormatPr baseColWidth="10" defaultColWidth="11.42578125" defaultRowHeight="12.75" x14ac:dyDescent="0.2"/>
  <cols>
    <col min="1" max="2" width="3.7109375" style="71" customWidth="1"/>
    <col min="3" max="3" width="58.7109375" style="71" customWidth="1"/>
    <col min="4" max="4" width="14" style="72" customWidth="1"/>
    <col min="5" max="5" width="7.28515625" style="73" customWidth="1"/>
    <col min="6" max="6" width="17.5703125" style="73" customWidth="1"/>
    <col min="7" max="7" width="2.28515625" style="161" customWidth="1"/>
    <col min="8" max="8" width="11.42578125" style="73" customWidth="1"/>
    <col min="9" max="9" width="7.5703125" style="73" customWidth="1"/>
    <col min="10" max="10" width="21.5703125" style="80" customWidth="1"/>
    <col min="11" max="11" width="6.42578125" style="73" customWidth="1"/>
    <col min="12" max="12" width="2.28515625" style="80" customWidth="1"/>
    <col min="13" max="13" width="11.28515625" style="73" customWidth="1"/>
    <col min="14" max="14" width="7.28515625" style="73" customWidth="1"/>
    <col min="15" max="15" width="1.42578125" style="80" customWidth="1"/>
    <col min="16" max="16" width="11.5703125" style="73" customWidth="1"/>
    <col min="17" max="17" width="6.7109375" style="73" customWidth="1"/>
    <col min="18" max="18" width="3.7109375" style="71" customWidth="1"/>
    <col min="19" max="19" width="1.7109375" style="71" customWidth="1"/>
    <col min="20" max="20" width="3.7109375" style="71" customWidth="1"/>
    <col min="21" max="22" width="40.7109375" style="71" customWidth="1"/>
    <col min="23" max="23" width="48.28515625" style="71" customWidth="1"/>
    <col min="24" max="24" width="3.7109375" style="71" customWidth="1"/>
    <col min="25" max="16384" width="11.42578125" style="71"/>
  </cols>
  <sheetData>
    <row r="1" spans="1:23" ht="13.15" hidden="1" customHeight="1" x14ac:dyDescent="0.2">
      <c r="J1" s="73"/>
      <c r="L1" s="73"/>
      <c r="O1" s="73"/>
    </row>
    <row r="2" spans="1:23" ht="13.15" customHeight="1" x14ac:dyDescent="0.2">
      <c r="F2" s="72"/>
      <c r="G2" s="72"/>
      <c r="H2" s="72"/>
      <c r="J2" s="73"/>
      <c r="L2" s="73"/>
      <c r="O2" s="73"/>
    </row>
    <row r="3" spans="1:23" ht="13.15" customHeight="1" x14ac:dyDescent="0.2">
      <c r="B3" s="81"/>
      <c r="C3" s="116"/>
      <c r="D3" s="117"/>
      <c r="E3" s="118"/>
      <c r="F3" s="118"/>
      <c r="G3" s="162"/>
      <c r="H3" s="118"/>
      <c r="I3" s="118"/>
      <c r="J3" s="118"/>
      <c r="K3" s="118"/>
      <c r="L3" s="118"/>
      <c r="M3" s="118"/>
      <c r="N3" s="118"/>
      <c r="O3" s="118"/>
      <c r="P3" s="118"/>
      <c r="Q3" s="118"/>
      <c r="R3" s="119"/>
    </row>
    <row r="4" spans="1:23" ht="13.15" customHeight="1" x14ac:dyDescent="0.2">
      <c r="B4" s="82"/>
      <c r="C4" s="266" t="s">
        <v>109</v>
      </c>
      <c r="D4" s="266"/>
      <c r="E4" s="266"/>
      <c r="F4" s="266"/>
      <c r="G4" s="266"/>
      <c r="H4" s="266"/>
      <c r="I4" s="266"/>
      <c r="J4" s="266" t="s">
        <v>119</v>
      </c>
      <c r="K4" s="266"/>
      <c r="L4" s="266"/>
      <c r="M4" s="266"/>
      <c r="N4" s="266"/>
      <c r="O4" s="266"/>
      <c r="P4" s="266"/>
      <c r="Q4" s="266"/>
      <c r="R4" s="131"/>
    </row>
    <row r="5" spans="1:23" s="113" customFormat="1" ht="23.25" customHeight="1" x14ac:dyDescent="0.2">
      <c r="B5" s="82"/>
      <c r="C5" s="135" t="s">
        <v>110</v>
      </c>
      <c r="D5" s="247">
        <v>44562</v>
      </c>
      <c r="E5" s="247"/>
      <c r="F5" s="247"/>
      <c r="G5" s="247"/>
      <c r="H5" s="247"/>
      <c r="I5" s="247"/>
      <c r="J5" s="272" t="s">
        <v>17</v>
      </c>
      <c r="K5" s="272"/>
      <c r="L5" s="273">
        <f>IF('Overview IB'!D11="","",'Overview IB'!D11)</f>
        <v>44562</v>
      </c>
      <c r="M5" s="273"/>
      <c r="N5" s="273"/>
      <c r="O5" s="273"/>
      <c r="P5" s="273"/>
      <c r="Q5" s="273"/>
      <c r="R5" s="115"/>
    </row>
    <row r="6" spans="1:23" s="113" customFormat="1" ht="18.75" customHeight="1" x14ac:dyDescent="0.2">
      <c r="B6" s="82"/>
      <c r="C6" s="135" t="s">
        <v>111</v>
      </c>
      <c r="D6" s="247">
        <v>44742</v>
      </c>
      <c r="E6" s="247"/>
      <c r="F6" s="247"/>
      <c r="G6" s="247"/>
      <c r="H6" s="247"/>
      <c r="I6" s="247"/>
      <c r="J6" s="272" t="s">
        <v>18</v>
      </c>
      <c r="K6" s="272"/>
      <c r="L6" s="273">
        <f>IF('Overview IB'!D12="","",'Overview IB'!D12)</f>
        <v>45291</v>
      </c>
      <c r="M6" s="273"/>
      <c r="N6" s="273"/>
      <c r="O6" s="273"/>
      <c r="P6" s="273"/>
      <c r="Q6" s="273"/>
      <c r="R6" s="115"/>
    </row>
    <row r="7" spans="1:23" s="113" customFormat="1" ht="18.75" customHeight="1" x14ac:dyDescent="0.2">
      <c r="B7" s="82"/>
      <c r="C7" s="136" t="s">
        <v>36</v>
      </c>
      <c r="D7" s="275">
        <f>IF(OR(D5="",L7="befüllt sich automatisch"),0,((D6-D5)/30)/L7)</f>
        <v>0.24691358024691357</v>
      </c>
      <c r="E7" s="275"/>
      <c r="F7" s="275"/>
      <c r="G7" s="276"/>
      <c r="H7" s="275"/>
      <c r="I7" s="275"/>
      <c r="J7" s="272" t="s">
        <v>72</v>
      </c>
      <c r="K7" s="272"/>
      <c r="L7" s="274">
        <f>IF(IF(OR(L6="",L5=""),"",(L6-L5)/30)="","befüllt sich automatisch",IF(OR(L6="",L5=""),"",(L6-L5)/30))</f>
        <v>24.3</v>
      </c>
      <c r="M7" s="274"/>
      <c r="N7" s="274"/>
      <c r="O7" s="274"/>
      <c r="P7" s="274"/>
      <c r="Q7" s="274"/>
      <c r="R7" s="115"/>
    </row>
    <row r="8" spans="1:23" ht="12.4" customHeight="1" x14ac:dyDescent="0.2">
      <c r="A8" s="74"/>
      <c r="B8" s="82"/>
      <c r="C8" s="83"/>
      <c r="D8" s="83"/>
      <c r="E8" s="83"/>
      <c r="F8" s="114"/>
      <c r="G8" s="118"/>
      <c r="H8" s="114"/>
      <c r="I8" s="114"/>
      <c r="J8" s="83"/>
      <c r="K8" s="83"/>
      <c r="L8" s="83"/>
      <c r="M8" s="83"/>
      <c r="N8" s="83"/>
      <c r="O8" s="83"/>
      <c r="P8" s="83"/>
      <c r="Q8" s="83"/>
      <c r="R8" s="84"/>
      <c r="S8" s="74"/>
      <c r="T8" s="74"/>
      <c r="U8" s="74"/>
    </row>
    <row r="9" spans="1:23" s="74" customFormat="1" ht="25.9" customHeight="1" x14ac:dyDescent="0.2">
      <c r="B9" s="82"/>
      <c r="C9" s="104" t="s">
        <v>42</v>
      </c>
      <c r="D9" s="88" t="s">
        <v>86</v>
      </c>
      <c r="E9" s="240"/>
      <c r="F9" s="251"/>
      <c r="G9" s="37"/>
      <c r="H9" s="160" t="s">
        <v>37</v>
      </c>
      <c r="I9" s="39" t="s">
        <v>11</v>
      </c>
      <c r="J9" s="261" t="s">
        <v>74</v>
      </c>
      <c r="K9" s="262"/>
      <c r="L9" s="262"/>
      <c r="M9" s="262"/>
      <c r="N9" s="262"/>
      <c r="O9" s="262"/>
      <c r="P9" s="262"/>
      <c r="Q9" s="263"/>
      <c r="R9" s="85"/>
      <c r="U9" s="75"/>
      <c r="V9" s="75"/>
      <c r="W9" s="75"/>
    </row>
    <row r="10" spans="1:23" s="74" customFormat="1" ht="18.75" customHeight="1" x14ac:dyDescent="0.2">
      <c r="B10" s="82"/>
      <c r="C10" s="89" t="s">
        <v>121</v>
      </c>
      <c r="D10" s="146">
        <f>'Overview IB'!D16</f>
        <v>818</v>
      </c>
      <c r="E10" s="255" t="str">
        <f>IF('Overview IB'!E16 &gt; 0, 'Overview IB'!E16, "")</f>
        <v/>
      </c>
      <c r="F10" s="256"/>
      <c r="G10" s="37"/>
      <c r="H10" s="102">
        <f>H13+H16+H20+H23+H26</f>
        <v>336</v>
      </c>
      <c r="I10" s="134">
        <f>IF(H10=0,0,H10/D10)</f>
        <v>0.41075794621026895</v>
      </c>
      <c r="J10" s="257"/>
      <c r="K10" s="258"/>
      <c r="L10" s="258"/>
      <c r="M10" s="258"/>
      <c r="N10" s="258"/>
      <c r="O10" s="258"/>
      <c r="P10" s="258"/>
      <c r="Q10" s="259"/>
      <c r="R10" s="85"/>
      <c r="U10" s="75"/>
      <c r="V10" s="75"/>
      <c r="W10" s="75"/>
    </row>
    <row r="11" spans="1:23" s="74" customFormat="1" ht="28.9" customHeight="1" x14ac:dyDescent="0.2">
      <c r="B11" s="82"/>
      <c r="C11" s="8" t="s">
        <v>87</v>
      </c>
      <c r="D11" s="88" t="s">
        <v>86</v>
      </c>
      <c r="E11" s="193" t="s">
        <v>91</v>
      </c>
      <c r="F11" s="195"/>
      <c r="G11" s="37"/>
      <c r="H11" s="38"/>
      <c r="I11" s="39"/>
      <c r="J11" s="284"/>
      <c r="K11" s="285"/>
      <c r="L11" s="285"/>
      <c r="M11" s="285"/>
      <c r="N11" s="285"/>
      <c r="O11" s="285"/>
      <c r="P11" s="285"/>
      <c r="Q11" s="286"/>
      <c r="R11" s="85"/>
      <c r="U11" s="75"/>
      <c r="V11" s="75"/>
      <c r="W11" s="75"/>
    </row>
    <row r="12" spans="1:23" ht="15" x14ac:dyDescent="0.2">
      <c r="B12" s="36"/>
      <c r="C12" s="90" t="s">
        <v>67</v>
      </c>
      <c r="D12" s="146">
        <f>'Overview IB'!D18</f>
        <v>38</v>
      </c>
      <c r="E12" s="252" t="str">
        <f>IF('Overview IB'!E18 &gt; 0, 'Overview IB'!E18, "")</f>
        <v>Elterninfo parallel zum TRT Programm</v>
      </c>
      <c r="F12" s="252"/>
      <c r="G12" s="37"/>
      <c r="H12" s="110">
        <v>3</v>
      </c>
      <c r="I12" s="166">
        <f>IF(H12=0,0,H12/D12)</f>
        <v>7.8947368421052627E-2</v>
      </c>
      <c r="J12" s="248" t="s">
        <v>136</v>
      </c>
      <c r="K12" s="248"/>
      <c r="L12" s="248"/>
      <c r="M12" s="248"/>
      <c r="N12" s="248"/>
      <c r="O12" s="248"/>
      <c r="P12" s="248"/>
      <c r="Q12" s="248"/>
      <c r="R12" s="86"/>
      <c r="U12" s="105"/>
      <c r="V12" s="105"/>
      <c r="W12" s="105"/>
    </row>
    <row r="13" spans="1:23" ht="15" x14ac:dyDescent="0.2">
      <c r="B13" s="36"/>
      <c r="C13" s="91" t="s">
        <v>122</v>
      </c>
      <c r="D13" s="146">
        <f>'Overview IB'!D19</f>
        <v>190</v>
      </c>
      <c r="E13" s="253"/>
      <c r="F13" s="254"/>
      <c r="G13" s="37"/>
      <c r="H13" s="110">
        <v>18</v>
      </c>
      <c r="I13" s="167">
        <f t="shared" ref="I13:I17" si="0">IF(H13=0,0,H13/D13)</f>
        <v>9.4736842105263161E-2</v>
      </c>
      <c r="J13" s="248" t="s">
        <v>137</v>
      </c>
      <c r="K13" s="248"/>
      <c r="L13" s="248"/>
      <c r="M13" s="248"/>
      <c r="N13" s="248"/>
      <c r="O13" s="248"/>
      <c r="P13" s="248"/>
      <c r="Q13" s="248"/>
      <c r="R13" s="86"/>
      <c r="U13" s="105"/>
      <c r="V13" s="105"/>
      <c r="W13" s="105"/>
    </row>
    <row r="14" spans="1:23" ht="15" x14ac:dyDescent="0.2">
      <c r="B14" s="36"/>
      <c r="C14" s="90" t="s">
        <v>68</v>
      </c>
      <c r="D14" s="146">
        <f>'Overview IB'!D20</f>
        <v>10</v>
      </c>
      <c r="E14" s="252" t="str">
        <f>IF('Overview IB'!E20 &gt; 0, 'Overview IB'!E20, "")</f>
        <v>a) Traumapädagogische Seminare für Lehrkräfte
b) Aus- und Fortbildung von mutterprachlichen TRT TrainerInnen</v>
      </c>
      <c r="F14" s="252"/>
      <c r="G14" s="37"/>
      <c r="H14" s="110">
        <v>7</v>
      </c>
      <c r="I14" s="166">
        <f t="shared" si="0"/>
        <v>0.7</v>
      </c>
      <c r="J14" s="248" t="s">
        <v>138</v>
      </c>
      <c r="K14" s="248"/>
      <c r="L14" s="248"/>
      <c r="M14" s="248"/>
      <c r="N14" s="248"/>
      <c r="O14" s="248"/>
      <c r="P14" s="248"/>
      <c r="Q14" s="248"/>
      <c r="R14" s="86"/>
      <c r="U14" s="105"/>
      <c r="V14" s="105"/>
      <c r="W14" s="105"/>
    </row>
    <row r="15" spans="1:23" ht="15" x14ac:dyDescent="0.2">
      <c r="B15" s="36"/>
      <c r="C15" s="92" t="s">
        <v>65</v>
      </c>
      <c r="D15" s="146">
        <f>'Overview IB'!D21</f>
        <v>0</v>
      </c>
      <c r="E15" s="253"/>
      <c r="F15" s="253"/>
      <c r="G15" s="37"/>
      <c r="H15" s="110"/>
      <c r="I15" s="167">
        <f t="shared" si="0"/>
        <v>0</v>
      </c>
      <c r="J15" s="248"/>
      <c r="K15" s="248"/>
      <c r="L15" s="248"/>
      <c r="M15" s="248"/>
      <c r="N15" s="248"/>
      <c r="O15" s="248"/>
      <c r="P15" s="248"/>
      <c r="Q15" s="248"/>
      <c r="R15" s="86"/>
      <c r="U15" s="105"/>
      <c r="V15" s="105"/>
      <c r="W15" s="105"/>
    </row>
    <row r="16" spans="1:23" ht="15" x14ac:dyDescent="0.2">
      <c r="B16" s="36"/>
      <c r="C16" s="92" t="s">
        <v>66</v>
      </c>
      <c r="D16" s="146">
        <f>'Overview IB'!D22</f>
        <v>162</v>
      </c>
      <c r="E16" s="253"/>
      <c r="F16" s="253"/>
      <c r="G16" s="37"/>
      <c r="H16" s="110">
        <f>20+22+35+85</f>
        <v>162</v>
      </c>
      <c r="I16" s="167">
        <f t="shared" si="0"/>
        <v>1</v>
      </c>
      <c r="J16" s="248" t="s">
        <v>143</v>
      </c>
      <c r="K16" s="248"/>
      <c r="L16" s="248"/>
      <c r="M16" s="248"/>
      <c r="N16" s="248"/>
      <c r="O16" s="248"/>
      <c r="P16" s="248"/>
      <c r="Q16" s="248"/>
      <c r="R16" s="86"/>
      <c r="U16" s="105"/>
      <c r="V16" s="105"/>
      <c r="W16" s="105"/>
    </row>
    <row r="17" spans="2:23" ht="15" x14ac:dyDescent="0.2">
      <c r="B17" s="36"/>
      <c r="C17" s="92" t="s">
        <v>70</v>
      </c>
      <c r="D17" s="146">
        <f>'Overview IB'!D23</f>
        <v>60</v>
      </c>
      <c r="E17" s="254"/>
      <c r="F17" s="254"/>
      <c r="G17" s="37"/>
      <c r="H17" s="102">
        <v>65</v>
      </c>
      <c r="I17" s="167">
        <f t="shared" si="0"/>
        <v>1.0833333333333333</v>
      </c>
      <c r="J17" s="248" t="s">
        <v>135</v>
      </c>
      <c r="K17" s="248"/>
      <c r="L17" s="248"/>
      <c r="M17" s="248"/>
      <c r="N17" s="248"/>
      <c r="O17" s="248"/>
      <c r="P17" s="248"/>
      <c r="Q17" s="248"/>
      <c r="R17" s="86"/>
      <c r="U17" s="277"/>
      <c r="V17" s="277"/>
      <c r="W17" s="277"/>
    </row>
    <row r="18" spans="2:23" ht="26.1" customHeight="1" x14ac:dyDescent="0.2">
      <c r="B18" s="36"/>
      <c r="C18" s="8" t="s">
        <v>55</v>
      </c>
      <c r="D18" s="88" t="s">
        <v>86</v>
      </c>
      <c r="E18" s="195" t="s">
        <v>91</v>
      </c>
      <c r="F18" s="195"/>
      <c r="G18" s="37"/>
      <c r="H18" s="160" t="s">
        <v>37</v>
      </c>
      <c r="I18" s="109" t="s">
        <v>11</v>
      </c>
      <c r="J18" s="282" t="s">
        <v>74</v>
      </c>
      <c r="K18" s="282"/>
      <c r="L18" s="282"/>
      <c r="M18" s="282"/>
      <c r="N18" s="282"/>
      <c r="O18" s="282"/>
      <c r="P18" s="282"/>
      <c r="Q18" s="282"/>
      <c r="R18" s="86"/>
      <c r="U18" s="281"/>
      <c r="V18" s="281"/>
      <c r="W18" s="281"/>
    </row>
    <row r="19" spans="2:23" ht="15" x14ac:dyDescent="0.2">
      <c r="B19" s="36"/>
      <c r="C19" s="90" t="s">
        <v>83</v>
      </c>
      <c r="D19" s="146">
        <f>'Overview IB'!D25</f>
        <v>100</v>
      </c>
      <c r="E19" s="252" t="str">
        <f>IF('Overview IB'!E25 &gt; 0, 'Overview IB'!E25, "")</f>
        <v>Begleitgespräche zum Traumaprogramm</v>
      </c>
      <c r="F19" s="252"/>
      <c r="G19" s="37"/>
      <c r="H19" s="111">
        <v>24</v>
      </c>
      <c r="I19" s="166">
        <f>IF(H19=0,0,H19/D19)</f>
        <v>0.24</v>
      </c>
      <c r="J19" s="248"/>
      <c r="K19" s="248"/>
      <c r="L19" s="248"/>
      <c r="M19" s="248"/>
      <c r="N19" s="248"/>
      <c r="O19" s="248"/>
      <c r="P19" s="248"/>
      <c r="Q19" s="248"/>
      <c r="R19" s="86"/>
      <c r="U19" s="108"/>
      <c r="V19" s="108"/>
      <c r="W19" s="108"/>
    </row>
    <row r="20" spans="2:23" ht="30" x14ac:dyDescent="0.2">
      <c r="B20" s="36"/>
      <c r="C20" s="91" t="s">
        <v>57</v>
      </c>
      <c r="D20" s="146">
        <f>'Overview IB'!D26</f>
        <v>50</v>
      </c>
      <c r="E20" s="253"/>
      <c r="F20" s="253"/>
      <c r="G20" s="37"/>
      <c r="H20" s="111">
        <v>16</v>
      </c>
      <c r="I20" s="167">
        <f t="shared" ref="I20:I30" si="1">IF(H20=0,0,H20/D20)</f>
        <v>0.32</v>
      </c>
      <c r="J20" s="248"/>
      <c r="K20" s="248"/>
      <c r="L20" s="248"/>
      <c r="M20" s="248"/>
      <c r="N20" s="248"/>
      <c r="O20" s="248"/>
      <c r="P20" s="248"/>
      <c r="Q20" s="248"/>
      <c r="R20" s="86"/>
      <c r="U20" s="281"/>
      <c r="V20" s="281"/>
      <c r="W20" s="281"/>
    </row>
    <row r="21" spans="2:23" ht="15" x14ac:dyDescent="0.2">
      <c r="B21" s="36"/>
      <c r="C21" s="92" t="s">
        <v>71</v>
      </c>
      <c r="D21" s="146">
        <f>'Overview IB'!D27</f>
        <v>100</v>
      </c>
      <c r="E21" s="253"/>
      <c r="F21" s="253"/>
      <c r="G21" s="37"/>
      <c r="H21" s="111">
        <v>18</v>
      </c>
      <c r="I21" s="167">
        <f t="shared" si="1"/>
        <v>0.18</v>
      </c>
      <c r="J21" s="248"/>
      <c r="K21" s="248"/>
      <c r="L21" s="248"/>
      <c r="M21" s="248"/>
      <c r="N21" s="248"/>
      <c r="O21" s="248"/>
      <c r="P21" s="248"/>
      <c r="Q21" s="248"/>
      <c r="R21" s="86"/>
      <c r="U21" s="281"/>
      <c r="V21" s="281"/>
      <c r="W21" s="281"/>
    </row>
    <row r="22" spans="2:23" ht="30" x14ac:dyDescent="0.2">
      <c r="B22" s="36"/>
      <c r="C22" s="90" t="s">
        <v>84</v>
      </c>
      <c r="D22" s="146">
        <f>'Overview IB'!D28</f>
        <v>60</v>
      </c>
      <c r="E22" s="253"/>
      <c r="F22" s="253"/>
      <c r="G22" s="37"/>
      <c r="H22" s="111">
        <v>13</v>
      </c>
      <c r="I22" s="166">
        <f t="shared" si="1"/>
        <v>0.21666666666666667</v>
      </c>
      <c r="J22" s="248" t="s">
        <v>139</v>
      </c>
      <c r="K22" s="248"/>
      <c r="L22" s="248"/>
      <c r="M22" s="248"/>
      <c r="N22" s="248"/>
      <c r="O22" s="248"/>
      <c r="P22" s="248"/>
      <c r="Q22" s="248"/>
      <c r="R22" s="86"/>
      <c r="U22" s="281"/>
      <c r="V22" s="281"/>
      <c r="W22" s="281"/>
    </row>
    <row r="23" spans="2:23" ht="17.649999999999999" customHeight="1" x14ac:dyDescent="0.2">
      <c r="B23" s="36"/>
      <c r="C23" s="92" t="s">
        <v>58</v>
      </c>
      <c r="D23" s="146">
        <f>'Overview IB'!D29</f>
        <v>426</v>
      </c>
      <c r="E23" s="253"/>
      <c r="F23" s="253"/>
      <c r="G23" s="37"/>
      <c r="H23" s="111">
        <v>105</v>
      </c>
      <c r="I23" s="167">
        <f t="shared" si="1"/>
        <v>0.24647887323943662</v>
      </c>
      <c r="J23" s="248" t="s">
        <v>140</v>
      </c>
      <c r="K23" s="248"/>
      <c r="L23" s="248"/>
      <c r="M23" s="248"/>
      <c r="N23" s="248"/>
      <c r="O23" s="248"/>
      <c r="P23" s="248"/>
      <c r="Q23" s="248"/>
      <c r="R23" s="86"/>
      <c r="U23" s="281"/>
      <c r="V23" s="281"/>
      <c r="W23" s="281"/>
    </row>
    <row r="24" spans="2:23" ht="15" x14ac:dyDescent="0.2">
      <c r="B24" s="36"/>
      <c r="C24" s="92" t="s">
        <v>56</v>
      </c>
      <c r="D24" s="146">
        <f>'Overview IB'!D30</f>
        <v>960</v>
      </c>
      <c r="E24" s="254"/>
      <c r="F24" s="254"/>
      <c r="G24" s="37"/>
      <c r="H24" s="47">
        <f>55*2+8*2</f>
        <v>126</v>
      </c>
      <c r="I24" s="167">
        <f t="shared" si="1"/>
        <v>0.13125000000000001</v>
      </c>
      <c r="J24" s="248" t="s">
        <v>141</v>
      </c>
      <c r="K24" s="248"/>
      <c r="L24" s="248"/>
      <c r="M24" s="248"/>
      <c r="N24" s="248"/>
      <c r="O24" s="248"/>
      <c r="P24" s="248"/>
      <c r="Q24" s="248"/>
      <c r="R24" s="86"/>
      <c r="U24" s="281"/>
      <c r="V24" s="281"/>
      <c r="W24" s="281"/>
    </row>
    <row r="25" spans="2:23" ht="17.649999999999999" customHeight="1" x14ac:dyDescent="0.2">
      <c r="B25" s="36"/>
      <c r="C25" s="90" t="s">
        <v>59</v>
      </c>
      <c r="D25" s="146">
        <f>'Overview IB'!D31</f>
        <v>10</v>
      </c>
      <c r="E25" s="267" t="str">
        <f>IF('Overview IB'!E31 &gt; 0, 'Overview IB'!E31, "")</f>
        <v>TRT Family</v>
      </c>
      <c r="F25" s="267"/>
      <c r="G25" s="37"/>
      <c r="H25" s="111">
        <v>8</v>
      </c>
      <c r="I25" s="166">
        <f t="shared" si="1"/>
        <v>0.8</v>
      </c>
      <c r="J25" s="248" t="s">
        <v>142</v>
      </c>
      <c r="K25" s="248"/>
      <c r="L25" s="248"/>
      <c r="M25" s="248"/>
      <c r="N25" s="248"/>
      <c r="O25" s="248"/>
      <c r="P25" s="248"/>
      <c r="Q25" s="248"/>
      <c r="R25" s="86"/>
      <c r="U25" s="281"/>
      <c r="V25" s="281"/>
      <c r="W25" s="281"/>
    </row>
    <row r="26" spans="2:23" ht="15" x14ac:dyDescent="0.2">
      <c r="B26" s="36"/>
      <c r="C26" s="91" t="s">
        <v>61</v>
      </c>
      <c r="D26" s="146">
        <f>'Overview IB'!D32</f>
        <v>30</v>
      </c>
      <c r="E26" s="268"/>
      <c r="F26" s="268"/>
      <c r="G26" s="37"/>
      <c r="H26" s="47">
        <v>35</v>
      </c>
      <c r="I26" s="167">
        <f t="shared" si="1"/>
        <v>1.1666666666666667</v>
      </c>
      <c r="J26" s="248"/>
      <c r="K26" s="248"/>
      <c r="L26" s="248"/>
      <c r="M26" s="248"/>
      <c r="N26" s="248"/>
      <c r="O26" s="248"/>
      <c r="P26" s="248"/>
      <c r="Q26" s="248"/>
      <c r="R26" s="86"/>
      <c r="U26" s="281"/>
      <c r="V26" s="281"/>
      <c r="W26" s="281"/>
    </row>
    <row r="27" spans="2:23" ht="15" x14ac:dyDescent="0.2">
      <c r="B27" s="36"/>
      <c r="C27" s="91" t="s">
        <v>60</v>
      </c>
      <c r="D27" s="146">
        <f>'Overview IB'!D33</f>
        <v>120</v>
      </c>
      <c r="E27" s="268"/>
      <c r="F27" s="268"/>
      <c r="G27" s="37"/>
      <c r="H27" s="112">
        <v>102</v>
      </c>
      <c r="I27" s="167">
        <f t="shared" si="1"/>
        <v>0.85</v>
      </c>
      <c r="J27" s="248"/>
      <c r="K27" s="248"/>
      <c r="L27" s="248"/>
      <c r="M27" s="248"/>
      <c r="N27" s="248"/>
      <c r="O27" s="248"/>
      <c r="P27" s="248"/>
      <c r="Q27" s="248"/>
      <c r="R27" s="86"/>
      <c r="U27" s="281"/>
      <c r="V27" s="281"/>
      <c r="W27" s="281"/>
    </row>
    <row r="28" spans="2:23" ht="15" x14ac:dyDescent="0.2">
      <c r="B28" s="36"/>
      <c r="C28" s="93" t="s">
        <v>14</v>
      </c>
      <c r="D28" s="146">
        <f>'Overview IB'!D34</f>
        <v>48</v>
      </c>
      <c r="E28" s="268"/>
      <c r="F28" s="268"/>
      <c r="G28" s="37"/>
      <c r="H28" s="111">
        <v>51</v>
      </c>
      <c r="I28" s="167">
        <f t="shared" si="1"/>
        <v>1.0625</v>
      </c>
      <c r="J28" s="248"/>
      <c r="K28" s="248"/>
      <c r="L28" s="248"/>
      <c r="M28" s="248"/>
      <c r="N28" s="248"/>
      <c r="O28" s="248"/>
      <c r="P28" s="248"/>
      <c r="Q28" s="248"/>
      <c r="R28" s="86"/>
      <c r="U28" s="281"/>
      <c r="V28" s="281"/>
      <c r="W28" s="281"/>
    </row>
    <row r="29" spans="2:23" ht="15" x14ac:dyDescent="0.2">
      <c r="B29" s="36"/>
      <c r="C29" s="92" t="s">
        <v>75</v>
      </c>
      <c r="D29" s="146">
        <f>'Overview IB'!D35</f>
        <v>6</v>
      </c>
      <c r="E29" s="268"/>
      <c r="F29" s="268"/>
      <c r="G29" s="37"/>
      <c r="H29" s="47">
        <v>8</v>
      </c>
      <c r="I29" s="167">
        <f t="shared" si="1"/>
        <v>1.3333333333333333</v>
      </c>
      <c r="J29" s="248"/>
      <c r="K29" s="248"/>
      <c r="L29" s="248"/>
      <c r="M29" s="248"/>
      <c r="N29" s="248"/>
      <c r="O29" s="248"/>
      <c r="P29" s="248"/>
      <c r="Q29" s="248"/>
      <c r="R29" s="86"/>
      <c r="U29" s="281"/>
      <c r="V29" s="281"/>
      <c r="W29" s="281"/>
    </row>
    <row r="30" spans="2:23" ht="15" x14ac:dyDescent="0.2">
      <c r="B30" s="36"/>
      <c r="C30" s="92" t="s">
        <v>76</v>
      </c>
      <c r="D30" s="146">
        <f>'Overview IB'!D36</f>
        <v>0</v>
      </c>
      <c r="E30" s="269"/>
      <c r="F30" s="269"/>
      <c r="G30" s="37"/>
      <c r="H30" s="112"/>
      <c r="I30" s="167">
        <f t="shared" si="1"/>
        <v>0</v>
      </c>
      <c r="J30" s="248"/>
      <c r="K30" s="248"/>
      <c r="L30" s="248"/>
      <c r="M30" s="248"/>
      <c r="N30" s="248"/>
      <c r="O30" s="248"/>
      <c r="P30" s="248"/>
      <c r="Q30" s="248"/>
      <c r="R30" s="86"/>
      <c r="U30" s="281"/>
      <c r="V30" s="281"/>
      <c r="W30" s="281"/>
    </row>
    <row r="31" spans="2:23" ht="26.1" customHeight="1" x14ac:dyDescent="0.2">
      <c r="B31" s="36"/>
      <c r="C31" s="8" t="s">
        <v>62</v>
      </c>
      <c r="D31" s="88" t="s">
        <v>86</v>
      </c>
      <c r="E31" s="195" t="s">
        <v>91</v>
      </c>
      <c r="F31" s="195"/>
      <c r="G31" s="37"/>
      <c r="H31" s="160" t="s">
        <v>37</v>
      </c>
      <c r="I31" s="109" t="s">
        <v>11</v>
      </c>
      <c r="J31" s="282" t="s">
        <v>74</v>
      </c>
      <c r="K31" s="282"/>
      <c r="L31" s="282"/>
      <c r="M31" s="282"/>
      <c r="N31" s="282"/>
      <c r="O31" s="282"/>
      <c r="P31" s="282"/>
      <c r="Q31" s="282"/>
      <c r="R31" s="86"/>
      <c r="U31" s="283"/>
      <c r="V31" s="283"/>
      <c r="W31" s="283"/>
    </row>
    <row r="32" spans="2:23" ht="13.15" customHeight="1" x14ac:dyDescent="0.2">
      <c r="B32" s="36"/>
      <c r="C32" s="90" t="s">
        <v>79</v>
      </c>
      <c r="D32" s="146">
        <f>'Overview IB'!D38</f>
        <v>0</v>
      </c>
      <c r="E32" s="252" t="str">
        <f>IF('Overview IB'!E38 &gt; 0, 'Overview IB'!E38, "")</f>
        <v/>
      </c>
      <c r="F32" s="252"/>
      <c r="G32" s="37"/>
      <c r="H32" s="45">
        <f>SUM(H33:H37)</f>
        <v>0</v>
      </c>
      <c r="I32" s="46">
        <f>IF(H32=0,0,H32/D32)</f>
        <v>0</v>
      </c>
      <c r="J32" s="248"/>
      <c r="K32" s="248"/>
      <c r="L32" s="248"/>
      <c r="M32" s="248"/>
      <c r="N32" s="248"/>
      <c r="O32" s="248"/>
      <c r="P32" s="248"/>
      <c r="Q32" s="248"/>
      <c r="R32" s="86"/>
      <c r="U32" s="277"/>
      <c r="V32" s="277"/>
      <c r="W32" s="277"/>
    </row>
    <row r="33" spans="2:23" ht="15" x14ac:dyDescent="0.2">
      <c r="B33" s="36"/>
      <c r="C33" s="92" t="s">
        <v>47</v>
      </c>
      <c r="D33" s="146">
        <f>'Overview IB'!D39</f>
        <v>0</v>
      </c>
      <c r="E33" s="253"/>
      <c r="F33" s="253"/>
      <c r="G33" s="37"/>
      <c r="H33" s="111"/>
      <c r="I33" s="48">
        <f t="shared" ref="I33:I45" si="2">IF(H33=0,0,H33/D33)</f>
        <v>0</v>
      </c>
      <c r="J33" s="248"/>
      <c r="K33" s="248"/>
      <c r="L33" s="248"/>
      <c r="M33" s="248"/>
      <c r="N33" s="248"/>
      <c r="O33" s="248"/>
      <c r="P33" s="248"/>
      <c r="Q33" s="248"/>
      <c r="R33" s="86"/>
      <c r="U33" s="277"/>
      <c r="V33" s="277"/>
      <c r="W33" s="277"/>
    </row>
    <row r="34" spans="2:23" ht="15" x14ac:dyDescent="0.2">
      <c r="B34" s="36"/>
      <c r="C34" s="92" t="s">
        <v>48</v>
      </c>
      <c r="D34" s="146">
        <f>'Overview IB'!D40</f>
        <v>0</v>
      </c>
      <c r="E34" s="253"/>
      <c r="F34" s="253"/>
      <c r="G34" s="37"/>
      <c r="H34" s="47"/>
      <c r="I34" s="48">
        <f t="shared" si="2"/>
        <v>0</v>
      </c>
      <c r="J34" s="248"/>
      <c r="K34" s="248"/>
      <c r="L34" s="248"/>
      <c r="M34" s="248"/>
      <c r="N34" s="248"/>
      <c r="O34" s="248"/>
      <c r="P34" s="248"/>
      <c r="Q34" s="248"/>
      <c r="R34" s="86"/>
      <c r="U34" s="277"/>
      <c r="V34" s="277"/>
      <c r="W34" s="277"/>
    </row>
    <row r="35" spans="2:23" ht="15" x14ac:dyDescent="0.2">
      <c r="B35" s="36"/>
      <c r="C35" s="92" t="s">
        <v>49</v>
      </c>
      <c r="D35" s="146">
        <f>'Overview IB'!D41</f>
        <v>0</v>
      </c>
      <c r="E35" s="253"/>
      <c r="F35" s="253"/>
      <c r="G35" s="37"/>
      <c r="H35" s="47"/>
      <c r="I35" s="48">
        <f t="shared" si="2"/>
        <v>0</v>
      </c>
      <c r="J35" s="248"/>
      <c r="K35" s="248"/>
      <c r="L35" s="248"/>
      <c r="M35" s="248"/>
      <c r="N35" s="248"/>
      <c r="O35" s="248"/>
      <c r="P35" s="248"/>
      <c r="Q35" s="248"/>
      <c r="R35" s="86"/>
      <c r="U35" s="277"/>
      <c r="V35" s="277"/>
      <c r="W35" s="277"/>
    </row>
    <row r="36" spans="2:23" ht="15" x14ac:dyDescent="0.2">
      <c r="B36" s="36"/>
      <c r="C36" s="92" t="s">
        <v>50</v>
      </c>
      <c r="D36" s="146">
        <f>'Overview IB'!D42</f>
        <v>0</v>
      </c>
      <c r="E36" s="253"/>
      <c r="F36" s="253"/>
      <c r="G36" s="37"/>
      <c r="H36" s="47"/>
      <c r="I36" s="48">
        <f t="shared" si="2"/>
        <v>0</v>
      </c>
      <c r="J36" s="248"/>
      <c r="K36" s="248"/>
      <c r="L36" s="248"/>
      <c r="M36" s="248"/>
      <c r="N36" s="248"/>
      <c r="O36" s="248"/>
      <c r="P36" s="248"/>
      <c r="Q36" s="248"/>
      <c r="R36" s="86"/>
      <c r="U36" s="277"/>
      <c r="V36" s="277"/>
      <c r="W36" s="277"/>
    </row>
    <row r="37" spans="2:23" ht="15" x14ac:dyDescent="0.2">
      <c r="B37" s="36"/>
      <c r="C37" s="92" t="s">
        <v>51</v>
      </c>
      <c r="D37" s="146">
        <f>'Overview IB'!D43</f>
        <v>0</v>
      </c>
      <c r="E37" s="253"/>
      <c r="F37" s="253"/>
      <c r="G37" s="37"/>
      <c r="H37" s="47"/>
      <c r="I37" s="48">
        <f t="shared" si="2"/>
        <v>0</v>
      </c>
      <c r="J37" s="248"/>
      <c r="K37" s="248"/>
      <c r="L37" s="248"/>
      <c r="M37" s="248"/>
      <c r="N37" s="248"/>
      <c r="O37" s="248"/>
      <c r="P37" s="248"/>
      <c r="Q37" s="248"/>
      <c r="R37" s="86"/>
      <c r="U37" s="277"/>
      <c r="V37" s="277"/>
      <c r="W37" s="277"/>
    </row>
    <row r="38" spans="2:23" ht="15" x14ac:dyDescent="0.2">
      <c r="B38" s="36"/>
      <c r="C38" s="90" t="s">
        <v>80</v>
      </c>
      <c r="D38" s="146">
        <f>'Overview IB'!D44</f>
        <v>0</v>
      </c>
      <c r="E38" s="253"/>
      <c r="F38" s="253"/>
      <c r="G38" s="37"/>
      <c r="H38" s="47"/>
      <c r="I38" s="46">
        <f t="shared" si="2"/>
        <v>0</v>
      </c>
      <c r="J38" s="248"/>
      <c r="K38" s="248"/>
      <c r="L38" s="248"/>
      <c r="M38" s="248"/>
      <c r="N38" s="248"/>
      <c r="O38" s="248"/>
      <c r="P38" s="248"/>
      <c r="Q38" s="248"/>
      <c r="R38" s="86"/>
      <c r="U38" s="277"/>
      <c r="V38" s="277"/>
      <c r="W38" s="277"/>
    </row>
    <row r="39" spans="2:23" ht="15" x14ac:dyDescent="0.2">
      <c r="B39" s="36"/>
      <c r="C39" s="90" t="s">
        <v>81</v>
      </c>
      <c r="D39" s="146">
        <f>'Overview IB'!D45</f>
        <v>0</v>
      </c>
      <c r="E39" s="253"/>
      <c r="F39" s="253"/>
      <c r="G39" s="37"/>
      <c r="H39" s="47"/>
      <c r="I39" s="46">
        <f t="shared" si="2"/>
        <v>0</v>
      </c>
      <c r="J39" s="248"/>
      <c r="K39" s="248"/>
      <c r="L39" s="248"/>
      <c r="M39" s="248"/>
      <c r="N39" s="248"/>
      <c r="O39" s="248"/>
      <c r="P39" s="248"/>
      <c r="Q39" s="248"/>
      <c r="R39" s="86"/>
      <c r="U39" s="277"/>
      <c r="V39" s="277"/>
      <c r="W39" s="277"/>
    </row>
    <row r="40" spans="2:23" ht="15" x14ac:dyDescent="0.2">
      <c r="B40" s="36"/>
      <c r="C40" s="90" t="s">
        <v>30</v>
      </c>
      <c r="D40" s="146">
        <f>'Overview IB'!D46</f>
        <v>0</v>
      </c>
      <c r="E40" s="253"/>
      <c r="F40" s="253"/>
      <c r="G40" s="37"/>
      <c r="H40" s="47"/>
      <c r="I40" s="46">
        <f t="shared" si="2"/>
        <v>0</v>
      </c>
      <c r="J40" s="248"/>
      <c r="K40" s="248"/>
      <c r="L40" s="248"/>
      <c r="M40" s="248"/>
      <c r="N40" s="248"/>
      <c r="O40" s="248"/>
      <c r="P40" s="248"/>
      <c r="Q40" s="248"/>
      <c r="R40" s="86"/>
      <c r="U40" s="277"/>
      <c r="V40" s="277"/>
      <c r="W40" s="277"/>
    </row>
    <row r="41" spans="2:23" ht="30" x14ac:dyDescent="0.2">
      <c r="B41" s="36"/>
      <c r="C41" s="90" t="s">
        <v>126</v>
      </c>
      <c r="D41" s="146">
        <f>'Overview IB'!D47</f>
        <v>0</v>
      </c>
      <c r="E41" s="253"/>
      <c r="F41" s="253"/>
      <c r="G41" s="37"/>
      <c r="H41" s="47"/>
      <c r="I41" s="46">
        <f t="shared" si="2"/>
        <v>0</v>
      </c>
      <c r="J41" s="248"/>
      <c r="K41" s="248"/>
      <c r="L41" s="248"/>
      <c r="M41" s="248"/>
      <c r="N41" s="248"/>
      <c r="O41" s="248"/>
      <c r="P41" s="248"/>
      <c r="Q41" s="248"/>
      <c r="R41" s="86"/>
      <c r="U41" s="277"/>
      <c r="V41" s="277"/>
      <c r="W41" s="277"/>
    </row>
    <row r="42" spans="2:23" ht="30" x14ac:dyDescent="0.2">
      <c r="B42" s="36"/>
      <c r="C42" s="92" t="s">
        <v>52</v>
      </c>
      <c r="D42" s="146">
        <f>'Overview IB'!D48</f>
        <v>0</v>
      </c>
      <c r="E42" s="253"/>
      <c r="F42" s="253"/>
      <c r="G42" s="37"/>
      <c r="H42" s="47"/>
      <c r="I42" s="48">
        <f t="shared" si="2"/>
        <v>0</v>
      </c>
      <c r="J42" s="248"/>
      <c r="K42" s="248"/>
      <c r="L42" s="248"/>
      <c r="M42" s="248"/>
      <c r="N42" s="248"/>
      <c r="O42" s="248"/>
      <c r="P42" s="248"/>
      <c r="Q42" s="248"/>
      <c r="R42" s="86"/>
      <c r="U42" s="277"/>
      <c r="V42" s="277"/>
      <c r="W42" s="277"/>
    </row>
    <row r="43" spans="2:23" ht="15" x14ac:dyDescent="0.2">
      <c r="B43" s="36"/>
      <c r="C43" s="92" t="s">
        <v>69</v>
      </c>
      <c r="D43" s="146">
        <f>'Overview IB'!D49</f>
        <v>0</v>
      </c>
      <c r="E43" s="254"/>
      <c r="F43" s="254"/>
      <c r="G43" s="37"/>
      <c r="H43" s="47"/>
      <c r="I43" s="48">
        <f t="shared" si="2"/>
        <v>0</v>
      </c>
      <c r="J43" s="248"/>
      <c r="K43" s="248"/>
      <c r="L43" s="248"/>
      <c r="M43" s="248"/>
      <c r="N43" s="248"/>
      <c r="O43" s="248"/>
      <c r="P43" s="248"/>
      <c r="Q43" s="248"/>
      <c r="R43" s="86"/>
      <c r="U43" s="277"/>
      <c r="V43" s="277"/>
      <c r="W43" s="277"/>
    </row>
    <row r="44" spans="2:23" ht="15" x14ac:dyDescent="0.2">
      <c r="B44" s="36"/>
      <c r="C44" s="90" t="s">
        <v>53</v>
      </c>
      <c r="D44" s="146">
        <f>'Overview IB'!D50</f>
        <v>0</v>
      </c>
      <c r="E44" s="252" t="str">
        <f>IF('Overview IB'!E50 &gt; 0, 'Overview IB'!E50, "")</f>
        <v/>
      </c>
      <c r="F44" s="252"/>
      <c r="G44" s="37"/>
      <c r="H44" s="47"/>
      <c r="I44" s="46">
        <f t="shared" si="2"/>
        <v>0</v>
      </c>
      <c r="J44" s="248"/>
      <c r="K44" s="248"/>
      <c r="L44" s="248"/>
      <c r="M44" s="248"/>
      <c r="N44" s="248"/>
      <c r="O44" s="248"/>
      <c r="P44" s="248"/>
      <c r="Q44" s="248"/>
      <c r="R44" s="86"/>
      <c r="U44" s="105"/>
      <c r="V44" s="105"/>
      <c r="W44" s="105"/>
    </row>
    <row r="45" spans="2:23" ht="16.5" customHeight="1" x14ac:dyDescent="0.2">
      <c r="B45" s="36"/>
      <c r="C45" s="92" t="s">
        <v>97</v>
      </c>
      <c r="D45" s="146">
        <f>'Overview IB'!D51</f>
        <v>0</v>
      </c>
      <c r="E45" s="253"/>
      <c r="F45" s="254"/>
      <c r="G45" s="37"/>
      <c r="H45" s="47"/>
      <c r="I45" s="48">
        <f t="shared" si="2"/>
        <v>0</v>
      </c>
      <c r="J45" s="248"/>
      <c r="K45" s="248"/>
      <c r="L45" s="248"/>
      <c r="M45" s="248"/>
      <c r="N45" s="248"/>
      <c r="O45" s="248"/>
      <c r="P45" s="248"/>
      <c r="Q45" s="248"/>
      <c r="R45" s="86"/>
      <c r="U45" s="277"/>
      <c r="V45" s="277"/>
      <c r="W45" s="277"/>
    </row>
    <row r="46" spans="2:23" ht="26.1" customHeight="1" x14ac:dyDescent="0.2">
      <c r="B46" s="36"/>
      <c r="C46" s="8" t="s">
        <v>64</v>
      </c>
      <c r="D46" s="88" t="s">
        <v>86</v>
      </c>
      <c r="E46" s="195" t="s">
        <v>91</v>
      </c>
      <c r="F46" s="195"/>
      <c r="G46" s="37"/>
      <c r="H46" s="160" t="s">
        <v>37</v>
      </c>
      <c r="I46" s="109" t="s">
        <v>11</v>
      </c>
      <c r="J46" s="270" t="s">
        <v>74</v>
      </c>
      <c r="K46" s="271"/>
      <c r="L46" s="271"/>
      <c r="M46" s="271"/>
      <c r="N46" s="271"/>
      <c r="O46" s="271"/>
      <c r="P46" s="271"/>
      <c r="Q46" s="271"/>
      <c r="R46" s="86"/>
      <c r="U46" s="281"/>
      <c r="V46" s="281"/>
      <c r="W46" s="281"/>
    </row>
    <row r="47" spans="2:23" ht="14.65" customHeight="1" x14ac:dyDescent="0.2">
      <c r="B47" s="36"/>
      <c r="C47" s="90" t="s">
        <v>54</v>
      </c>
      <c r="D47" s="146">
        <f>'Overview IB'!D53</f>
        <v>0</v>
      </c>
      <c r="E47" s="255" t="str">
        <f>IF('Overview IB'!E53 &gt; 0, 'Overview IB'!E53, "")</f>
        <v/>
      </c>
      <c r="F47" s="256"/>
      <c r="G47" s="37"/>
      <c r="H47" s="111"/>
      <c r="I47" s="46">
        <f>IF(H47=0,0,H47/D47)</f>
        <v>0</v>
      </c>
      <c r="J47" s="278"/>
      <c r="K47" s="279"/>
      <c r="L47" s="279"/>
      <c r="M47" s="279"/>
      <c r="N47" s="279"/>
      <c r="O47" s="279"/>
      <c r="P47" s="279"/>
      <c r="Q47" s="279"/>
      <c r="R47" s="86"/>
      <c r="U47" s="281"/>
      <c r="V47" s="281"/>
      <c r="W47" s="281"/>
    </row>
    <row r="48" spans="2:23" ht="15" x14ac:dyDescent="0.2">
      <c r="B48" s="36"/>
      <c r="C48" s="89" t="s">
        <v>82</v>
      </c>
      <c r="D48" s="146">
        <f>'Overview IB'!D54</f>
        <v>0</v>
      </c>
      <c r="E48" s="252" t="str">
        <f>IF('Overview IB'!E54 &gt; 0, 'Overview IB'!E54, "")</f>
        <v/>
      </c>
      <c r="F48" s="252"/>
      <c r="G48" s="37"/>
      <c r="H48" s="47"/>
      <c r="I48" s="46">
        <f t="shared" ref="I48:I55" si="3">IF(H48=0,0,H48/D48)</f>
        <v>0</v>
      </c>
      <c r="J48" s="248"/>
      <c r="K48" s="248"/>
      <c r="L48" s="248"/>
      <c r="M48" s="248"/>
      <c r="N48" s="248"/>
      <c r="O48" s="248"/>
      <c r="P48" s="248"/>
      <c r="Q48" s="248"/>
      <c r="R48" s="86"/>
      <c r="U48" s="281"/>
      <c r="V48" s="281"/>
      <c r="W48" s="281"/>
    </row>
    <row r="49" spans="2:23" ht="13.15" customHeight="1" x14ac:dyDescent="0.2">
      <c r="B49" s="36"/>
      <c r="C49" s="92" t="s">
        <v>77</v>
      </c>
      <c r="D49" s="146">
        <f>'Overview IB'!D55</f>
        <v>0</v>
      </c>
      <c r="E49" s="254"/>
      <c r="F49" s="254"/>
      <c r="G49" s="37"/>
      <c r="H49" s="47"/>
      <c r="I49" s="48">
        <f t="shared" si="3"/>
        <v>0</v>
      </c>
      <c r="J49" s="248"/>
      <c r="K49" s="248"/>
      <c r="L49" s="248"/>
      <c r="M49" s="248"/>
      <c r="N49" s="248"/>
      <c r="O49" s="248"/>
      <c r="P49" s="248"/>
      <c r="Q49" s="248"/>
      <c r="R49" s="86"/>
      <c r="U49" s="277"/>
      <c r="V49" s="277"/>
      <c r="W49" s="277"/>
    </row>
    <row r="50" spans="2:23" ht="14.65" customHeight="1" x14ac:dyDescent="0.2">
      <c r="B50" s="36"/>
      <c r="C50" s="89" t="s">
        <v>63</v>
      </c>
      <c r="D50" s="146">
        <f>'Overview IB'!D56</f>
        <v>0</v>
      </c>
      <c r="E50" s="252" t="str">
        <f>IF('Overview IB'!E56 &gt; 0, 'Overview IB'!E56, "")</f>
        <v/>
      </c>
      <c r="F50" s="252"/>
      <c r="G50" s="37"/>
      <c r="H50" s="47"/>
      <c r="I50" s="46">
        <f t="shared" si="3"/>
        <v>0</v>
      </c>
      <c r="J50" s="248"/>
      <c r="K50" s="248"/>
      <c r="L50" s="248"/>
      <c r="M50" s="248"/>
      <c r="N50" s="248"/>
      <c r="O50" s="248"/>
      <c r="P50" s="248"/>
      <c r="Q50" s="248"/>
      <c r="R50" s="86"/>
      <c r="U50" s="277"/>
      <c r="V50" s="277"/>
      <c r="W50" s="277"/>
    </row>
    <row r="51" spans="2:23" ht="13.15" customHeight="1" x14ac:dyDescent="0.2">
      <c r="B51" s="36"/>
      <c r="C51" s="92" t="s">
        <v>123</v>
      </c>
      <c r="D51" s="146">
        <f>'Overview IB'!D57</f>
        <v>0</v>
      </c>
      <c r="E51" s="253"/>
      <c r="F51" s="253"/>
      <c r="G51" s="37"/>
      <c r="H51" s="47"/>
      <c r="I51" s="48">
        <f t="shared" si="3"/>
        <v>0</v>
      </c>
      <c r="J51" s="248"/>
      <c r="K51" s="248"/>
      <c r="L51" s="248"/>
      <c r="M51" s="248"/>
      <c r="N51" s="248"/>
      <c r="O51" s="248"/>
      <c r="P51" s="248"/>
      <c r="Q51" s="248"/>
      <c r="R51" s="86"/>
      <c r="U51" s="277"/>
      <c r="V51" s="277"/>
      <c r="W51" s="277"/>
    </row>
    <row r="52" spans="2:23" ht="14.65" customHeight="1" x14ac:dyDescent="0.2">
      <c r="B52" s="36"/>
      <c r="C52" s="92" t="s">
        <v>78</v>
      </c>
      <c r="D52" s="146">
        <f>'Overview IB'!D58</f>
        <v>0</v>
      </c>
      <c r="E52" s="254"/>
      <c r="F52" s="254"/>
      <c r="G52" s="37"/>
      <c r="H52" s="47"/>
      <c r="I52" s="48">
        <f t="shared" si="3"/>
        <v>0</v>
      </c>
      <c r="J52" s="248"/>
      <c r="K52" s="248"/>
      <c r="L52" s="248"/>
      <c r="M52" s="248"/>
      <c r="N52" s="248"/>
      <c r="O52" s="248"/>
      <c r="P52" s="248"/>
      <c r="Q52" s="248"/>
      <c r="R52" s="86"/>
      <c r="U52" s="277"/>
      <c r="V52" s="277"/>
      <c r="W52" s="277"/>
    </row>
    <row r="53" spans="2:23" ht="13.15" customHeight="1" x14ac:dyDescent="0.2">
      <c r="B53" s="36"/>
      <c r="C53" s="94" t="s">
        <v>88</v>
      </c>
      <c r="D53" s="146">
        <f>'Overview IB'!D59</f>
        <v>1000</v>
      </c>
      <c r="E53" s="252" t="str">
        <f>IF('Overview IB'!E59 &gt; 0, 'Overview IB'!E59, "")</f>
        <v/>
      </c>
      <c r="F53" s="252"/>
      <c r="G53" s="37"/>
      <c r="H53" s="47">
        <v>500</v>
      </c>
      <c r="I53" s="46">
        <f t="shared" si="3"/>
        <v>0.5</v>
      </c>
      <c r="J53" s="248"/>
      <c r="K53" s="248"/>
      <c r="L53" s="248"/>
      <c r="M53" s="248"/>
      <c r="N53" s="248"/>
      <c r="O53" s="248"/>
      <c r="P53" s="248"/>
      <c r="Q53" s="248"/>
      <c r="R53" s="86"/>
      <c r="U53" s="277"/>
      <c r="V53" s="277"/>
      <c r="W53" s="277"/>
    </row>
    <row r="54" spans="2:23" ht="15" x14ac:dyDescent="0.2">
      <c r="B54" s="36"/>
      <c r="C54" s="103" t="s">
        <v>89</v>
      </c>
      <c r="D54" s="146">
        <f>'Overview IB'!D60</f>
        <v>1000</v>
      </c>
      <c r="E54" s="253"/>
      <c r="F54" s="253"/>
      <c r="G54" s="37"/>
      <c r="H54" s="47">
        <v>500</v>
      </c>
      <c r="I54" s="48">
        <f t="shared" si="3"/>
        <v>0.5</v>
      </c>
      <c r="J54" s="248"/>
      <c r="K54" s="248"/>
      <c r="L54" s="248"/>
      <c r="M54" s="248"/>
      <c r="N54" s="248"/>
      <c r="O54" s="248"/>
      <c r="P54" s="248"/>
      <c r="Q54" s="248"/>
      <c r="R54" s="86"/>
      <c r="U54" s="277"/>
      <c r="V54" s="277"/>
      <c r="W54" s="277"/>
    </row>
    <row r="55" spans="2:23" ht="15" x14ac:dyDescent="0.2">
      <c r="B55" s="36"/>
      <c r="C55" s="103" t="s">
        <v>90</v>
      </c>
      <c r="D55" s="146">
        <f>'Overview IB'!D61</f>
        <v>0</v>
      </c>
      <c r="E55" s="254"/>
      <c r="F55" s="254"/>
      <c r="G55" s="37"/>
      <c r="H55" s="47"/>
      <c r="I55" s="48">
        <f t="shared" si="3"/>
        <v>0</v>
      </c>
      <c r="J55" s="248"/>
      <c r="K55" s="248"/>
      <c r="L55" s="248"/>
      <c r="M55" s="248"/>
      <c r="N55" s="248"/>
      <c r="O55" s="248"/>
      <c r="P55" s="248"/>
      <c r="Q55" s="248"/>
      <c r="R55" s="86"/>
      <c r="U55" s="280"/>
      <c r="V55" s="280"/>
      <c r="W55" s="280"/>
    </row>
    <row r="56" spans="2:23" ht="13.15" customHeight="1" x14ac:dyDescent="0.2">
      <c r="B56" s="264"/>
      <c r="C56" s="265"/>
      <c r="D56" s="164"/>
      <c r="E56" s="49"/>
      <c r="F56" s="50"/>
      <c r="G56" s="163"/>
      <c r="H56" s="66"/>
      <c r="I56" s="51"/>
      <c r="J56" s="52"/>
      <c r="K56" s="52"/>
      <c r="L56" s="52"/>
      <c r="M56" s="106"/>
      <c r="N56" s="52"/>
      <c r="O56" s="52"/>
      <c r="P56" s="287"/>
      <c r="Q56" s="287"/>
      <c r="R56" s="288"/>
      <c r="U56" s="105"/>
      <c r="V56" s="105"/>
      <c r="W56" s="105"/>
    </row>
    <row r="57" spans="2:23" ht="27.6" customHeight="1" x14ac:dyDescent="0.2">
      <c r="B57" s="36"/>
      <c r="C57" s="184" t="s">
        <v>38</v>
      </c>
      <c r="D57" s="185"/>
      <c r="E57" s="185"/>
      <c r="F57" s="185"/>
      <c r="G57" s="37"/>
      <c r="H57" s="262" t="s">
        <v>37</v>
      </c>
      <c r="I57" s="263"/>
      <c r="J57" s="270" t="s">
        <v>74</v>
      </c>
      <c r="K57" s="271"/>
      <c r="L57" s="271"/>
      <c r="M57" s="271"/>
      <c r="N57" s="271"/>
      <c r="O57" s="271"/>
      <c r="P57" s="271"/>
      <c r="Q57" s="271"/>
      <c r="R57" s="86"/>
      <c r="U57" s="105"/>
      <c r="V57" s="105"/>
      <c r="W57" s="105"/>
    </row>
    <row r="58" spans="2:23" ht="13.15" customHeight="1" x14ac:dyDescent="0.2">
      <c r="B58" s="36"/>
      <c r="C58" s="181" t="s">
        <v>125</v>
      </c>
      <c r="D58" s="182"/>
      <c r="E58" s="182"/>
      <c r="F58" s="182"/>
      <c r="G58" s="37"/>
      <c r="H58" s="249"/>
      <c r="I58" s="250"/>
      <c r="J58" s="278"/>
      <c r="K58" s="279"/>
      <c r="L58" s="279"/>
      <c r="M58" s="279"/>
      <c r="N58" s="279"/>
      <c r="O58" s="279"/>
      <c r="P58" s="279"/>
      <c r="Q58" s="279"/>
      <c r="R58" s="86"/>
      <c r="U58" s="277"/>
      <c r="V58" s="277"/>
      <c r="W58" s="277"/>
    </row>
    <row r="59" spans="2:23" ht="15" x14ac:dyDescent="0.2">
      <c r="B59" s="36"/>
      <c r="C59" s="190" t="s">
        <v>44</v>
      </c>
      <c r="D59" s="191"/>
      <c r="E59" s="191"/>
      <c r="F59" s="191"/>
      <c r="G59" s="37"/>
      <c r="H59" s="249"/>
      <c r="I59" s="250"/>
      <c r="J59" s="248"/>
      <c r="K59" s="248"/>
      <c r="L59" s="248"/>
      <c r="M59" s="248"/>
      <c r="N59" s="248"/>
      <c r="O59" s="248"/>
      <c r="P59" s="248"/>
      <c r="Q59" s="248"/>
      <c r="R59" s="86"/>
      <c r="U59" s="105"/>
      <c r="V59" s="105"/>
      <c r="W59" s="105"/>
    </row>
    <row r="60" spans="2:23" ht="15" x14ac:dyDescent="0.2">
      <c r="B60" s="36"/>
      <c r="C60" s="190" t="s">
        <v>43</v>
      </c>
      <c r="D60" s="191"/>
      <c r="E60" s="191"/>
      <c r="F60" s="191"/>
      <c r="G60" s="37"/>
      <c r="H60" s="249">
        <v>116</v>
      </c>
      <c r="I60" s="250"/>
      <c r="J60" s="248"/>
      <c r="K60" s="248"/>
      <c r="L60" s="248"/>
      <c r="M60" s="248"/>
      <c r="N60" s="248"/>
      <c r="O60" s="248"/>
      <c r="P60" s="248"/>
      <c r="Q60" s="248"/>
      <c r="R60" s="86"/>
      <c r="U60" s="105"/>
      <c r="V60" s="105"/>
      <c r="W60" s="105"/>
    </row>
    <row r="61" spans="2:23" ht="15" x14ac:dyDescent="0.2">
      <c r="B61" s="36"/>
      <c r="C61" s="190" t="s">
        <v>128</v>
      </c>
      <c r="D61" s="191"/>
      <c r="E61" s="191"/>
      <c r="F61" s="191"/>
      <c r="G61" s="37"/>
      <c r="H61" s="260">
        <v>32</v>
      </c>
      <c r="I61" s="250"/>
      <c r="J61" s="257"/>
      <c r="K61" s="258"/>
      <c r="L61" s="258"/>
      <c r="M61" s="258"/>
      <c r="N61" s="258"/>
      <c r="O61" s="258"/>
      <c r="P61" s="258"/>
      <c r="Q61" s="259"/>
      <c r="R61" s="86"/>
      <c r="U61" s="105"/>
      <c r="V61" s="105"/>
      <c r="W61" s="105"/>
    </row>
    <row r="62" spans="2:23" ht="15" x14ac:dyDescent="0.2">
      <c r="B62" s="36"/>
      <c r="C62" s="190" t="s">
        <v>108</v>
      </c>
      <c r="D62" s="191"/>
      <c r="E62" s="191"/>
      <c r="F62" s="191"/>
      <c r="G62" s="37"/>
      <c r="H62" s="249"/>
      <c r="I62" s="250"/>
      <c r="J62" s="248"/>
      <c r="K62" s="248"/>
      <c r="L62" s="248"/>
      <c r="M62" s="248"/>
      <c r="N62" s="248"/>
      <c r="O62" s="248"/>
      <c r="P62" s="248"/>
      <c r="Q62" s="248"/>
      <c r="R62" s="86"/>
      <c r="U62" s="105"/>
      <c r="V62" s="105"/>
      <c r="W62" s="105"/>
    </row>
    <row r="63" spans="2:23" ht="13.15" customHeight="1" x14ac:dyDescent="0.2">
      <c r="B63" s="36"/>
      <c r="C63" s="190" t="s">
        <v>107</v>
      </c>
      <c r="D63" s="191"/>
      <c r="E63" s="191"/>
      <c r="F63" s="191"/>
      <c r="G63" s="37"/>
      <c r="H63" s="249">
        <v>28</v>
      </c>
      <c r="I63" s="250"/>
      <c r="J63" s="248"/>
      <c r="K63" s="248"/>
      <c r="L63" s="248"/>
      <c r="M63" s="248"/>
      <c r="N63" s="248"/>
      <c r="O63" s="248"/>
      <c r="P63" s="248"/>
      <c r="Q63" s="248"/>
      <c r="R63" s="86"/>
      <c r="U63" s="105"/>
      <c r="V63" s="105"/>
      <c r="W63" s="105"/>
    </row>
    <row r="64" spans="2:23" ht="15" x14ac:dyDescent="0.2">
      <c r="B64" s="36"/>
      <c r="C64" s="190" t="s">
        <v>45</v>
      </c>
      <c r="D64" s="191"/>
      <c r="E64" s="191"/>
      <c r="F64" s="191"/>
      <c r="G64" s="37"/>
      <c r="H64" s="249"/>
      <c r="I64" s="250"/>
      <c r="J64" s="248"/>
      <c r="K64" s="248"/>
      <c r="L64" s="248"/>
      <c r="M64" s="248"/>
      <c r="N64" s="248"/>
      <c r="O64" s="248"/>
      <c r="P64" s="248"/>
      <c r="Q64" s="248"/>
      <c r="R64" s="86"/>
      <c r="U64" s="105"/>
      <c r="V64" s="105"/>
      <c r="W64" s="105"/>
    </row>
    <row r="65" spans="2:23" ht="15" x14ac:dyDescent="0.2">
      <c r="B65" s="36"/>
      <c r="C65" s="190" t="s">
        <v>73</v>
      </c>
      <c r="D65" s="191"/>
      <c r="E65" s="191"/>
      <c r="F65" s="191"/>
      <c r="G65" s="37"/>
      <c r="H65" s="249"/>
      <c r="I65" s="250"/>
      <c r="J65" s="248"/>
      <c r="K65" s="248"/>
      <c r="L65" s="248"/>
      <c r="M65" s="248"/>
      <c r="N65" s="248"/>
      <c r="O65" s="248"/>
      <c r="P65" s="248"/>
      <c r="Q65" s="248"/>
      <c r="R65" s="86"/>
      <c r="U65" s="105"/>
      <c r="V65" s="105"/>
      <c r="W65" s="105"/>
    </row>
    <row r="66" spans="2:23" ht="14.65" customHeight="1" x14ac:dyDescent="0.2">
      <c r="B66" s="36"/>
      <c r="C66" s="181" t="s">
        <v>117</v>
      </c>
      <c r="D66" s="182"/>
      <c r="E66" s="182"/>
      <c r="F66" s="182"/>
      <c r="G66" s="37"/>
      <c r="H66" s="249"/>
      <c r="I66" s="250"/>
      <c r="J66" s="248"/>
      <c r="K66" s="248"/>
      <c r="L66" s="248"/>
      <c r="M66" s="248"/>
      <c r="N66" s="248"/>
      <c r="O66" s="248"/>
      <c r="P66" s="248"/>
      <c r="Q66" s="248"/>
      <c r="R66" s="86"/>
      <c r="U66" s="105"/>
      <c r="V66" s="105"/>
      <c r="W66" s="105"/>
    </row>
    <row r="67" spans="2:23" ht="15" x14ac:dyDescent="0.2">
      <c r="B67" s="36"/>
      <c r="C67" s="187" t="s">
        <v>103</v>
      </c>
      <c r="D67" s="188"/>
      <c r="E67" s="188"/>
      <c r="F67" s="188"/>
      <c r="G67" s="37"/>
      <c r="H67" s="249">
        <v>137</v>
      </c>
      <c r="I67" s="250"/>
      <c r="J67" s="248"/>
      <c r="K67" s="248"/>
      <c r="L67" s="248"/>
      <c r="M67" s="248"/>
      <c r="N67" s="248"/>
      <c r="O67" s="248"/>
      <c r="P67" s="248"/>
      <c r="Q67" s="248"/>
      <c r="R67" s="86"/>
      <c r="U67" s="105"/>
      <c r="V67" s="105"/>
      <c r="W67" s="105"/>
    </row>
    <row r="68" spans="2:23" ht="15" x14ac:dyDescent="0.2">
      <c r="B68" s="36"/>
      <c r="C68" s="187" t="s">
        <v>104</v>
      </c>
      <c r="D68" s="188"/>
      <c r="E68" s="188"/>
      <c r="F68" s="188"/>
      <c r="G68" s="37"/>
      <c r="H68" s="249"/>
      <c r="I68" s="250"/>
      <c r="J68" s="248"/>
      <c r="K68" s="248"/>
      <c r="L68" s="248"/>
      <c r="M68" s="248"/>
      <c r="N68" s="248"/>
      <c r="O68" s="248"/>
      <c r="P68" s="248"/>
      <c r="Q68" s="248"/>
      <c r="R68" s="86"/>
      <c r="U68" s="105"/>
      <c r="V68" s="105"/>
      <c r="W68" s="105"/>
    </row>
    <row r="69" spans="2:23" ht="13.15" customHeight="1" x14ac:dyDescent="0.2">
      <c r="B69" s="36"/>
      <c r="C69" s="155" t="s">
        <v>105</v>
      </c>
      <c r="D69" s="156"/>
      <c r="E69" s="156"/>
      <c r="F69" s="156"/>
      <c r="G69" s="37"/>
      <c r="H69" s="260"/>
      <c r="I69" s="250"/>
      <c r="J69" s="248"/>
      <c r="K69" s="248"/>
      <c r="L69" s="248"/>
      <c r="M69" s="248"/>
      <c r="N69" s="248"/>
      <c r="O69" s="248"/>
      <c r="P69" s="248"/>
      <c r="Q69" s="248"/>
      <c r="R69" s="86"/>
      <c r="U69" s="105"/>
      <c r="V69" s="105"/>
      <c r="W69" s="105"/>
    </row>
    <row r="70" spans="2:23" ht="15" x14ac:dyDescent="0.2">
      <c r="B70" s="36"/>
      <c r="C70" s="187" t="s">
        <v>98</v>
      </c>
      <c r="D70" s="188"/>
      <c r="E70" s="188"/>
      <c r="F70" s="188"/>
      <c r="G70" s="37"/>
      <c r="H70" s="260"/>
      <c r="I70" s="250"/>
      <c r="J70" s="248"/>
      <c r="K70" s="248"/>
      <c r="L70" s="248"/>
      <c r="M70" s="248"/>
      <c r="N70" s="248"/>
      <c r="O70" s="248"/>
      <c r="P70" s="248"/>
      <c r="Q70" s="248"/>
      <c r="R70" s="86"/>
      <c r="U70" s="105"/>
      <c r="V70" s="105"/>
      <c r="W70" s="105"/>
    </row>
    <row r="71" spans="2:23" ht="15" x14ac:dyDescent="0.2">
      <c r="B71" s="36"/>
      <c r="C71" s="181" t="s">
        <v>118</v>
      </c>
      <c r="D71" s="182"/>
      <c r="E71" s="182"/>
      <c r="F71" s="182"/>
      <c r="G71" s="37"/>
      <c r="H71" s="260"/>
      <c r="I71" s="250"/>
      <c r="J71" s="248"/>
      <c r="K71" s="248"/>
      <c r="L71" s="248"/>
      <c r="M71" s="248"/>
      <c r="N71" s="248"/>
      <c r="O71" s="248"/>
      <c r="P71" s="248"/>
      <c r="Q71" s="248"/>
      <c r="R71" s="86"/>
      <c r="U71" s="105"/>
      <c r="V71" s="105"/>
      <c r="W71" s="105"/>
    </row>
    <row r="72" spans="2:23" ht="15" x14ac:dyDescent="0.2">
      <c r="B72" s="36"/>
      <c r="C72" s="187" t="s">
        <v>40</v>
      </c>
      <c r="D72" s="188"/>
      <c r="E72" s="188"/>
      <c r="F72" s="188"/>
      <c r="G72" s="37"/>
      <c r="H72" s="260">
        <v>217</v>
      </c>
      <c r="I72" s="250"/>
      <c r="J72" s="248"/>
      <c r="K72" s="248"/>
      <c r="L72" s="248"/>
      <c r="M72" s="248"/>
      <c r="N72" s="248"/>
      <c r="O72" s="248"/>
      <c r="P72" s="248"/>
      <c r="Q72" s="248"/>
      <c r="R72" s="86"/>
      <c r="U72" s="105"/>
      <c r="V72" s="105"/>
      <c r="W72" s="105"/>
    </row>
    <row r="73" spans="2:23" ht="15" x14ac:dyDescent="0.2">
      <c r="B73" s="36"/>
      <c r="C73" s="187" t="s">
        <v>41</v>
      </c>
      <c r="D73" s="188"/>
      <c r="E73" s="188"/>
      <c r="F73" s="188"/>
      <c r="G73" s="37"/>
      <c r="H73" s="249">
        <v>121</v>
      </c>
      <c r="I73" s="250"/>
      <c r="J73" s="248"/>
      <c r="K73" s="248"/>
      <c r="L73" s="248"/>
      <c r="M73" s="248"/>
      <c r="N73" s="248"/>
      <c r="O73" s="248"/>
      <c r="P73" s="248"/>
      <c r="Q73" s="248"/>
      <c r="R73" s="86"/>
      <c r="U73" s="105"/>
      <c r="V73" s="105"/>
      <c r="W73" s="105"/>
    </row>
    <row r="74" spans="2:23" ht="14.65" customHeight="1" x14ac:dyDescent="0.2">
      <c r="B74" s="36"/>
      <c r="C74" s="155" t="s">
        <v>99</v>
      </c>
      <c r="D74" s="156"/>
      <c r="E74" s="156"/>
      <c r="F74" s="156"/>
      <c r="G74" s="37"/>
      <c r="H74" s="249"/>
      <c r="I74" s="250"/>
      <c r="J74" s="248"/>
      <c r="K74" s="248"/>
      <c r="L74" s="248"/>
      <c r="M74" s="248"/>
      <c r="N74" s="248"/>
      <c r="O74" s="248"/>
      <c r="P74" s="248"/>
      <c r="Q74" s="248"/>
      <c r="R74" s="86"/>
      <c r="U74" s="105"/>
      <c r="V74" s="105"/>
      <c r="W74" s="105"/>
    </row>
    <row r="75" spans="2:23" ht="13.15" customHeight="1" x14ac:dyDescent="0.2">
      <c r="B75" s="36"/>
      <c r="C75" s="155" t="s">
        <v>100</v>
      </c>
      <c r="D75" s="156"/>
      <c r="E75" s="156"/>
      <c r="F75" s="156"/>
      <c r="G75" s="37"/>
      <c r="H75" s="249"/>
      <c r="I75" s="250"/>
      <c r="J75" s="248"/>
      <c r="K75" s="248"/>
      <c r="L75" s="248"/>
      <c r="M75" s="248"/>
      <c r="N75" s="248"/>
      <c r="O75" s="248"/>
      <c r="P75" s="248"/>
      <c r="Q75" s="248"/>
      <c r="R75" s="86"/>
      <c r="U75" s="105"/>
      <c r="V75" s="105"/>
      <c r="W75" s="105"/>
    </row>
    <row r="76" spans="2:23" ht="16.899999999999999" customHeight="1" x14ac:dyDescent="0.2">
      <c r="B76" s="36"/>
      <c r="C76" s="155" t="s">
        <v>101</v>
      </c>
      <c r="D76" s="156"/>
      <c r="E76" s="156"/>
      <c r="F76" s="156"/>
      <c r="G76" s="37"/>
      <c r="H76" s="249"/>
      <c r="I76" s="250"/>
      <c r="J76" s="248"/>
      <c r="K76" s="248"/>
      <c r="L76" s="248"/>
      <c r="M76" s="248"/>
      <c r="N76" s="248"/>
      <c r="O76" s="248"/>
      <c r="P76" s="248"/>
      <c r="Q76" s="248"/>
      <c r="R76" s="86"/>
      <c r="U76" s="105"/>
      <c r="V76" s="105"/>
      <c r="W76" s="105"/>
    </row>
    <row r="77" spans="2:23" ht="13.15" customHeight="1" x14ac:dyDescent="0.2">
      <c r="B77" s="36"/>
      <c r="C77" s="155" t="s">
        <v>102</v>
      </c>
      <c r="D77" s="156"/>
      <c r="E77" s="156"/>
      <c r="F77" s="156"/>
      <c r="G77" s="37"/>
      <c r="H77" s="260"/>
      <c r="I77" s="250"/>
      <c r="J77" s="248"/>
      <c r="K77" s="248"/>
      <c r="L77" s="248"/>
      <c r="M77" s="248"/>
      <c r="N77" s="248"/>
      <c r="O77" s="248"/>
      <c r="P77" s="248"/>
      <c r="Q77" s="248"/>
      <c r="R77" s="86"/>
      <c r="U77" s="105"/>
      <c r="V77" s="105"/>
      <c r="W77" s="105"/>
    </row>
    <row r="78" spans="2:23" ht="15" x14ac:dyDescent="0.2">
      <c r="B78" s="36"/>
      <c r="C78" s="181" t="s">
        <v>39</v>
      </c>
      <c r="D78" s="182"/>
      <c r="E78" s="182"/>
      <c r="F78" s="182"/>
      <c r="G78" s="37"/>
      <c r="H78" s="249"/>
      <c r="I78" s="250"/>
      <c r="J78" s="248"/>
      <c r="K78" s="248"/>
      <c r="L78" s="248"/>
      <c r="M78" s="248"/>
      <c r="N78" s="248"/>
      <c r="O78" s="248"/>
      <c r="P78" s="248"/>
      <c r="Q78" s="248"/>
      <c r="R78" s="86"/>
      <c r="U78" s="105"/>
      <c r="V78" s="105"/>
      <c r="W78" s="105"/>
    </row>
    <row r="79" spans="2:23" ht="26.1" customHeight="1" x14ac:dyDescent="0.2">
      <c r="B79" s="36"/>
      <c r="C79" s="184" t="s">
        <v>46</v>
      </c>
      <c r="D79" s="185"/>
      <c r="E79" s="185"/>
      <c r="F79" s="185"/>
      <c r="G79" s="37"/>
      <c r="H79" s="262" t="s">
        <v>37</v>
      </c>
      <c r="I79" s="263"/>
      <c r="J79" s="270" t="s">
        <v>74</v>
      </c>
      <c r="K79" s="271"/>
      <c r="L79" s="271"/>
      <c r="M79" s="271"/>
      <c r="N79" s="271"/>
      <c r="O79" s="271"/>
      <c r="P79" s="271"/>
      <c r="Q79" s="271"/>
      <c r="R79" s="86"/>
      <c r="U79" s="105"/>
      <c r="V79" s="105"/>
      <c r="W79" s="105"/>
    </row>
    <row r="80" spans="2:23" ht="15" x14ac:dyDescent="0.2">
      <c r="B80" s="36"/>
      <c r="C80" s="181" t="s">
        <v>106</v>
      </c>
      <c r="D80" s="182"/>
      <c r="E80" s="182"/>
      <c r="F80" s="182"/>
      <c r="G80" s="37"/>
      <c r="H80" s="249"/>
      <c r="I80" s="250"/>
      <c r="J80" s="248"/>
      <c r="K80" s="248"/>
      <c r="L80" s="248"/>
      <c r="M80" s="248"/>
      <c r="N80" s="248"/>
      <c r="O80" s="248"/>
      <c r="P80" s="248"/>
      <c r="Q80" s="248"/>
      <c r="R80" s="86"/>
      <c r="U80" s="105"/>
      <c r="V80" s="105"/>
      <c r="W80" s="105"/>
    </row>
    <row r="81" spans="2:23" ht="15" x14ac:dyDescent="0.2">
      <c r="B81" s="36"/>
      <c r="C81" s="181" t="s">
        <v>96</v>
      </c>
      <c r="D81" s="182"/>
      <c r="E81" s="182" t="s">
        <v>85</v>
      </c>
      <c r="F81" s="182" t="s">
        <v>85</v>
      </c>
      <c r="G81" s="37"/>
      <c r="H81" s="260"/>
      <c r="I81" s="250"/>
      <c r="J81" s="248"/>
      <c r="K81" s="248"/>
      <c r="L81" s="248"/>
      <c r="M81" s="248"/>
      <c r="N81" s="248"/>
      <c r="O81" s="248"/>
      <c r="P81" s="248"/>
      <c r="Q81" s="248"/>
      <c r="R81" s="86"/>
      <c r="U81" s="105"/>
      <c r="V81" s="105"/>
      <c r="W81" s="105"/>
    </row>
    <row r="82" spans="2:23" ht="30.95" customHeight="1" x14ac:dyDescent="0.2">
      <c r="B82" s="36"/>
      <c r="C82" s="181" t="s">
        <v>93</v>
      </c>
      <c r="D82" s="182"/>
      <c r="E82" s="182" t="s">
        <v>85</v>
      </c>
      <c r="F82" s="182" t="s">
        <v>85</v>
      </c>
      <c r="G82" s="37"/>
      <c r="H82" s="249"/>
      <c r="I82" s="250"/>
      <c r="J82" s="248"/>
      <c r="K82" s="248"/>
      <c r="L82" s="248"/>
      <c r="M82" s="248"/>
      <c r="N82" s="248"/>
      <c r="O82" s="248"/>
      <c r="P82" s="248"/>
      <c r="Q82" s="248"/>
      <c r="R82" s="86"/>
      <c r="U82" s="105"/>
      <c r="V82" s="105"/>
      <c r="W82" s="105"/>
    </row>
    <row r="83" spans="2:23" ht="15" x14ac:dyDescent="0.2">
      <c r="B83" s="36"/>
      <c r="C83" s="181" t="s">
        <v>92</v>
      </c>
      <c r="D83" s="182"/>
      <c r="E83" s="182"/>
      <c r="F83" s="182"/>
      <c r="G83" s="37"/>
      <c r="H83" s="249"/>
      <c r="I83" s="250"/>
      <c r="J83" s="248"/>
      <c r="K83" s="248"/>
      <c r="L83" s="248"/>
      <c r="M83" s="248"/>
      <c r="N83" s="248"/>
      <c r="O83" s="248"/>
      <c r="P83" s="248"/>
      <c r="Q83" s="248"/>
      <c r="R83" s="86"/>
      <c r="U83" s="105"/>
      <c r="V83" s="105"/>
      <c r="W83" s="105"/>
    </row>
    <row r="84" spans="2:23" s="76" customFormat="1" ht="15" x14ac:dyDescent="0.2">
      <c r="B84" s="36"/>
      <c r="C84" s="181" t="s">
        <v>127</v>
      </c>
      <c r="D84" s="182"/>
      <c r="E84" s="182"/>
      <c r="F84" s="182"/>
      <c r="G84" s="37"/>
      <c r="H84" s="249"/>
      <c r="I84" s="250"/>
      <c r="J84" s="248"/>
      <c r="K84" s="248"/>
      <c r="L84" s="248"/>
      <c r="M84" s="248"/>
      <c r="N84" s="248"/>
      <c r="O84" s="248"/>
      <c r="P84" s="248"/>
      <c r="Q84" s="248"/>
      <c r="R84" s="85"/>
    </row>
    <row r="85" spans="2:23" s="76" customFormat="1" ht="15" x14ac:dyDescent="0.2">
      <c r="B85" s="36"/>
      <c r="C85" s="181" t="s">
        <v>95</v>
      </c>
      <c r="D85" s="182"/>
      <c r="E85" s="182" t="s">
        <v>85</v>
      </c>
      <c r="F85" s="182" t="s">
        <v>85</v>
      </c>
      <c r="G85" s="37"/>
      <c r="H85" s="249"/>
      <c r="I85" s="250"/>
      <c r="J85" s="248"/>
      <c r="K85" s="248"/>
      <c r="L85" s="248"/>
      <c r="M85" s="248"/>
      <c r="N85" s="248"/>
      <c r="O85" s="248"/>
      <c r="P85" s="248"/>
      <c r="Q85" s="248"/>
      <c r="R85" s="86"/>
      <c r="S85" s="71"/>
      <c r="T85" s="71"/>
      <c r="U85" s="107"/>
    </row>
    <row r="86" spans="2:23" s="76" customFormat="1" ht="13.9" customHeight="1" x14ac:dyDescent="0.2">
      <c r="B86" s="36"/>
      <c r="C86" s="181" t="s">
        <v>94</v>
      </c>
      <c r="D86" s="182"/>
      <c r="E86" s="182" t="s">
        <v>85</v>
      </c>
      <c r="F86" s="182" t="s">
        <v>85</v>
      </c>
      <c r="G86" s="37"/>
      <c r="H86" s="249"/>
      <c r="I86" s="250"/>
      <c r="J86" s="248"/>
      <c r="K86" s="248"/>
      <c r="L86" s="248"/>
      <c r="M86" s="248"/>
      <c r="N86" s="248"/>
      <c r="O86" s="248"/>
      <c r="P86" s="248"/>
      <c r="Q86" s="248"/>
      <c r="R86" s="86"/>
      <c r="S86" s="107"/>
      <c r="T86" s="107"/>
      <c r="U86" s="107"/>
    </row>
    <row r="87" spans="2:23" s="76" customFormat="1" x14ac:dyDescent="0.2">
      <c r="B87" s="101"/>
      <c r="C87" s="53"/>
      <c r="D87" s="54"/>
      <c r="E87" s="55"/>
      <c r="F87" s="53"/>
      <c r="G87" s="53"/>
      <c r="H87" s="53"/>
      <c r="I87" s="53"/>
      <c r="J87" s="53"/>
      <c r="K87" s="54"/>
      <c r="L87" s="54"/>
      <c r="M87" s="54"/>
      <c r="N87" s="54"/>
      <c r="O87" s="54"/>
      <c r="P87" s="54"/>
      <c r="Q87" s="54"/>
      <c r="R87" s="87"/>
      <c r="S87" s="107"/>
      <c r="T87" s="107"/>
      <c r="U87" s="107"/>
    </row>
    <row r="88" spans="2:23" s="76" customFormat="1" x14ac:dyDescent="0.2">
      <c r="D88" s="107"/>
      <c r="E88" s="77"/>
      <c r="F88" s="77"/>
      <c r="G88" s="161"/>
      <c r="H88" s="77"/>
      <c r="I88" s="77"/>
      <c r="J88" s="77"/>
      <c r="K88" s="107"/>
      <c r="L88" s="107"/>
      <c r="M88" s="107"/>
      <c r="N88" s="107"/>
      <c r="O88" s="107"/>
      <c r="P88" s="107"/>
      <c r="Q88" s="107"/>
      <c r="R88" s="107"/>
      <c r="S88" s="107"/>
      <c r="T88" s="107"/>
      <c r="U88" s="107"/>
    </row>
    <row r="89" spans="2:23" s="76" customFormat="1" x14ac:dyDescent="0.2">
      <c r="D89" s="107"/>
      <c r="E89" s="77"/>
      <c r="F89" s="77"/>
      <c r="G89" s="161"/>
      <c r="H89" s="77"/>
      <c r="I89" s="77"/>
      <c r="J89" s="77"/>
      <c r="K89" s="107"/>
      <c r="L89" s="107"/>
      <c r="M89" s="107"/>
      <c r="N89" s="107"/>
      <c r="O89" s="107"/>
      <c r="P89" s="107"/>
      <c r="Q89" s="107"/>
      <c r="R89" s="107"/>
      <c r="S89" s="107"/>
      <c r="T89" s="107"/>
      <c r="U89" s="107"/>
    </row>
    <row r="90" spans="2:23" s="76" customFormat="1" x14ac:dyDescent="0.2">
      <c r="D90" s="107"/>
      <c r="E90" s="78"/>
      <c r="F90" s="78"/>
      <c r="G90" s="161"/>
      <c r="H90" s="78"/>
      <c r="I90" s="107"/>
      <c r="J90" s="107"/>
      <c r="K90" s="107"/>
      <c r="L90" s="107"/>
      <c r="M90" s="107"/>
      <c r="N90" s="107"/>
      <c r="O90" s="107"/>
      <c r="P90" s="107"/>
      <c r="Q90" s="107"/>
      <c r="R90" s="107"/>
      <c r="S90" s="107"/>
      <c r="T90" s="107"/>
      <c r="U90" s="107"/>
    </row>
    <row r="91" spans="2:23" s="76" customFormat="1" x14ac:dyDescent="0.2">
      <c r="D91" s="107"/>
      <c r="E91" s="79"/>
      <c r="F91" s="79"/>
      <c r="G91" s="161"/>
      <c r="H91" s="79"/>
      <c r="I91" s="107"/>
      <c r="J91" s="107"/>
      <c r="K91" s="107"/>
      <c r="L91" s="107"/>
      <c r="M91" s="107"/>
      <c r="N91" s="107"/>
      <c r="O91" s="107"/>
      <c r="P91" s="107"/>
      <c r="R91" s="107"/>
      <c r="S91" s="107"/>
      <c r="T91" s="107"/>
      <c r="U91" s="107"/>
    </row>
    <row r="92" spans="2:23" s="76" customFormat="1" x14ac:dyDescent="0.2">
      <c r="D92" s="107"/>
      <c r="E92" s="79"/>
      <c r="F92" s="79"/>
      <c r="G92" s="161"/>
      <c r="H92" s="79"/>
      <c r="I92" s="107"/>
      <c r="J92" s="107"/>
      <c r="K92" s="107"/>
      <c r="L92" s="107"/>
      <c r="M92" s="107"/>
      <c r="N92" s="107"/>
      <c r="O92" s="107"/>
      <c r="P92" s="107"/>
      <c r="Q92" s="107"/>
      <c r="R92" s="107"/>
      <c r="S92" s="107"/>
      <c r="T92" s="107"/>
      <c r="U92" s="107"/>
    </row>
    <row r="93" spans="2:23" s="76" customFormat="1" x14ac:dyDescent="0.2">
      <c r="D93" s="107"/>
      <c r="E93" s="79"/>
      <c r="F93" s="79"/>
      <c r="G93" s="161"/>
      <c r="H93" s="79"/>
      <c r="I93" s="107"/>
      <c r="J93" s="107"/>
      <c r="K93" s="107"/>
      <c r="L93" s="107"/>
      <c r="M93" s="107"/>
      <c r="N93" s="107"/>
      <c r="O93" s="107"/>
      <c r="P93" s="107"/>
      <c r="Q93" s="107"/>
      <c r="R93" s="107"/>
      <c r="S93" s="107"/>
      <c r="T93" s="107"/>
      <c r="U93" s="107"/>
    </row>
    <row r="94" spans="2:23" x14ac:dyDescent="0.2">
      <c r="C94" s="76"/>
      <c r="D94" s="107"/>
      <c r="E94" s="77"/>
      <c r="F94" s="77"/>
      <c r="H94" s="77"/>
      <c r="I94" s="107"/>
      <c r="J94" s="107"/>
      <c r="K94" s="107"/>
      <c r="L94" s="107"/>
      <c r="M94" s="107"/>
      <c r="N94" s="107"/>
      <c r="O94" s="107"/>
      <c r="P94" s="107"/>
      <c r="Q94" s="107"/>
      <c r="R94" s="107"/>
      <c r="S94" s="107"/>
      <c r="T94" s="107"/>
      <c r="U94" s="107"/>
    </row>
    <row r="95" spans="2:23" x14ac:dyDescent="0.2">
      <c r="I95" s="107"/>
      <c r="J95" s="107"/>
      <c r="K95" s="107"/>
      <c r="L95" s="107"/>
      <c r="M95" s="107"/>
      <c r="N95" s="107"/>
      <c r="O95" s="107"/>
      <c r="P95" s="107"/>
      <c r="Q95" s="107"/>
      <c r="R95" s="107"/>
      <c r="S95" s="107"/>
      <c r="T95" s="107"/>
      <c r="U95" s="107"/>
    </row>
    <row r="96" spans="2:23" x14ac:dyDescent="0.2">
      <c r="I96" s="107"/>
      <c r="J96" s="107"/>
      <c r="K96" s="107"/>
      <c r="L96" s="107"/>
      <c r="M96" s="107"/>
      <c r="N96" s="107"/>
      <c r="O96" s="107"/>
      <c r="P96" s="107"/>
      <c r="Q96" s="107"/>
      <c r="R96" s="107"/>
      <c r="S96" s="107"/>
      <c r="T96" s="107"/>
      <c r="U96" s="107"/>
    </row>
    <row r="97" spans="9:21" x14ac:dyDescent="0.2">
      <c r="I97" s="107"/>
      <c r="J97" s="107"/>
      <c r="K97" s="107"/>
      <c r="L97" s="107"/>
      <c r="M97" s="107"/>
      <c r="N97" s="107"/>
      <c r="O97" s="107"/>
      <c r="P97" s="107"/>
      <c r="Q97" s="107"/>
      <c r="R97" s="107"/>
      <c r="S97" s="107"/>
      <c r="T97" s="107"/>
      <c r="U97" s="107"/>
    </row>
    <row r="98" spans="9:21" x14ac:dyDescent="0.2">
      <c r="I98" s="107"/>
      <c r="J98" s="107"/>
      <c r="K98" s="107"/>
      <c r="L98" s="107"/>
      <c r="M98" s="107"/>
      <c r="N98" s="107"/>
      <c r="O98" s="107"/>
      <c r="P98" s="107"/>
      <c r="Q98" s="107"/>
      <c r="R98" s="107"/>
      <c r="S98" s="107"/>
      <c r="T98" s="107"/>
      <c r="U98" s="107"/>
    </row>
    <row r="99" spans="9:21" x14ac:dyDescent="0.2">
      <c r="I99" s="107"/>
      <c r="J99" s="107"/>
      <c r="K99" s="107"/>
      <c r="L99" s="107"/>
      <c r="M99" s="107"/>
      <c r="N99" s="107"/>
      <c r="O99" s="107"/>
      <c r="P99" s="107"/>
      <c r="Q99" s="107"/>
      <c r="R99" s="107"/>
      <c r="S99" s="107"/>
      <c r="T99" s="107"/>
      <c r="U99" s="107"/>
    </row>
    <row r="100" spans="9:21" x14ac:dyDescent="0.2">
      <c r="I100" s="107"/>
      <c r="J100" s="107"/>
      <c r="K100" s="107"/>
      <c r="L100" s="107"/>
      <c r="M100" s="107"/>
      <c r="N100" s="107"/>
      <c r="O100" s="107"/>
      <c r="P100" s="107"/>
      <c r="Q100" s="107"/>
      <c r="R100" s="107"/>
      <c r="S100" s="107"/>
      <c r="T100" s="107"/>
      <c r="U100" s="107"/>
    </row>
    <row r="101" spans="9:21" x14ac:dyDescent="0.2">
      <c r="I101" s="107"/>
      <c r="J101" s="107"/>
      <c r="K101" s="107"/>
      <c r="L101" s="107"/>
      <c r="M101" s="107"/>
      <c r="N101" s="107"/>
      <c r="O101" s="107"/>
      <c r="P101" s="107"/>
      <c r="Q101" s="107"/>
      <c r="R101" s="107"/>
      <c r="S101" s="107"/>
      <c r="T101" s="107"/>
      <c r="U101" s="107"/>
    </row>
    <row r="102" spans="9:21" x14ac:dyDescent="0.2">
      <c r="I102" s="107"/>
      <c r="J102" s="107"/>
      <c r="K102" s="107"/>
      <c r="L102" s="107"/>
      <c r="M102" s="107"/>
      <c r="N102" s="107"/>
      <c r="O102" s="107"/>
      <c r="P102" s="107"/>
      <c r="Q102" s="107"/>
      <c r="R102" s="107"/>
      <c r="S102" s="107"/>
      <c r="T102" s="107"/>
      <c r="U102" s="107"/>
    </row>
    <row r="103" spans="9:21" x14ac:dyDescent="0.2">
      <c r="I103" s="107"/>
      <c r="J103" s="107"/>
      <c r="K103" s="107"/>
      <c r="L103" s="107"/>
      <c r="M103" s="107"/>
      <c r="N103" s="107"/>
      <c r="O103" s="107"/>
      <c r="P103" s="107"/>
      <c r="Q103" s="107"/>
      <c r="R103" s="107"/>
      <c r="S103" s="107"/>
      <c r="T103" s="107"/>
      <c r="U103" s="107"/>
    </row>
    <row r="104" spans="9:21" x14ac:dyDescent="0.2">
      <c r="I104" s="107"/>
      <c r="J104" s="107"/>
      <c r="K104" s="107"/>
      <c r="L104" s="107"/>
      <c r="M104" s="107"/>
      <c r="N104" s="107"/>
      <c r="O104" s="107"/>
      <c r="P104" s="107"/>
      <c r="Q104" s="107"/>
      <c r="R104" s="107"/>
      <c r="S104" s="107"/>
      <c r="T104" s="107"/>
      <c r="U104" s="107"/>
    </row>
    <row r="105" spans="9:21" x14ac:dyDescent="0.2">
      <c r="I105" s="107"/>
      <c r="J105" s="107"/>
      <c r="K105" s="107"/>
      <c r="L105" s="107"/>
      <c r="M105" s="107"/>
      <c r="N105" s="107"/>
      <c r="O105" s="107"/>
      <c r="P105" s="107"/>
      <c r="Q105" s="107"/>
      <c r="R105" s="107"/>
      <c r="S105" s="107"/>
      <c r="T105" s="107"/>
      <c r="U105" s="107"/>
    </row>
    <row r="106" spans="9:21" x14ac:dyDescent="0.2">
      <c r="J106" s="73"/>
      <c r="L106" s="73"/>
      <c r="O106" s="73"/>
    </row>
    <row r="107" spans="9:21" x14ac:dyDescent="0.2">
      <c r="J107" s="73"/>
      <c r="L107" s="73"/>
      <c r="O107" s="73"/>
    </row>
    <row r="108" spans="9:21" x14ac:dyDescent="0.2">
      <c r="J108" s="73"/>
      <c r="L108" s="73"/>
      <c r="O108" s="73"/>
    </row>
    <row r="109" spans="9:21" x14ac:dyDescent="0.2">
      <c r="J109" s="73"/>
      <c r="L109" s="73"/>
      <c r="O109" s="73"/>
    </row>
    <row r="110" spans="9:21" x14ac:dyDescent="0.2">
      <c r="J110" s="73"/>
      <c r="L110" s="73"/>
      <c r="O110" s="73"/>
    </row>
    <row r="111" spans="9:21" x14ac:dyDescent="0.2">
      <c r="J111" s="73"/>
      <c r="L111" s="73"/>
      <c r="O111" s="73"/>
    </row>
    <row r="112" spans="9:21" x14ac:dyDescent="0.2">
      <c r="J112" s="73"/>
      <c r="L112" s="73"/>
      <c r="O112" s="73"/>
    </row>
    <row r="113" spans="10:15" x14ac:dyDescent="0.2">
      <c r="J113" s="73"/>
      <c r="L113" s="73"/>
      <c r="O113" s="73"/>
    </row>
    <row r="114" spans="10:15" x14ac:dyDescent="0.2">
      <c r="J114" s="73"/>
      <c r="L114" s="73"/>
      <c r="O114" s="73"/>
    </row>
    <row r="115" spans="10:15" x14ac:dyDescent="0.2">
      <c r="J115" s="73"/>
      <c r="L115" s="73"/>
      <c r="O115" s="73"/>
    </row>
    <row r="116" spans="10:15" x14ac:dyDescent="0.2">
      <c r="J116" s="73"/>
      <c r="L116" s="73"/>
      <c r="O116" s="73"/>
    </row>
    <row r="117" spans="10:15" x14ac:dyDescent="0.2">
      <c r="J117" s="73"/>
      <c r="L117" s="73"/>
      <c r="O117" s="73"/>
    </row>
    <row r="118" spans="10:15" x14ac:dyDescent="0.2">
      <c r="J118" s="73"/>
      <c r="L118" s="73"/>
      <c r="O118" s="73"/>
    </row>
    <row r="119" spans="10:15" x14ac:dyDescent="0.2">
      <c r="J119" s="73"/>
      <c r="L119" s="73"/>
      <c r="O119" s="73"/>
    </row>
    <row r="120" spans="10:15" x14ac:dyDescent="0.2">
      <c r="J120" s="73"/>
      <c r="L120" s="73"/>
      <c r="O120" s="73"/>
    </row>
    <row r="121" spans="10:15" x14ac:dyDescent="0.2">
      <c r="J121" s="73"/>
      <c r="L121" s="73"/>
      <c r="O121" s="73"/>
    </row>
    <row r="122" spans="10:15" x14ac:dyDescent="0.2">
      <c r="J122" s="73"/>
      <c r="L122" s="73"/>
      <c r="O122" s="73"/>
    </row>
    <row r="123" spans="10:15" x14ac:dyDescent="0.2">
      <c r="J123" s="73"/>
      <c r="L123" s="73"/>
      <c r="O123" s="73"/>
    </row>
    <row r="124" spans="10:15" x14ac:dyDescent="0.2">
      <c r="J124" s="73"/>
      <c r="L124" s="73"/>
      <c r="O124" s="73"/>
    </row>
    <row r="125" spans="10:15" x14ac:dyDescent="0.2">
      <c r="J125" s="73"/>
      <c r="L125" s="73"/>
      <c r="O125" s="73"/>
    </row>
    <row r="126" spans="10:15" x14ac:dyDescent="0.2">
      <c r="J126" s="73"/>
      <c r="L126" s="73"/>
      <c r="O126" s="73"/>
    </row>
    <row r="127" spans="10:15" x14ac:dyDescent="0.2">
      <c r="J127" s="73"/>
      <c r="L127" s="73"/>
      <c r="O127" s="73"/>
    </row>
    <row r="128" spans="10:15" x14ac:dyDescent="0.2">
      <c r="J128" s="73"/>
      <c r="L128" s="73"/>
      <c r="O128" s="73"/>
    </row>
    <row r="129" spans="10:15" x14ac:dyDescent="0.2">
      <c r="J129" s="73"/>
      <c r="L129" s="73"/>
      <c r="O129" s="73"/>
    </row>
    <row r="130" spans="10:15" x14ac:dyDescent="0.2">
      <c r="J130" s="73"/>
      <c r="L130" s="73"/>
      <c r="O130" s="73"/>
    </row>
    <row r="131" spans="10:15" x14ac:dyDescent="0.2">
      <c r="J131" s="73"/>
      <c r="L131" s="73"/>
      <c r="O131" s="73"/>
    </row>
    <row r="132" spans="10:15" x14ac:dyDescent="0.2">
      <c r="J132" s="73"/>
      <c r="L132" s="73"/>
      <c r="O132" s="73"/>
    </row>
    <row r="133" spans="10:15" x14ac:dyDescent="0.2">
      <c r="J133" s="73"/>
      <c r="L133" s="73"/>
      <c r="O133" s="73"/>
    </row>
    <row r="134" spans="10:15" x14ac:dyDescent="0.2">
      <c r="J134" s="73"/>
      <c r="L134" s="73"/>
      <c r="O134" s="73"/>
    </row>
    <row r="135" spans="10:15" x14ac:dyDescent="0.2">
      <c r="J135" s="73"/>
      <c r="L135" s="73"/>
      <c r="O135" s="73"/>
    </row>
    <row r="136" spans="10:15" x14ac:dyDescent="0.2">
      <c r="J136" s="73"/>
      <c r="L136" s="73"/>
      <c r="O136" s="73"/>
    </row>
    <row r="137" spans="10:15" x14ac:dyDescent="0.2">
      <c r="J137" s="73"/>
      <c r="L137" s="73"/>
      <c r="O137" s="73"/>
    </row>
    <row r="138" spans="10:15" x14ac:dyDescent="0.2">
      <c r="J138" s="73"/>
      <c r="L138" s="73"/>
      <c r="O138" s="73"/>
    </row>
    <row r="139" spans="10:15" x14ac:dyDescent="0.2">
      <c r="J139" s="73"/>
      <c r="L139" s="73"/>
      <c r="O139" s="73"/>
    </row>
    <row r="140" spans="10:15" x14ac:dyDescent="0.2">
      <c r="J140" s="73"/>
      <c r="L140" s="73"/>
      <c r="O140" s="73"/>
    </row>
    <row r="141" spans="10:15" x14ac:dyDescent="0.2">
      <c r="J141" s="73"/>
      <c r="L141" s="73"/>
      <c r="O141" s="73"/>
    </row>
    <row r="142" spans="10:15" x14ac:dyDescent="0.2">
      <c r="J142" s="73"/>
      <c r="L142" s="73"/>
      <c r="O142" s="73"/>
    </row>
    <row r="143" spans="10:15" x14ac:dyDescent="0.2">
      <c r="J143" s="73"/>
      <c r="L143" s="73"/>
      <c r="O143" s="73"/>
    </row>
    <row r="144" spans="10:15" x14ac:dyDescent="0.2">
      <c r="J144" s="73"/>
      <c r="L144" s="73"/>
      <c r="O144" s="73"/>
    </row>
    <row r="145" spans="10:15" x14ac:dyDescent="0.2">
      <c r="J145" s="73"/>
      <c r="L145" s="73"/>
      <c r="O145" s="73"/>
    </row>
    <row r="146" spans="10:15" x14ac:dyDescent="0.2">
      <c r="J146" s="73"/>
      <c r="L146" s="73"/>
      <c r="O146" s="73"/>
    </row>
    <row r="147" spans="10:15" x14ac:dyDescent="0.2">
      <c r="J147" s="73"/>
      <c r="L147" s="73"/>
      <c r="O147" s="73"/>
    </row>
    <row r="148" spans="10:15" x14ac:dyDescent="0.2">
      <c r="J148" s="73"/>
      <c r="L148" s="73"/>
      <c r="O148" s="73"/>
    </row>
    <row r="149" spans="10:15" x14ac:dyDescent="0.2">
      <c r="J149" s="73"/>
      <c r="L149" s="73"/>
      <c r="O149" s="73"/>
    </row>
    <row r="150" spans="10:15" x14ac:dyDescent="0.2">
      <c r="J150" s="73"/>
      <c r="L150" s="73"/>
      <c r="O150" s="73"/>
    </row>
    <row r="151" spans="10:15" x14ac:dyDescent="0.2">
      <c r="J151" s="73"/>
      <c r="L151" s="73"/>
      <c r="O151" s="73"/>
    </row>
    <row r="152" spans="10:15" x14ac:dyDescent="0.2">
      <c r="J152" s="73"/>
      <c r="L152" s="73"/>
      <c r="O152" s="73"/>
    </row>
    <row r="153" spans="10:15" x14ac:dyDescent="0.2">
      <c r="J153" s="73"/>
      <c r="L153" s="73"/>
      <c r="O153" s="73"/>
    </row>
    <row r="154" spans="10:15" x14ac:dyDescent="0.2">
      <c r="J154" s="73"/>
      <c r="L154" s="73"/>
      <c r="O154" s="73"/>
    </row>
    <row r="155" spans="10:15" x14ac:dyDescent="0.2">
      <c r="J155" s="73"/>
      <c r="L155" s="73"/>
      <c r="O155" s="73"/>
    </row>
    <row r="156" spans="10:15" x14ac:dyDescent="0.2">
      <c r="J156" s="73"/>
      <c r="L156" s="73"/>
      <c r="O156" s="73"/>
    </row>
    <row r="157" spans="10:15" x14ac:dyDescent="0.2">
      <c r="J157" s="73"/>
      <c r="L157" s="73"/>
      <c r="O157" s="73"/>
    </row>
    <row r="158" spans="10:15" x14ac:dyDescent="0.2">
      <c r="J158" s="73"/>
      <c r="L158" s="73"/>
      <c r="O158" s="73"/>
    </row>
    <row r="159" spans="10:15" x14ac:dyDescent="0.2">
      <c r="J159" s="73"/>
      <c r="L159" s="73"/>
      <c r="O159" s="73"/>
    </row>
    <row r="160" spans="10:15" x14ac:dyDescent="0.2">
      <c r="J160" s="73"/>
      <c r="L160" s="73"/>
      <c r="O160" s="73"/>
    </row>
    <row r="161" spans="10:15" x14ac:dyDescent="0.2">
      <c r="J161" s="73"/>
      <c r="L161" s="73"/>
      <c r="O161" s="73"/>
    </row>
    <row r="162" spans="10:15" x14ac:dyDescent="0.2">
      <c r="J162" s="73"/>
      <c r="L162" s="73"/>
      <c r="O162" s="73"/>
    </row>
    <row r="163" spans="10:15" x14ac:dyDescent="0.2">
      <c r="J163" s="73"/>
      <c r="L163" s="73"/>
      <c r="O163" s="73"/>
    </row>
    <row r="164" spans="10:15" x14ac:dyDescent="0.2">
      <c r="J164" s="73"/>
      <c r="L164" s="73"/>
      <c r="O164" s="73"/>
    </row>
    <row r="165" spans="10:15" x14ac:dyDescent="0.2">
      <c r="J165" s="73"/>
      <c r="L165" s="73"/>
      <c r="O165" s="73"/>
    </row>
    <row r="166" spans="10:15" x14ac:dyDescent="0.2">
      <c r="J166" s="73"/>
      <c r="L166" s="73"/>
      <c r="O166" s="73"/>
    </row>
    <row r="167" spans="10:15" x14ac:dyDescent="0.2">
      <c r="J167" s="73"/>
      <c r="L167" s="73"/>
      <c r="O167" s="73"/>
    </row>
    <row r="168" spans="10:15" x14ac:dyDescent="0.2">
      <c r="J168" s="73"/>
      <c r="L168" s="73"/>
      <c r="O168" s="73"/>
    </row>
    <row r="169" spans="10:15" x14ac:dyDescent="0.2">
      <c r="J169" s="73"/>
      <c r="L169" s="73"/>
      <c r="O169" s="73"/>
    </row>
    <row r="170" spans="10:15" x14ac:dyDescent="0.2">
      <c r="J170" s="73"/>
      <c r="L170" s="73"/>
      <c r="O170" s="73"/>
    </row>
    <row r="171" spans="10:15" x14ac:dyDescent="0.2">
      <c r="J171" s="73"/>
      <c r="L171" s="73"/>
      <c r="O171" s="73"/>
    </row>
    <row r="172" spans="10:15" x14ac:dyDescent="0.2">
      <c r="J172" s="73"/>
      <c r="L172" s="73"/>
      <c r="O172" s="73"/>
    </row>
    <row r="173" spans="10:15" x14ac:dyDescent="0.2">
      <c r="J173" s="73"/>
      <c r="L173" s="73"/>
      <c r="O173" s="73"/>
    </row>
    <row r="174" spans="10:15" x14ac:dyDescent="0.2">
      <c r="J174" s="73"/>
      <c r="L174" s="73"/>
      <c r="O174" s="73"/>
    </row>
    <row r="175" spans="10:15" x14ac:dyDescent="0.2">
      <c r="J175" s="73"/>
      <c r="L175" s="73"/>
      <c r="O175" s="73"/>
    </row>
    <row r="176" spans="10:15" x14ac:dyDescent="0.2">
      <c r="J176" s="73"/>
      <c r="L176" s="73"/>
      <c r="O176" s="73"/>
    </row>
    <row r="177" spans="10:15" x14ac:dyDescent="0.2">
      <c r="J177" s="73"/>
      <c r="L177" s="73"/>
      <c r="O177" s="73"/>
    </row>
    <row r="178" spans="10:15" x14ac:dyDescent="0.2">
      <c r="J178" s="73"/>
      <c r="L178" s="73"/>
      <c r="O178" s="73"/>
    </row>
    <row r="179" spans="10:15" x14ac:dyDescent="0.2">
      <c r="J179" s="73"/>
      <c r="L179" s="73"/>
      <c r="O179" s="73"/>
    </row>
    <row r="180" spans="10:15" x14ac:dyDescent="0.2">
      <c r="J180" s="73"/>
      <c r="L180" s="73"/>
      <c r="O180" s="73"/>
    </row>
    <row r="181" spans="10:15" x14ac:dyDescent="0.2">
      <c r="J181" s="73"/>
      <c r="L181" s="73"/>
      <c r="O181" s="73"/>
    </row>
    <row r="182" spans="10:15" x14ac:dyDescent="0.2">
      <c r="J182" s="73"/>
      <c r="L182" s="73"/>
      <c r="O182" s="73"/>
    </row>
    <row r="183" spans="10:15" x14ac:dyDescent="0.2">
      <c r="J183" s="73"/>
      <c r="L183" s="73"/>
      <c r="O183" s="73"/>
    </row>
    <row r="184" spans="10:15" x14ac:dyDescent="0.2">
      <c r="J184" s="73"/>
      <c r="L184" s="73"/>
      <c r="O184" s="73"/>
    </row>
    <row r="185" spans="10:15" x14ac:dyDescent="0.2">
      <c r="J185" s="73"/>
      <c r="L185" s="73"/>
      <c r="O185" s="73"/>
    </row>
    <row r="186" spans="10:15" x14ac:dyDescent="0.2">
      <c r="J186" s="73"/>
      <c r="L186" s="73"/>
      <c r="O186" s="73"/>
    </row>
    <row r="187" spans="10:15" x14ac:dyDescent="0.2">
      <c r="J187" s="73"/>
      <c r="L187" s="73"/>
      <c r="O187" s="73"/>
    </row>
    <row r="188" spans="10:15" x14ac:dyDescent="0.2">
      <c r="J188" s="73"/>
      <c r="L188" s="73"/>
      <c r="O188" s="73"/>
    </row>
    <row r="189" spans="10:15" x14ac:dyDescent="0.2">
      <c r="J189" s="73"/>
      <c r="L189" s="73"/>
      <c r="O189" s="73"/>
    </row>
    <row r="190" spans="10:15" x14ac:dyDescent="0.2">
      <c r="J190" s="73"/>
      <c r="L190" s="73"/>
      <c r="O190" s="73"/>
    </row>
    <row r="191" spans="10:15" x14ac:dyDescent="0.2">
      <c r="J191" s="73"/>
      <c r="L191" s="73"/>
      <c r="O191" s="73"/>
    </row>
    <row r="192" spans="10:15" x14ac:dyDescent="0.2">
      <c r="J192" s="73"/>
      <c r="L192" s="73"/>
      <c r="O192" s="73"/>
    </row>
    <row r="193" spans="10:15" x14ac:dyDescent="0.2">
      <c r="J193" s="73"/>
      <c r="L193" s="73"/>
      <c r="O193" s="73"/>
    </row>
    <row r="194" spans="10:15" x14ac:dyDescent="0.2">
      <c r="J194" s="73"/>
      <c r="L194" s="73"/>
      <c r="O194" s="73"/>
    </row>
    <row r="195" spans="10:15" x14ac:dyDescent="0.2">
      <c r="J195" s="73"/>
      <c r="L195" s="73"/>
      <c r="O195" s="73"/>
    </row>
    <row r="196" spans="10:15" x14ac:dyDescent="0.2">
      <c r="J196" s="73"/>
      <c r="L196" s="73"/>
      <c r="O196" s="73"/>
    </row>
    <row r="197" spans="10:15" x14ac:dyDescent="0.2">
      <c r="J197" s="73"/>
      <c r="L197" s="73"/>
      <c r="O197" s="73"/>
    </row>
    <row r="198" spans="10:15" x14ac:dyDescent="0.2">
      <c r="J198" s="73"/>
      <c r="L198" s="73"/>
      <c r="O198" s="73"/>
    </row>
    <row r="199" spans="10:15" x14ac:dyDescent="0.2">
      <c r="J199" s="73"/>
      <c r="L199" s="73"/>
      <c r="O199" s="73"/>
    </row>
    <row r="200" spans="10:15" x14ac:dyDescent="0.2">
      <c r="J200" s="73"/>
      <c r="L200" s="73"/>
      <c r="O200" s="73"/>
    </row>
    <row r="201" spans="10:15" x14ac:dyDescent="0.2">
      <c r="J201" s="73"/>
      <c r="L201" s="73"/>
      <c r="O201" s="73"/>
    </row>
    <row r="202" spans="10:15" x14ac:dyDescent="0.2">
      <c r="J202" s="73"/>
      <c r="L202" s="73"/>
      <c r="O202" s="73"/>
    </row>
    <row r="203" spans="10:15" x14ac:dyDescent="0.2">
      <c r="J203" s="73"/>
      <c r="L203" s="73"/>
      <c r="O203" s="73"/>
    </row>
    <row r="204" spans="10:15" x14ac:dyDescent="0.2">
      <c r="J204" s="73"/>
      <c r="L204" s="73"/>
      <c r="O204" s="73"/>
    </row>
    <row r="205" spans="10:15" x14ac:dyDescent="0.2">
      <c r="J205" s="73"/>
      <c r="L205" s="73"/>
      <c r="O205" s="73"/>
    </row>
    <row r="206" spans="10:15" x14ac:dyDescent="0.2">
      <c r="J206" s="73"/>
      <c r="L206" s="73"/>
      <c r="O206" s="73"/>
    </row>
    <row r="207" spans="10:15" x14ac:dyDescent="0.2">
      <c r="J207" s="73"/>
      <c r="L207" s="73"/>
      <c r="O207" s="73"/>
    </row>
    <row r="208" spans="10:15" x14ac:dyDescent="0.2">
      <c r="J208" s="73"/>
      <c r="L208" s="73"/>
      <c r="O208" s="73"/>
    </row>
    <row r="209" spans="10:15" x14ac:dyDescent="0.2">
      <c r="J209" s="73"/>
      <c r="L209" s="73"/>
      <c r="O209" s="73"/>
    </row>
    <row r="210" spans="10:15" x14ac:dyDescent="0.2">
      <c r="J210" s="73"/>
      <c r="L210" s="73"/>
      <c r="O210" s="73"/>
    </row>
    <row r="211" spans="10:15" x14ac:dyDescent="0.2">
      <c r="J211" s="73"/>
      <c r="L211" s="73"/>
      <c r="O211" s="73"/>
    </row>
    <row r="212" spans="10:15" x14ac:dyDescent="0.2">
      <c r="J212" s="73"/>
      <c r="L212" s="73"/>
      <c r="O212" s="73"/>
    </row>
    <row r="213" spans="10:15" x14ac:dyDescent="0.2">
      <c r="J213" s="73"/>
      <c r="L213" s="73"/>
      <c r="O213" s="73"/>
    </row>
    <row r="214" spans="10:15" x14ac:dyDescent="0.2">
      <c r="J214" s="73"/>
      <c r="L214" s="73"/>
      <c r="O214" s="73"/>
    </row>
    <row r="215" spans="10:15" x14ac:dyDescent="0.2">
      <c r="J215" s="73"/>
      <c r="L215" s="73"/>
      <c r="O215" s="73"/>
    </row>
    <row r="216" spans="10:15" x14ac:dyDescent="0.2">
      <c r="J216" s="73"/>
      <c r="L216" s="73"/>
      <c r="O216" s="73"/>
    </row>
    <row r="217" spans="10:15" x14ac:dyDescent="0.2">
      <c r="J217" s="73"/>
      <c r="L217" s="73"/>
      <c r="O217" s="73"/>
    </row>
    <row r="218" spans="10:15" x14ac:dyDescent="0.2">
      <c r="J218" s="73"/>
      <c r="L218" s="73"/>
      <c r="O218" s="73"/>
    </row>
    <row r="219" spans="10:15" x14ac:dyDescent="0.2">
      <c r="J219" s="73"/>
      <c r="L219" s="73"/>
      <c r="O219" s="73"/>
    </row>
    <row r="220" spans="10:15" x14ac:dyDescent="0.2">
      <c r="J220" s="73"/>
      <c r="L220" s="73"/>
      <c r="O220" s="73"/>
    </row>
    <row r="221" spans="10:15" x14ac:dyDescent="0.2">
      <c r="J221" s="73"/>
      <c r="L221" s="73"/>
      <c r="O221" s="73"/>
    </row>
    <row r="222" spans="10:15" x14ac:dyDescent="0.2">
      <c r="J222" s="73"/>
      <c r="L222" s="73"/>
      <c r="O222" s="73"/>
    </row>
    <row r="223" spans="10:15" x14ac:dyDescent="0.2">
      <c r="J223" s="73"/>
      <c r="L223" s="73"/>
      <c r="O223" s="73"/>
    </row>
    <row r="224" spans="10:15" x14ac:dyDescent="0.2">
      <c r="J224" s="73"/>
      <c r="L224" s="73"/>
      <c r="O224" s="73"/>
    </row>
    <row r="225" spans="10:15" x14ac:dyDescent="0.2">
      <c r="J225" s="73"/>
      <c r="L225" s="73"/>
      <c r="O225" s="73"/>
    </row>
    <row r="226" spans="10:15" x14ac:dyDescent="0.2">
      <c r="J226" s="73"/>
      <c r="L226" s="73"/>
      <c r="O226" s="73"/>
    </row>
    <row r="227" spans="10:15" x14ac:dyDescent="0.2">
      <c r="J227" s="73"/>
      <c r="L227" s="73"/>
      <c r="O227" s="73"/>
    </row>
    <row r="228" spans="10:15" x14ac:dyDescent="0.2">
      <c r="J228" s="73"/>
      <c r="L228" s="73"/>
      <c r="O228" s="73"/>
    </row>
    <row r="229" spans="10:15" x14ac:dyDescent="0.2">
      <c r="J229" s="73"/>
      <c r="L229" s="73"/>
      <c r="O229" s="73"/>
    </row>
    <row r="230" spans="10:15" x14ac:dyDescent="0.2">
      <c r="J230" s="73"/>
      <c r="L230" s="73"/>
      <c r="O230" s="73"/>
    </row>
    <row r="231" spans="10:15" x14ac:dyDescent="0.2">
      <c r="J231" s="73"/>
      <c r="L231" s="73"/>
      <c r="O231" s="73"/>
    </row>
    <row r="232" spans="10:15" x14ac:dyDescent="0.2">
      <c r="J232" s="73"/>
      <c r="L232" s="73"/>
      <c r="O232" s="73"/>
    </row>
    <row r="233" spans="10:15" x14ac:dyDescent="0.2">
      <c r="J233" s="73"/>
      <c r="L233" s="73"/>
      <c r="O233" s="73"/>
    </row>
    <row r="234" spans="10:15" x14ac:dyDescent="0.2">
      <c r="J234" s="73"/>
      <c r="L234" s="73"/>
      <c r="O234" s="73"/>
    </row>
    <row r="235" spans="10:15" x14ac:dyDescent="0.2">
      <c r="J235" s="73"/>
      <c r="L235" s="73"/>
      <c r="O235" s="73"/>
    </row>
    <row r="236" spans="10:15" x14ac:dyDescent="0.2">
      <c r="J236" s="73"/>
      <c r="L236" s="73"/>
      <c r="O236" s="73"/>
    </row>
    <row r="237" spans="10:15" x14ac:dyDescent="0.2">
      <c r="J237" s="73"/>
      <c r="L237" s="73"/>
      <c r="O237" s="73"/>
    </row>
    <row r="238" spans="10:15" x14ac:dyDescent="0.2">
      <c r="J238" s="73"/>
      <c r="L238" s="73"/>
      <c r="O238" s="73"/>
    </row>
    <row r="239" spans="10:15" x14ac:dyDescent="0.2">
      <c r="J239" s="73"/>
      <c r="L239" s="73"/>
      <c r="O239" s="73"/>
    </row>
    <row r="240" spans="10:15" x14ac:dyDescent="0.2">
      <c r="J240" s="73"/>
      <c r="L240" s="73"/>
      <c r="O240" s="73"/>
    </row>
    <row r="241" spans="10:15" x14ac:dyDescent="0.2">
      <c r="J241" s="73"/>
      <c r="L241" s="73"/>
      <c r="O241" s="73"/>
    </row>
    <row r="242" spans="10:15" x14ac:dyDescent="0.2">
      <c r="J242" s="73"/>
      <c r="L242" s="73"/>
      <c r="O242" s="73"/>
    </row>
    <row r="243" spans="10:15" x14ac:dyDescent="0.2">
      <c r="J243" s="73"/>
      <c r="L243" s="73"/>
      <c r="O243" s="73"/>
    </row>
    <row r="244" spans="10:15" x14ac:dyDescent="0.2">
      <c r="J244" s="73"/>
      <c r="L244" s="73"/>
      <c r="O244" s="73"/>
    </row>
    <row r="245" spans="10:15" x14ac:dyDescent="0.2">
      <c r="J245" s="73"/>
      <c r="L245" s="73"/>
      <c r="O245" s="73"/>
    </row>
    <row r="246" spans="10:15" x14ac:dyDescent="0.2">
      <c r="J246" s="73"/>
      <c r="L246" s="73"/>
      <c r="O246" s="73"/>
    </row>
    <row r="247" spans="10:15" x14ac:dyDescent="0.2">
      <c r="J247" s="73"/>
      <c r="L247" s="73"/>
      <c r="O247" s="73"/>
    </row>
    <row r="248" spans="10:15" x14ac:dyDescent="0.2">
      <c r="J248" s="73"/>
      <c r="L248" s="73"/>
      <c r="O248" s="73"/>
    </row>
    <row r="249" spans="10:15" x14ac:dyDescent="0.2">
      <c r="J249" s="73"/>
      <c r="L249" s="73"/>
      <c r="O249" s="73"/>
    </row>
    <row r="250" spans="10:15" x14ac:dyDescent="0.2">
      <c r="J250" s="73"/>
      <c r="L250" s="73"/>
      <c r="O250" s="73"/>
    </row>
    <row r="251" spans="10:15" x14ac:dyDescent="0.2">
      <c r="J251" s="73"/>
      <c r="L251" s="73"/>
      <c r="O251" s="73"/>
    </row>
    <row r="252" spans="10:15" x14ac:dyDescent="0.2">
      <c r="J252" s="73"/>
      <c r="L252" s="73"/>
      <c r="O252" s="73"/>
    </row>
    <row r="253" spans="10:15" x14ac:dyDescent="0.2">
      <c r="J253" s="73"/>
      <c r="L253" s="73"/>
      <c r="O253" s="73"/>
    </row>
    <row r="254" spans="10:15" x14ac:dyDescent="0.2">
      <c r="J254" s="73"/>
      <c r="L254" s="73"/>
      <c r="O254" s="73"/>
    </row>
    <row r="255" spans="10:15" x14ac:dyDescent="0.2">
      <c r="J255" s="73"/>
      <c r="L255" s="73"/>
      <c r="O255" s="73"/>
    </row>
    <row r="256" spans="10:15" x14ac:dyDescent="0.2">
      <c r="J256" s="73"/>
      <c r="L256" s="73"/>
      <c r="O256" s="73"/>
    </row>
    <row r="257" spans="10:15" x14ac:dyDescent="0.2">
      <c r="J257" s="73"/>
      <c r="L257" s="73"/>
      <c r="O257" s="73"/>
    </row>
    <row r="258" spans="10:15" x14ac:dyDescent="0.2">
      <c r="J258" s="73"/>
      <c r="L258" s="73"/>
      <c r="O258" s="73"/>
    </row>
    <row r="259" spans="10:15" x14ac:dyDescent="0.2">
      <c r="J259" s="73"/>
      <c r="L259" s="73"/>
      <c r="O259" s="73"/>
    </row>
    <row r="260" spans="10:15" x14ac:dyDescent="0.2">
      <c r="J260" s="73"/>
      <c r="L260" s="73"/>
      <c r="O260" s="73"/>
    </row>
    <row r="261" spans="10:15" x14ac:dyDescent="0.2">
      <c r="J261" s="73"/>
      <c r="L261" s="73"/>
      <c r="O261" s="73"/>
    </row>
    <row r="262" spans="10:15" x14ac:dyDescent="0.2">
      <c r="J262" s="73"/>
      <c r="L262" s="73"/>
      <c r="O262" s="73"/>
    </row>
    <row r="263" spans="10:15" x14ac:dyDescent="0.2">
      <c r="J263" s="73"/>
      <c r="L263" s="73"/>
      <c r="O263" s="73"/>
    </row>
    <row r="264" spans="10:15" x14ac:dyDescent="0.2">
      <c r="J264" s="73"/>
      <c r="L264" s="73"/>
      <c r="O264" s="73"/>
    </row>
    <row r="265" spans="10:15" x14ac:dyDescent="0.2">
      <c r="J265" s="73"/>
      <c r="L265" s="73"/>
      <c r="O265" s="73"/>
    </row>
    <row r="266" spans="10:15" x14ac:dyDescent="0.2">
      <c r="J266" s="73"/>
      <c r="L266" s="73"/>
      <c r="O266" s="73"/>
    </row>
    <row r="267" spans="10:15" x14ac:dyDescent="0.2">
      <c r="J267" s="73"/>
      <c r="L267" s="73"/>
      <c r="O267" s="73"/>
    </row>
    <row r="268" spans="10:15" x14ac:dyDescent="0.2">
      <c r="J268" s="73"/>
      <c r="L268" s="73"/>
      <c r="O268" s="73"/>
    </row>
    <row r="269" spans="10:15" x14ac:dyDescent="0.2">
      <c r="J269" s="73"/>
      <c r="L269" s="73"/>
      <c r="O269" s="73"/>
    </row>
    <row r="270" spans="10:15" x14ac:dyDescent="0.2">
      <c r="J270" s="73"/>
      <c r="L270" s="73"/>
      <c r="O270" s="73"/>
    </row>
    <row r="271" spans="10:15" x14ac:dyDescent="0.2">
      <c r="J271" s="73"/>
      <c r="L271" s="73"/>
      <c r="O271" s="73"/>
    </row>
    <row r="272" spans="10:15" x14ac:dyDescent="0.2">
      <c r="J272" s="73"/>
      <c r="L272" s="73"/>
      <c r="O272" s="73"/>
    </row>
    <row r="273" spans="10:15" x14ac:dyDescent="0.2">
      <c r="J273" s="73"/>
      <c r="L273" s="73"/>
      <c r="O273" s="73"/>
    </row>
    <row r="274" spans="10:15" x14ac:dyDescent="0.2">
      <c r="J274" s="73"/>
      <c r="L274" s="73"/>
      <c r="O274" s="73"/>
    </row>
    <row r="275" spans="10:15" x14ac:dyDescent="0.2">
      <c r="J275" s="73"/>
      <c r="L275" s="73"/>
      <c r="O275" s="73"/>
    </row>
    <row r="276" spans="10:15" x14ac:dyDescent="0.2">
      <c r="J276" s="73"/>
      <c r="L276" s="73"/>
      <c r="O276" s="73"/>
    </row>
    <row r="277" spans="10:15" x14ac:dyDescent="0.2">
      <c r="J277" s="73"/>
      <c r="L277" s="73"/>
      <c r="O277" s="73"/>
    </row>
    <row r="278" spans="10:15" x14ac:dyDescent="0.2">
      <c r="J278" s="73"/>
      <c r="L278" s="73"/>
      <c r="O278" s="73"/>
    </row>
    <row r="279" spans="10:15" x14ac:dyDescent="0.2">
      <c r="J279" s="73"/>
      <c r="L279" s="73"/>
      <c r="O279" s="73"/>
    </row>
    <row r="280" spans="10:15" x14ac:dyDescent="0.2">
      <c r="J280" s="73"/>
      <c r="L280" s="73"/>
      <c r="O280" s="73"/>
    </row>
    <row r="281" spans="10:15" x14ac:dyDescent="0.2">
      <c r="J281" s="73"/>
      <c r="L281" s="73"/>
      <c r="O281" s="73"/>
    </row>
    <row r="282" spans="10:15" x14ac:dyDescent="0.2">
      <c r="J282" s="73"/>
      <c r="L282" s="73"/>
      <c r="O282" s="73"/>
    </row>
    <row r="283" spans="10:15" x14ac:dyDescent="0.2">
      <c r="J283" s="73"/>
      <c r="L283" s="73"/>
      <c r="O283" s="73"/>
    </row>
    <row r="284" spans="10:15" x14ac:dyDescent="0.2">
      <c r="J284" s="73"/>
      <c r="L284" s="73"/>
      <c r="O284" s="73"/>
    </row>
    <row r="285" spans="10:15" x14ac:dyDescent="0.2">
      <c r="J285" s="73"/>
      <c r="L285" s="73"/>
      <c r="O285" s="73"/>
    </row>
    <row r="286" spans="10:15" x14ac:dyDescent="0.2">
      <c r="J286" s="73"/>
      <c r="L286" s="73"/>
      <c r="O286" s="73"/>
    </row>
    <row r="287" spans="10:15" x14ac:dyDescent="0.2">
      <c r="J287" s="73"/>
      <c r="L287" s="73"/>
      <c r="O287" s="73"/>
    </row>
    <row r="288" spans="10:15" x14ac:dyDescent="0.2">
      <c r="J288" s="73"/>
      <c r="L288" s="73"/>
      <c r="O288" s="73"/>
    </row>
    <row r="289" spans="10:15" x14ac:dyDescent="0.2">
      <c r="J289" s="73"/>
      <c r="L289" s="73"/>
      <c r="O289" s="73"/>
    </row>
    <row r="290" spans="10:15" x14ac:dyDescent="0.2">
      <c r="J290" s="73"/>
      <c r="L290" s="73"/>
      <c r="O290" s="73"/>
    </row>
    <row r="291" spans="10:15" x14ac:dyDescent="0.2">
      <c r="J291" s="73"/>
      <c r="L291" s="73"/>
      <c r="O291" s="73"/>
    </row>
    <row r="292" spans="10:15" x14ac:dyDescent="0.2">
      <c r="J292" s="73"/>
      <c r="L292" s="73"/>
      <c r="O292" s="73"/>
    </row>
    <row r="293" spans="10:15" x14ac:dyDescent="0.2">
      <c r="J293" s="73"/>
      <c r="L293" s="73"/>
      <c r="O293" s="73"/>
    </row>
    <row r="294" spans="10:15" x14ac:dyDescent="0.2">
      <c r="J294" s="73"/>
      <c r="L294" s="73"/>
      <c r="O294" s="73"/>
    </row>
    <row r="295" spans="10:15" x14ac:dyDescent="0.2">
      <c r="J295" s="73"/>
      <c r="L295" s="73"/>
      <c r="O295" s="73"/>
    </row>
    <row r="296" spans="10:15" x14ac:dyDescent="0.2">
      <c r="J296" s="73"/>
      <c r="L296" s="73"/>
      <c r="O296" s="73"/>
    </row>
    <row r="297" spans="10:15" x14ac:dyDescent="0.2">
      <c r="J297" s="73"/>
      <c r="L297" s="73"/>
      <c r="O297" s="73"/>
    </row>
    <row r="298" spans="10:15" x14ac:dyDescent="0.2">
      <c r="J298" s="73"/>
      <c r="L298" s="73"/>
      <c r="O298" s="73"/>
    </row>
    <row r="299" spans="10:15" x14ac:dyDescent="0.2">
      <c r="J299" s="73"/>
      <c r="L299" s="73"/>
      <c r="O299" s="73"/>
    </row>
    <row r="300" spans="10:15" x14ac:dyDescent="0.2">
      <c r="J300" s="73"/>
      <c r="L300" s="73"/>
      <c r="O300" s="73"/>
    </row>
    <row r="301" spans="10:15" x14ac:dyDescent="0.2">
      <c r="J301" s="73"/>
      <c r="L301" s="73"/>
      <c r="O301" s="73"/>
    </row>
    <row r="302" spans="10:15" x14ac:dyDescent="0.2">
      <c r="J302" s="73"/>
      <c r="L302" s="73"/>
      <c r="O302" s="73"/>
    </row>
    <row r="303" spans="10:15" x14ac:dyDescent="0.2">
      <c r="J303" s="73"/>
      <c r="L303" s="73"/>
      <c r="O303" s="73"/>
    </row>
    <row r="304" spans="10:15" x14ac:dyDescent="0.2">
      <c r="J304" s="73"/>
      <c r="L304" s="73"/>
      <c r="O304" s="73"/>
    </row>
    <row r="305" spans="10:15" x14ac:dyDescent="0.2">
      <c r="J305" s="73"/>
      <c r="L305" s="73"/>
      <c r="O305" s="73"/>
    </row>
    <row r="306" spans="10:15" x14ac:dyDescent="0.2">
      <c r="J306" s="73"/>
      <c r="L306" s="73"/>
      <c r="O306" s="73"/>
    </row>
    <row r="307" spans="10:15" x14ac:dyDescent="0.2">
      <c r="J307" s="73"/>
      <c r="L307" s="73"/>
      <c r="O307" s="73"/>
    </row>
    <row r="308" spans="10:15" x14ac:dyDescent="0.2">
      <c r="J308" s="73"/>
      <c r="L308" s="73"/>
      <c r="O308" s="73"/>
    </row>
    <row r="309" spans="10:15" x14ac:dyDescent="0.2">
      <c r="J309" s="73"/>
      <c r="L309" s="73"/>
      <c r="O309" s="73"/>
    </row>
    <row r="310" spans="10:15" x14ac:dyDescent="0.2">
      <c r="J310" s="73"/>
      <c r="L310" s="73"/>
      <c r="O310" s="73"/>
    </row>
    <row r="311" spans="10:15" x14ac:dyDescent="0.2">
      <c r="J311" s="73"/>
      <c r="L311" s="73"/>
      <c r="O311" s="73"/>
    </row>
    <row r="312" spans="10:15" x14ac:dyDescent="0.2">
      <c r="J312" s="73"/>
      <c r="L312" s="73"/>
      <c r="O312" s="73"/>
    </row>
    <row r="313" spans="10:15" x14ac:dyDescent="0.2">
      <c r="J313" s="73"/>
      <c r="L313" s="73"/>
      <c r="O313" s="73"/>
    </row>
    <row r="314" spans="10:15" x14ac:dyDescent="0.2">
      <c r="J314" s="73"/>
      <c r="L314" s="73"/>
      <c r="O314" s="73"/>
    </row>
    <row r="315" spans="10:15" x14ac:dyDescent="0.2">
      <c r="J315" s="73"/>
      <c r="L315" s="73"/>
      <c r="O315" s="73"/>
    </row>
    <row r="316" spans="10:15" x14ac:dyDescent="0.2">
      <c r="J316" s="73"/>
      <c r="L316" s="73"/>
      <c r="O316" s="73"/>
    </row>
    <row r="317" spans="10:15" x14ac:dyDescent="0.2">
      <c r="J317" s="73"/>
      <c r="L317" s="73"/>
      <c r="O317" s="73"/>
    </row>
    <row r="318" spans="10:15" x14ac:dyDescent="0.2">
      <c r="J318" s="73"/>
      <c r="L318" s="73"/>
      <c r="O318" s="73"/>
    </row>
    <row r="319" spans="10:15" x14ac:dyDescent="0.2">
      <c r="J319" s="73"/>
      <c r="L319" s="73"/>
      <c r="O319" s="73"/>
    </row>
    <row r="320" spans="10:15" x14ac:dyDescent="0.2">
      <c r="J320" s="73"/>
      <c r="L320" s="73"/>
      <c r="O320" s="73"/>
    </row>
    <row r="321" spans="10:15" x14ac:dyDescent="0.2">
      <c r="J321" s="73"/>
      <c r="L321" s="73"/>
      <c r="O321" s="73"/>
    </row>
    <row r="322" spans="10:15" x14ac:dyDescent="0.2">
      <c r="J322" s="73"/>
      <c r="L322" s="73"/>
      <c r="O322" s="73"/>
    </row>
    <row r="323" spans="10:15" x14ac:dyDescent="0.2">
      <c r="J323" s="73"/>
      <c r="L323" s="73"/>
      <c r="O323" s="73"/>
    </row>
    <row r="324" spans="10:15" x14ac:dyDescent="0.2">
      <c r="J324" s="73"/>
      <c r="L324" s="73"/>
      <c r="O324" s="73"/>
    </row>
    <row r="325" spans="10:15" x14ac:dyDescent="0.2">
      <c r="J325" s="73"/>
      <c r="L325" s="73"/>
      <c r="O325" s="73"/>
    </row>
    <row r="326" spans="10:15" x14ac:dyDescent="0.2">
      <c r="J326" s="73"/>
      <c r="L326" s="73"/>
      <c r="O326" s="73"/>
    </row>
    <row r="327" spans="10:15" x14ac:dyDescent="0.2">
      <c r="J327" s="73"/>
      <c r="L327" s="73"/>
      <c r="O327" s="73"/>
    </row>
    <row r="328" spans="10:15" x14ac:dyDescent="0.2">
      <c r="J328" s="73"/>
      <c r="L328" s="73"/>
      <c r="O328" s="73"/>
    </row>
    <row r="329" spans="10:15" x14ac:dyDescent="0.2">
      <c r="J329" s="73"/>
      <c r="L329" s="73"/>
      <c r="O329" s="73"/>
    </row>
    <row r="330" spans="10:15" x14ac:dyDescent="0.2">
      <c r="J330" s="73"/>
      <c r="L330" s="73"/>
      <c r="O330" s="73"/>
    </row>
    <row r="331" spans="10:15" x14ac:dyDescent="0.2">
      <c r="J331" s="73"/>
      <c r="L331" s="73"/>
      <c r="O331" s="73"/>
    </row>
    <row r="332" spans="10:15" x14ac:dyDescent="0.2">
      <c r="J332" s="73"/>
      <c r="L332" s="73"/>
      <c r="O332" s="73"/>
    </row>
    <row r="333" spans="10:15" x14ac:dyDescent="0.2">
      <c r="J333" s="73"/>
      <c r="L333" s="73"/>
      <c r="O333" s="73"/>
    </row>
    <row r="334" spans="10:15" x14ac:dyDescent="0.2">
      <c r="J334" s="73"/>
      <c r="L334" s="73"/>
      <c r="O334" s="73"/>
    </row>
    <row r="335" spans="10:15" x14ac:dyDescent="0.2">
      <c r="J335" s="73"/>
      <c r="L335" s="73"/>
      <c r="O335" s="73"/>
    </row>
    <row r="336" spans="10:15" x14ac:dyDescent="0.2">
      <c r="J336" s="73"/>
      <c r="L336" s="73"/>
      <c r="O336" s="73"/>
    </row>
    <row r="337" spans="10:15" x14ac:dyDescent="0.2">
      <c r="J337" s="73"/>
      <c r="L337" s="73"/>
      <c r="O337" s="73"/>
    </row>
    <row r="338" spans="10:15" x14ac:dyDescent="0.2">
      <c r="J338" s="73"/>
      <c r="L338" s="73"/>
      <c r="O338" s="73"/>
    </row>
    <row r="339" spans="10:15" x14ac:dyDescent="0.2">
      <c r="J339" s="73"/>
      <c r="L339" s="73"/>
      <c r="O339" s="73"/>
    </row>
    <row r="340" spans="10:15" x14ac:dyDescent="0.2">
      <c r="J340" s="73"/>
      <c r="L340" s="73"/>
      <c r="O340" s="73"/>
    </row>
    <row r="341" spans="10:15" x14ac:dyDescent="0.2">
      <c r="J341" s="73"/>
      <c r="L341" s="73"/>
      <c r="O341" s="73"/>
    </row>
    <row r="342" spans="10:15" x14ac:dyDescent="0.2">
      <c r="J342" s="73"/>
      <c r="L342" s="73"/>
      <c r="O342" s="73"/>
    </row>
    <row r="343" spans="10:15" x14ac:dyDescent="0.2">
      <c r="J343" s="73"/>
      <c r="L343" s="73"/>
      <c r="O343" s="73"/>
    </row>
    <row r="344" spans="10:15" x14ac:dyDescent="0.2">
      <c r="J344" s="73"/>
      <c r="L344" s="73"/>
      <c r="O344" s="73"/>
    </row>
    <row r="345" spans="10:15" x14ac:dyDescent="0.2">
      <c r="J345" s="73"/>
      <c r="L345" s="73"/>
      <c r="O345" s="73"/>
    </row>
    <row r="346" spans="10:15" x14ac:dyDescent="0.2">
      <c r="J346" s="73"/>
      <c r="L346" s="73"/>
      <c r="O346" s="73"/>
    </row>
    <row r="347" spans="10:15" x14ac:dyDescent="0.2">
      <c r="J347" s="73"/>
      <c r="L347" s="73"/>
      <c r="O347" s="73"/>
    </row>
    <row r="348" spans="10:15" x14ac:dyDescent="0.2">
      <c r="J348" s="73"/>
      <c r="L348" s="73"/>
      <c r="O348" s="73"/>
    </row>
    <row r="349" spans="10:15" x14ac:dyDescent="0.2">
      <c r="J349" s="73"/>
      <c r="L349" s="73"/>
      <c r="O349" s="73"/>
    </row>
    <row r="350" spans="10:15" x14ac:dyDescent="0.2">
      <c r="J350" s="73"/>
      <c r="L350" s="73"/>
      <c r="O350" s="73"/>
    </row>
    <row r="351" spans="10:15" x14ac:dyDescent="0.2">
      <c r="J351" s="73"/>
      <c r="L351" s="73"/>
      <c r="O351" s="73"/>
    </row>
    <row r="352" spans="10:15" x14ac:dyDescent="0.2">
      <c r="J352" s="73"/>
      <c r="L352" s="73"/>
      <c r="O352" s="73"/>
    </row>
    <row r="353" spans="10:15" x14ac:dyDescent="0.2">
      <c r="J353" s="73"/>
      <c r="L353" s="73"/>
      <c r="O353" s="73"/>
    </row>
    <row r="354" spans="10:15" x14ac:dyDescent="0.2">
      <c r="J354" s="73"/>
      <c r="L354" s="73"/>
      <c r="O354" s="73"/>
    </row>
    <row r="355" spans="10:15" x14ac:dyDescent="0.2">
      <c r="J355" s="73"/>
      <c r="L355" s="73"/>
      <c r="O355" s="73"/>
    </row>
    <row r="356" spans="10:15" x14ac:dyDescent="0.2">
      <c r="J356" s="73"/>
      <c r="L356" s="73"/>
      <c r="O356" s="73"/>
    </row>
    <row r="357" spans="10:15" x14ac:dyDescent="0.2">
      <c r="J357" s="73"/>
      <c r="L357" s="73"/>
      <c r="O357" s="73"/>
    </row>
    <row r="358" spans="10:15" x14ac:dyDescent="0.2">
      <c r="J358" s="73"/>
      <c r="L358" s="73"/>
      <c r="O358" s="73"/>
    </row>
    <row r="359" spans="10:15" x14ac:dyDescent="0.2">
      <c r="J359" s="73"/>
      <c r="L359" s="73"/>
      <c r="O359" s="73"/>
    </row>
    <row r="360" spans="10:15" x14ac:dyDescent="0.2">
      <c r="J360" s="73"/>
      <c r="L360" s="73"/>
      <c r="O360" s="73"/>
    </row>
    <row r="361" spans="10:15" x14ac:dyDescent="0.2">
      <c r="J361" s="73"/>
      <c r="L361" s="73"/>
      <c r="O361" s="73"/>
    </row>
    <row r="362" spans="10:15" x14ac:dyDescent="0.2">
      <c r="J362" s="73"/>
      <c r="L362" s="73"/>
      <c r="O362" s="73"/>
    </row>
    <row r="363" spans="10:15" x14ac:dyDescent="0.2">
      <c r="J363" s="73"/>
      <c r="L363" s="73"/>
      <c r="O363" s="73"/>
    </row>
    <row r="364" spans="10:15" x14ac:dyDescent="0.2">
      <c r="J364" s="73"/>
      <c r="L364" s="73"/>
      <c r="O364" s="73"/>
    </row>
    <row r="365" spans="10:15" x14ac:dyDescent="0.2">
      <c r="J365" s="73"/>
      <c r="L365" s="73"/>
      <c r="O365" s="73"/>
    </row>
    <row r="366" spans="10:15" x14ac:dyDescent="0.2">
      <c r="J366" s="73"/>
      <c r="L366" s="73"/>
      <c r="O366" s="73"/>
    </row>
    <row r="367" spans="10:15" x14ac:dyDescent="0.2">
      <c r="J367" s="73"/>
      <c r="L367" s="73"/>
      <c r="O367" s="73"/>
    </row>
    <row r="368" spans="10:15" x14ac:dyDescent="0.2">
      <c r="J368" s="73"/>
      <c r="L368" s="73"/>
      <c r="O368" s="73"/>
    </row>
    <row r="369" spans="10:15" x14ac:dyDescent="0.2">
      <c r="J369" s="73"/>
      <c r="L369" s="73"/>
      <c r="O369" s="73"/>
    </row>
    <row r="370" spans="10:15" x14ac:dyDescent="0.2">
      <c r="J370" s="73"/>
      <c r="L370" s="73"/>
      <c r="O370" s="73"/>
    </row>
    <row r="371" spans="10:15" x14ac:dyDescent="0.2">
      <c r="J371" s="73"/>
      <c r="L371" s="73"/>
      <c r="O371" s="73"/>
    </row>
    <row r="372" spans="10:15" x14ac:dyDescent="0.2">
      <c r="J372" s="73"/>
      <c r="L372" s="73"/>
      <c r="O372" s="73"/>
    </row>
    <row r="373" spans="10:15" x14ac:dyDescent="0.2">
      <c r="J373" s="73"/>
      <c r="L373" s="73"/>
      <c r="O373" s="73"/>
    </row>
    <row r="374" spans="10:15" x14ac:dyDescent="0.2">
      <c r="J374" s="73"/>
      <c r="L374" s="73"/>
      <c r="O374" s="73"/>
    </row>
    <row r="375" spans="10:15" x14ac:dyDescent="0.2">
      <c r="J375" s="73"/>
      <c r="L375" s="73"/>
      <c r="O375" s="73"/>
    </row>
    <row r="376" spans="10:15" x14ac:dyDescent="0.2">
      <c r="J376" s="73"/>
      <c r="L376" s="73"/>
      <c r="O376" s="73"/>
    </row>
    <row r="377" spans="10:15" x14ac:dyDescent="0.2">
      <c r="J377" s="73"/>
      <c r="L377" s="73"/>
      <c r="O377" s="73"/>
    </row>
    <row r="378" spans="10:15" x14ac:dyDescent="0.2">
      <c r="J378" s="73"/>
      <c r="L378" s="73"/>
      <c r="O378" s="73"/>
    </row>
    <row r="379" spans="10:15" x14ac:dyDescent="0.2">
      <c r="J379" s="73"/>
      <c r="L379" s="73"/>
      <c r="O379" s="73"/>
    </row>
    <row r="380" spans="10:15" x14ac:dyDescent="0.2">
      <c r="J380" s="73"/>
      <c r="L380" s="73"/>
      <c r="O380" s="73"/>
    </row>
    <row r="381" spans="10:15" x14ac:dyDescent="0.2">
      <c r="J381" s="73"/>
      <c r="L381" s="73"/>
      <c r="O381" s="73"/>
    </row>
    <row r="382" spans="10:15" x14ac:dyDescent="0.2">
      <c r="J382" s="73"/>
      <c r="L382" s="73"/>
      <c r="O382" s="73"/>
    </row>
    <row r="383" spans="10:15" x14ac:dyDescent="0.2">
      <c r="J383" s="73"/>
      <c r="L383" s="73"/>
      <c r="O383" s="73"/>
    </row>
    <row r="384" spans="10:15" x14ac:dyDescent="0.2">
      <c r="J384" s="73"/>
      <c r="L384" s="73"/>
      <c r="O384" s="73"/>
    </row>
    <row r="385" spans="10:15" x14ac:dyDescent="0.2">
      <c r="J385" s="73"/>
      <c r="L385" s="73"/>
      <c r="O385" s="73"/>
    </row>
    <row r="386" spans="10:15" x14ac:dyDescent="0.2">
      <c r="J386" s="73"/>
      <c r="L386" s="73"/>
      <c r="O386" s="73"/>
    </row>
    <row r="387" spans="10:15" x14ac:dyDescent="0.2">
      <c r="J387" s="73"/>
      <c r="L387" s="73"/>
      <c r="O387" s="73"/>
    </row>
    <row r="388" spans="10:15" x14ac:dyDescent="0.2">
      <c r="J388" s="73"/>
      <c r="L388" s="73"/>
      <c r="O388" s="73"/>
    </row>
    <row r="389" spans="10:15" x14ac:dyDescent="0.2">
      <c r="J389" s="73"/>
      <c r="L389" s="73"/>
      <c r="O389" s="73"/>
    </row>
    <row r="390" spans="10:15" x14ac:dyDescent="0.2">
      <c r="J390" s="73"/>
      <c r="L390" s="73"/>
      <c r="O390" s="73"/>
    </row>
    <row r="391" spans="10:15" x14ac:dyDescent="0.2">
      <c r="J391" s="73"/>
      <c r="L391" s="73"/>
      <c r="O391" s="73"/>
    </row>
    <row r="392" spans="10:15" x14ac:dyDescent="0.2">
      <c r="J392" s="73"/>
      <c r="L392" s="73"/>
      <c r="O392" s="73"/>
    </row>
    <row r="393" spans="10:15" x14ac:dyDescent="0.2">
      <c r="J393" s="73"/>
      <c r="L393" s="73"/>
      <c r="O393" s="73"/>
    </row>
    <row r="394" spans="10:15" x14ac:dyDescent="0.2">
      <c r="J394" s="73"/>
      <c r="L394" s="73"/>
      <c r="O394" s="73"/>
    </row>
    <row r="395" spans="10:15" x14ac:dyDescent="0.2">
      <c r="J395" s="73"/>
      <c r="L395" s="73"/>
      <c r="O395" s="73"/>
    </row>
    <row r="396" spans="10:15" x14ac:dyDescent="0.2">
      <c r="J396" s="73"/>
      <c r="L396" s="73"/>
      <c r="O396" s="73"/>
    </row>
    <row r="397" spans="10:15" x14ac:dyDescent="0.2">
      <c r="J397" s="73"/>
      <c r="L397" s="73"/>
      <c r="O397" s="73"/>
    </row>
    <row r="398" spans="10:15" x14ac:dyDescent="0.2">
      <c r="J398" s="73"/>
      <c r="L398" s="73"/>
      <c r="O398" s="73"/>
    </row>
    <row r="399" spans="10:15" x14ac:dyDescent="0.2">
      <c r="J399" s="73"/>
      <c r="L399" s="73"/>
      <c r="O399" s="73"/>
    </row>
    <row r="400" spans="10:15" x14ac:dyDescent="0.2">
      <c r="J400" s="73"/>
      <c r="L400" s="73"/>
      <c r="O400" s="73"/>
    </row>
    <row r="401" spans="10:15" x14ac:dyDescent="0.2">
      <c r="J401" s="73"/>
      <c r="L401" s="73"/>
      <c r="O401" s="73"/>
    </row>
    <row r="402" spans="10:15" x14ac:dyDescent="0.2">
      <c r="J402" s="73"/>
      <c r="L402" s="73"/>
      <c r="O402" s="73"/>
    </row>
    <row r="403" spans="10:15" x14ac:dyDescent="0.2">
      <c r="J403" s="73"/>
      <c r="L403" s="73"/>
      <c r="O403" s="73"/>
    </row>
    <row r="404" spans="10:15" x14ac:dyDescent="0.2">
      <c r="J404" s="73"/>
      <c r="L404" s="73"/>
      <c r="O404" s="73"/>
    </row>
    <row r="405" spans="10:15" x14ac:dyDescent="0.2">
      <c r="J405" s="73"/>
      <c r="L405" s="73"/>
      <c r="O405" s="73"/>
    </row>
    <row r="406" spans="10:15" x14ac:dyDescent="0.2">
      <c r="J406" s="73"/>
      <c r="L406" s="73"/>
      <c r="O406" s="73"/>
    </row>
    <row r="407" spans="10:15" x14ac:dyDescent="0.2">
      <c r="J407" s="73"/>
      <c r="L407" s="73"/>
      <c r="O407" s="73"/>
    </row>
    <row r="408" spans="10:15" x14ac:dyDescent="0.2">
      <c r="J408" s="73"/>
      <c r="L408" s="73"/>
      <c r="O408" s="73"/>
    </row>
    <row r="409" spans="10:15" x14ac:dyDescent="0.2">
      <c r="J409" s="73"/>
      <c r="L409" s="73"/>
      <c r="O409" s="73"/>
    </row>
    <row r="410" spans="10:15" x14ac:dyDescent="0.2">
      <c r="J410" s="73"/>
      <c r="L410" s="73"/>
      <c r="O410" s="73"/>
    </row>
    <row r="411" spans="10:15" x14ac:dyDescent="0.2">
      <c r="J411" s="73"/>
      <c r="L411" s="73"/>
      <c r="O411" s="73"/>
    </row>
    <row r="412" spans="10:15" x14ac:dyDescent="0.2">
      <c r="J412" s="73"/>
      <c r="L412" s="73"/>
      <c r="O412" s="73"/>
    </row>
    <row r="413" spans="10:15" x14ac:dyDescent="0.2">
      <c r="J413" s="73"/>
      <c r="L413" s="73"/>
      <c r="O413" s="73"/>
    </row>
    <row r="414" spans="10:15" x14ac:dyDescent="0.2">
      <c r="J414" s="73"/>
      <c r="L414" s="73"/>
      <c r="O414" s="73"/>
    </row>
    <row r="415" spans="10:15" x14ac:dyDescent="0.2">
      <c r="J415" s="73"/>
      <c r="L415" s="73"/>
      <c r="O415" s="73"/>
    </row>
    <row r="416" spans="10:15" x14ac:dyDescent="0.2">
      <c r="J416" s="73"/>
      <c r="L416" s="73"/>
      <c r="O416" s="73"/>
    </row>
    <row r="417" spans="10:15" x14ac:dyDescent="0.2">
      <c r="J417" s="73"/>
      <c r="L417" s="73"/>
      <c r="O417" s="73"/>
    </row>
    <row r="418" spans="10:15" x14ac:dyDescent="0.2">
      <c r="J418" s="73"/>
      <c r="L418" s="73"/>
      <c r="O418" s="73"/>
    </row>
    <row r="419" spans="10:15" x14ac:dyDescent="0.2">
      <c r="J419" s="73"/>
      <c r="L419" s="73"/>
      <c r="O419" s="73"/>
    </row>
    <row r="420" spans="10:15" x14ac:dyDescent="0.2">
      <c r="J420" s="73"/>
      <c r="L420" s="73"/>
      <c r="O420" s="73"/>
    </row>
    <row r="421" spans="10:15" x14ac:dyDescent="0.2">
      <c r="J421" s="73"/>
      <c r="L421" s="73"/>
      <c r="O421" s="73"/>
    </row>
    <row r="422" spans="10:15" x14ac:dyDescent="0.2">
      <c r="J422" s="73"/>
      <c r="L422" s="73"/>
      <c r="O422" s="73"/>
    </row>
    <row r="423" spans="10:15" x14ac:dyDescent="0.2">
      <c r="J423" s="73"/>
      <c r="L423" s="73"/>
      <c r="O423" s="73"/>
    </row>
    <row r="424" spans="10:15" x14ac:dyDescent="0.2">
      <c r="J424" s="73"/>
      <c r="L424" s="73"/>
      <c r="O424" s="73"/>
    </row>
    <row r="425" spans="10:15" x14ac:dyDescent="0.2">
      <c r="J425" s="73"/>
      <c r="L425" s="73"/>
      <c r="O425" s="73"/>
    </row>
    <row r="426" spans="10:15" x14ac:dyDescent="0.2">
      <c r="J426" s="73"/>
      <c r="L426" s="73"/>
      <c r="O426" s="73"/>
    </row>
    <row r="427" spans="10:15" x14ac:dyDescent="0.2">
      <c r="J427" s="73"/>
      <c r="L427" s="73"/>
      <c r="O427" s="73"/>
    </row>
    <row r="428" spans="10:15" x14ac:dyDescent="0.2">
      <c r="J428" s="73"/>
      <c r="L428" s="73"/>
      <c r="O428" s="73"/>
    </row>
    <row r="429" spans="10:15" x14ac:dyDescent="0.2">
      <c r="J429" s="73"/>
      <c r="L429" s="73"/>
      <c r="O429" s="73"/>
    </row>
    <row r="430" spans="10:15" x14ac:dyDescent="0.2">
      <c r="J430" s="73"/>
      <c r="L430" s="73"/>
      <c r="O430" s="73"/>
    </row>
    <row r="431" spans="10:15" x14ac:dyDescent="0.2">
      <c r="J431" s="73"/>
      <c r="L431" s="73"/>
      <c r="O431" s="73"/>
    </row>
    <row r="432" spans="10:15" x14ac:dyDescent="0.2">
      <c r="J432" s="73"/>
      <c r="L432" s="73"/>
      <c r="O432" s="73"/>
    </row>
    <row r="433" spans="10:15" x14ac:dyDescent="0.2">
      <c r="J433" s="73"/>
      <c r="L433" s="73"/>
      <c r="O433" s="73"/>
    </row>
    <row r="434" spans="10:15" x14ac:dyDescent="0.2">
      <c r="J434" s="73"/>
      <c r="L434" s="73"/>
      <c r="O434" s="73"/>
    </row>
    <row r="435" spans="10:15" x14ac:dyDescent="0.2">
      <c r="J435" s="73"/>
      <c r="L435" s="73"/>
      <c r="O435" s="73"/>
    </row>
    <row r="436" spans="10:15" x14ac:dyDescent="0.2">
      <c r="J436" s="73"/>
      <c r="L436" s="73"/>
      <c r="O436" s="73"/>
    </row>
    <row r="437" spans="10:15" x14ac:dyDescent="0.2">
      <c r="J437" s="73"/>
      <c r="L437" s="73"/>
      <c r="O437" s="73"/>
    </row>
    <row r="438" spans="10:15" x14ac:dyDescent="0.2">
      <c r="J438" s="73"/>
      <c r="L438" s="73"/>
      <c r="O438" s="73"/>
    </row>
    <row r="439" spans="10:15" x14ac:dyDescent="0.2">
      <c r="J439" s="73"/>
      <c r="L439" s="73"/>
      <c r="O439" s="73"/>
    </row>
    <row r="440" spans="10:15" x14ac:dyDescent="0.2">
      <c r="J440" s="73"/>
      <c r="L440" s="73"/>
      <c r="O440" s="73"/>
    </row>
    <row r="441" spans="10:15" x14ac:dyDescent="0.2">
      <c r="J441" s="73"/>
      <c r="L441" s="73"/>
      <c r="O441" s="73"/>
    </row>
    <row r="442" spans="10:15" x14ac:dyDescent="0.2">
      <c r="J442" s="73"/>
      <c r="L442" s="73"/>
      <c r="O442" s="73"/>
    </row>
    <row r="443" spans="10:15" x14ac:dyDescent="0.2">
      <c r="J443" s="73"/>
      <c r="L443" s="73"/>
      <c r="O443" s="73"/>
    </row>
    <row r="444" spans="10:15" x14ac:dyDescent="0.2">
      <c r="J444" s="73"/>
      <c r="L444" s="73"/>
      <c r="O444" s="73"/>
    </row>
    <row r="445" spans="10:15" x14ac:dyDescent="0.2">
      <c r="J445" s="73"/>
      <c r="L445" s="73"/>
      <c r="O445" s="73"/>
    </row>
    <row r="446" spans="10:15" x14ac:dyDescent="0.2">
      <c r="J446" s="73"/>
      <c r="L446" s="73"/>
      <c r="O446" s="73"/>
    </row>
    <row r="447" spans="10:15" x14ac:dyDescent="0.2">
      <c r="J447" s="73"/>
      <c r="L447" s="73"/>
      <c r="O447" s="73"/>
    </row>
    <row r="448" spans="10:15" x14ac:dyDescent="0.2">
      <c r="J448" s="73"/>
      <c r="L448" s="73"/>
      <c r="O448" s="73"/>
    </row>
    <row r="449" spans="10:15" x14ac:dyDescent="0.2">
      <c r="J449" s="73"/>
      <c r="L449" s="73"/>
      <c r="O449" s="73"/>
    </row>
    <row r="450" spans="10:15" x14ac:dyDescent="0.2">
      <c r="J450" s="73"/>
      <c r="L450" s="73"/>
      <c r="O450" s="73"/>
    </row>
    <row r="451" spans="10:15" x14ac:dyDescent="0.2">
      <c r="J451" s="73"/>
      <c r="L451" s="73"/>
      <c r="O451" s="73"/>
    </row>
    <row r="452" spans="10:15" x14ac:dyDescent="0.2">
      <c r="J452" s="73"/>
      <c r="L452" s="73"/>
      <c r="O452" s="73"/>
    </row>
    <row r="453" spans="10:15" x14ac:dyDescent="0.2">
      <c r="J453" s="73"/>
      <c r="L453" s="73"/>
      <c r="O453" s="73"/>
    </row>
    <row r="454" spans="10:15" x14ac:dyDescent="0.2">
      <c r="J454" s="73"/>
      <c r="L454" s="73"/>
      <c r="O454" s="73"/>
    </row>
    <row r="455" spans="10:15" x14ac:dyDescent="0.2">
      <c r="J455" s="73"/>
      <c r="L455" s="73"/>
      <c r="O455" s="73"/>
    </row>
    <row r="456" spans="10:15" x14ac:dyDescent="0.2">
      <c r="J456" s="73"/>
      <c r="L456" s="73"/>
      <c r="O456" s="73"/>
    </row>
    <row r="457" spans="10:15" x14ac:dyDescent="0.2">
      <c r="J457" s="73"/>
      <c r="L457" s="73"/>
      <c r="O457" s="73"/>
    </row>
    <row r="458" spans="10:15" x14ac:dyDescent="0.2">
      <c r="J458" s="73"/>
      <c r="L458" s="73"/>
      <c r="O458" s="73"/>
    </row>
    <row r="459" spans="10:15" x14ac:dyDescent="0.2">
      <c r="J459" s="73"/>
      <c r="L459" s="73"/>
      <c r="O459" s="73"/>
    </row>
    <row r="460" spans="10:15" x14ac:dyDescent="0.2">
      <c r="J460" s="73"/>
      <c r="L460" s="73"/>
      <c r="O460" s="73"/>
    </row>
    <row r="461" spans="10:15" x14ac:dyDescent="0.2">
      <c r="J461" s="73"/>
      <c r="L461" s="73"/>
      <c r="O461" s="73"/>
    </row>
    <row r="462" spans="10:15" x14ac:dyDescent="0.2">
      <c r="J462" s="73"/>
      <c r="L462" s="73"/>
      <c r="O462" s="73"/>
    </row>
    <row r="463" spans="10:15" x14ac:dyDescent="0.2">
      <c r="J463" s="73"/>
      <c r="L463" s="73"/>
      <c r="O463" s="73"/>
    </row>
    <row r="464" spans="10:15" x14ac:dyDescent="0.2">
      <c r="J464" s="73"/>
      <c r="L464" s="73"/>
      <c r="O464" s="73"/>
    </row>
    <row r="465" spans="10:15" x14ac:dyDescent="0.2">
      <c r="J465" s="73"/>
      <c r="L465" s="73"/>
      <c r="O465" s="73"/>
    </row>
    <row r="466" spans="10:15" x14ac:dyDescent="0.2">
      <c r="J466" s="73"/>
      <c r="L466" s="73"/>
      <c r="O466" s="73"/>
    </row>
    <row r="467" spans="10:15" x14ac:dyDescent="0.2">
      <c r="J467" s="73"/>
      <c r="L467" s="73"/>
      <c r="O467" s="73"/>
    </row>
    <row r="468" spans="10:15" x14ac:dyDescent="0.2">
      <c r="J468" s="73"/>
      <c r="L468" s="73"/>
      <c r="O468" s="73"/>
    </row>
    <row r="469" spans="10:15" x14ac:dyDescent="0.2">
      <c r="J469" s="73"/>
      <c r="L469" s="73"/>
      <c r="O469" s="73"/>
    </row>
    <row r="470" spans="10:15" x14ac:dyDescent="0.2">
      <c r="J470" s="73"/>
      <c r="L470" s="73"/>
      <c r="O470" s="73"/>
    </row>
    <row r="471" spans="10:15" x14ac:dyDescent="0.2">
      <c r="J471" s="73"/>
      <c r="L471" s="73"/>
      <c r="O471" s="73"/>
    </row>
    <row r="472" spans="10:15" x14ac:dyDescent="0.2">
      <c r="J472" s="73"/>
      <c r="L472" s="73"/>
      <c r="O472" s="73"/>
    </row>
    <row r="473" spans="10:15" x14ac:dyDescent="0.2">
      <c r="J473" s="73"/>
      <c r="L473" s="73"/>
      <c r="O473" s="73"/>
    </row>
    <row r="474" spans="10:15" x14ac:dyDescent="0.2">
      <c r="J474" s="73"/>
      <c r="L474" s="73"/>
      <c r="O474" s="73"/>
    </row>
    <row r="475" spans="10:15" x14ac:dyDescent="0.2">
      <c r="J475" s="73"/>
      <c r="L475" s="73"/>
      <c r="O475" s="73"/>
    </row>
    <row r="476" spans="10:15" x14ac:dyDescent="0.2">
      <c r="J476" s="73"/>
      <c r="L476" s="73"/>
      <c r="O476" s="73"/>
    </row>
    <row r="477" spans="10:15" x14ac:dyDescent="0.2">
      <c r="J477" s="73"/>
      <c r="L477" s="73"/>
      <c r="O477" s="73"/>
    </row>
    <row r="478" spans="10:15" x14ac:dyDescent="0.2">
      <c r="J478" s="73"/>
      <c r="L478" s="73"/>
      <c r="O478" s="73"/>
    </row>
    <row r="479" spans="10:15" x14ac:dyDescent="0.2">
      <c r="J479" s="73"/>
      <c r="L479" s="73"/>
      <c r="O479" s="73"/>
    </row>
    <row r="480" spans="10:15" x14ac:dyDescent="0.2">
      <c r="J480" s="73"/>
      <c r="L480" s="73"/>
      <c r="O480" s="73"/>
    </row>
    <row r="481" spans="10:15" x14ac:dyDescent="0.2">
      <c r="J481" s="73"/>
      <c r="L481" s="73"/>
      <c r="O481" s="73"/>
    </row>
    <row r="482" spans="10:15" x14ac:dyDescent="0.2">
      <c r="J482" s="73"/>
      <c r="L482" s="73"/>
      <c r="O482" s="73"/>
    </row>
    <row r="483" spans="10:15" x14ac:dyDescent="0.2">
      <c r="J483" s="73"/>
      <c r="L483" s="73"/>
      <c r="O483" s="73"/>
    </row>
    <row r="484" spans="10:15" x14ac:dyDescent="0.2">
      <c r="J484" s="73"/>
      <c r="L484" s="73"/>
      <c r="O484" s="73"/>
    </row>
    <row r="485" spans="10:15" x14ac:dyDescent="0.2">
      <c r="J485" s="73"/>
      <c r="L485" s="73"/>
      <c r="O485" s="73"/>
    </row>
    <row r="486" spans="10:15" x14ac:dyDescent="0.2">
      <c r="J486" s="73"/>
      <c r="L486" s="73"/>
      <c r="O486" s="73"/>
    </row>
    <row r="487" spans="10:15" x14ac:dyDescent="0.2">
      <c r="J487" s="73"/>
      <c r="L487" s="73"/>
      <c r="O487" s="73"/>
    </row>
    <row r="488" spans="10:15" x14ac:dyDescent="0.2">
      <c r="J488" s="73"/>
      <c r="L488" s="73"/>
      <c r="O488" s="73"/>
    </row>
    <row r="489" spans="10:15" x14ac:dyDescent="0.2">
      <c r="J489" s="73"/>
      <c r="L489" s="73"/>
      <c r="O489" s="73"/>
    </row>
    <row r="490" spans="10:15" x14ac:dyDescent="0.2">
      <c r="J490" s="73"/>
      <c r="L490" s="73"/>
      <c r="O490" s="73"/>
    </row>
    <row r="491" spans="10:15" x14ac:dyDescent="0.2">
      <c r="J491" s="73"/>
      <c r="L491" s="73"/>
      <c r="O491" s="73"/>
    </row>
    <row r="492" spans="10:15" x14ac:dyDescent="0.2">
      <c r="J492" s="73"/>
      <c r="L492" s="73"/>
      <c r="O492" s="73"/>
    </row>
    <row r="493" spans="10:15" x14ac:dyDescent="0.2">
      <c r="J493" s="73"/>
      <c r="L493" s="73"/>
      <c r="O493" s="73"/>
    </row>
    <row r="494" spans="10:15" x14ac:dyDescent="0.2">
      <c r="J494" s="73"/>
      <c r="L494" s="73"/>
      <c r="O494" s="73"/>
    </row>
    <row r="495" spans="10:15" x14ac:dyDescent="0.2">
      <c r="J495" s="73"/>
      <c r="L495" s="73"/>
      <c r="O495" s="73"/>
    </row>
    <row r="496" spans="10:15" x14ac:dyDescent="0.2">
      <c r="J496" s="73"/>
      <c r="L496" s="73"/>
      <c r="O496" s="73"/>
    </row>
    <row r="497" spans="10:15" x14ac:dyDescent="0.2">
      <c r="J497" s="73"/>
      <c r="L497" s="73"/>
      <c r="O497" s="73"/>
    </row>
    <row r="498" spans="10:15" x14ac:dyDescent="0.2">
      <c r="J498" s="73"/>
      <c r="L498" s="73"/>
      <c r="O498" s="73"/>
    </row>
    <row r="499" spans="10:15" x14ac:dyDescent="0.2">
      <c r="J499" s="73"/>
      <c r="L499" s="73"/>
      <c r="O499" s="73"/>
    </row>
    <row r="500" spans="10:15" x14ac:dyDescent="0.2">
      <c r="J500" s="73"/>
      <c r="L500" s="73"/>
      <c r="O500" s="73"/>
    </row>
    <row r="501" spans="10:15" x14ac:dyDescent="0.2">
      <c r="J501" s="73"/>
      <c r="L501" s="73"/>
      <c r="O501" s="73"/>
    </row>
    <row r="502" spans="10:15" x14ac:dyDescent="0.2">
      <c r="J502" s="73"/>
      <c r="L502" s="73"/>
      <c r="O502" s="73"/>
    </row>
    <row r="503" spans="10:15" x14ac:dyDescent="0.2">
      <c r="J503" s="73"/>
      <c r="L503" s="73"/>
      <c r="O503" s="73"/>
    </row>
    <row r="504" spans="10:15" x14ac:dyDescent="0.2">
      <c r="J504" s="73"/>
      <c r="L504" s="73"/>
      <c r="O504" s="73"/>
    </row>
    <row r="505" spans="10:15" x14ac:dyDescent="0.2">
      <c r="J505" s="73"/>
      <c r="L505" s="73"/>
      <c r="O505" s="73"/>
    </row>
    <row r="506" spans="10:15" x14ac:dyDescent="0.2">
      <c r="J506" s="73"/>
      <c r="L506" s="73"/>
      <c r="O506" s="73"/>
    </row>
    <row r="507" spans="10:15" x14ac:dyDescent="0.2">
      <c r="J507" s="73"/>
      <c r="L507" s="73"/>
      <c r="O507" s="73"/>
    </row>
    <row r="508" spans="10:15" x14ac:dyDescent="0.2">
      <c r="J508" s="73"/>
      <c r="L508" s="73"/>
      <c r="O508" s="73"/>
    </row>
    <row r="509" spans="10:15" x14ac:dyDescent="0.2">
      <c r="J509" s="73"/>
      <c r="L509" s="73"/>
      <c r="O509" s="73"/>
    </row>
    <row r="510" spans="10:15" x14ac:dyDescent="0.2">
      <c r="J510" s="73"/>
      <c r="L510" s="73"/>
      <c r="O510" s="73"/>
    </row>
    <row r="511" spans="10:15" x14ac:dyDescent="0.2">
      <c r="J511" s="73"/>
      <c r="L511" s="73"/>
      <c r="O511" s="73"/>
    </row>
    <row r="512" spans="10:15" x14ac:dyDescent="0.2">
      <c r="J512" s="73"/>
      <c r="L512" s="73"/>
      <c r="O512" s="73"/>
    </row>
    <row r="513" spans="10:15" x14ac:dyDescent="0.2">
      <c r="J513" s="73"/>
      <c r="L513" s="73"/>
      <c r="O513" s="73"/>
    </row>
    <row r="514" spans="10:15" x14ac:dyDescent="0.2">
      <c r="J514" s="73"/>
      <c r="L514" s="73"/>
      <c r="O514" s="73"/>
    </row>
    <row r="515" spans="10:15" x14ac:dyDescent="0.2">
      <c r="J515" s="73"/>
      <c r="L515" s="73"/>
      <c r="O515" s="73"/>
    </row>
    <row r="516" spans="10:15" x14ac:dyDescent="0.2">
      <c r="J516" s="73"/>
      <c r="L516" s="73"/>
      <c r="O516" s="73"/>
    </row>
    <row r="517" spans="10:15" x14ac:dyDescent="0.2">
      <c r="J517" s="73"/>
      <c r="L517" s="73"/>
      <c r="O517" s="73"/>
    </row>
    <row r="518" spans="10:15" x14ac:dyDescent="0.2">
      <c r="J518" s="73"/>
      <c r="L518" s="73"/>
      <c r="O518" s="73"/>
    </row>
    <row r="519" spans="10:15" x14ac:dyDescent="0.2">
      <c r="J519" s="73"/>
      <c r="L519" s="73"/>
      <c r="O519" s="73"/>
    </row>
    <row r="520" spans="10:15" x14ac:dyDescent="0.2">
      <c r="J520" s="73"/>
      <c r="L520" s="73"/>
      <c r="O520" s="73"/>
    </row>
    <row r="521" spans="10:15" x14ac:dyDescent="0.2">
      <c r="J521" s="73"/>
      <c r="L521" s="73"/>
      <c r="O521" s="73"/>
    </row>
    <row r="522" spans="10:15" x14ac:dyDescent="0.2">
      <c r="J522" s="73"/>
      <c r="L522" s="73"/>
      <c r="O522" s="73"/>
    </row>
    <row r="523" spans="10:15" x14ac:dyDescent="0.2">
      <c r="J523" s="73"/>
      <c r="L523" s="73"/>
      <c r="O523" s="73"/>
    </row>
    <row r="524" spans="10:15" x14ac:dyDescent="0.2">
      <c r="J524" s="73"/>
      <c r="L524" s="73"/>
      <c r="O524" s="73"/>
    </row>
    <row r="525" spans="10:15" x14ac:dyDescent="0.2">
      <c r="J525" s="73"/>
      <c r="L525" s="73"/>
      <c r="O525" s="73"/>
    </row>
    <row r="526" spans="10:15" x14ac:dyDescent="0.2">
      <c r="J526" s="73"/>
      <c r="L526" s="73"/>
      <c r="O526" s="73"/>
    </row>
    <row r="527" spans="10:15" x14ac:dyDescent="0.2">
      <c r="J527" s="73"/>
      <c r="L527" s="73"/>
      <c r="O527" s="73"/>
    </row>
    <row r="528" spans="10:15" x14ac:dyDescent="0.2">
      <c r="J528" s="73"/>
      <c r="L528" s="73"/>
      <c r="O528" s="73"/>
    </row>
    <row r="529" spans="10:15" x14ac:dyDescent="0.2">
      <c r="J529" s="73"/>
      <c r="L529" s="73"/>
      <c r="O529" s="73"/>
    </row>
    <row r="530" spans="10:15" x14ac:dyDescent="0.2">
      <c r="J530" s="73"/>
      <c r="L530" s="73"/>
      <c r="O530" s="73"/>
    </row>
    <row r="531" spans="10:15" x14ac:dyDescent="0.2">
      <c r="J531" s="73"/>
      <c r="L531" s="73"/>
      <c r="O531" s="73"/>
    </row>
    <row r="532" spans="10:15" x14ac:dyDescent="0.2">
      <c r="J532" s="73"/>
      <c r="L532" s="73"/>
      <c r="O532" s="73"/>
    </row>
    <row r="533" spans="10:15" x14ac:dyDescent="0.2">
      <c r="J533" s="73"/>
      <c r="L533" s="73"/>
      <c r="O533" s="73"/>
    </row>
    <row r="534" spans="10:15" x14ac:dyDescent="0.2">
      <c r="J534" s="73"/>
      <c r="L534" s="73"/>
      <c r="O534" s="73"/>
    </row>
    <row r="535" spans="10:15" x14ac:dyDescent="0.2">
      <c r="J535" s="73"/>
      <c r="L535" s="73"/>
      <c r="O535" s="73"/>
    </row>
    <row r="536" spans="10:15" x14ac:dyDescent="0.2">
      <c r="J536" s="73"/>
      <c r="L536" s="73"/>
      <c r="O536" s="73"/>
    </row>
    <row r="537" spans="10:15" x14ac:dyDescent="0.2">
      <c r="J537" s="73"/>
      <c r="L537" s="73"/>
      <c r="O537" s="73"/>
    </row>
    <row r="538" spans="10:15" x14ac:dyDescent="0.2">
      <c r="J538" s="73"/>
      <c r="L538" s="73"/>
      <c r="O538" s="73"/>
    </row>
    <row r="539" spans="10:15" x14ac:dyDescent="0.2">
      <c r="J539" s="73"/>
      <c r="L539" s="73"/>
      <c r="O539" s="73"/>
    </row>
    <row r="540" spans="10:15" x14ac:dyDescent="0.2">
      <c r="J540" s="73"/>
      <c r="L540" s="73"/>
      <c r="O540" s="73"/>
    </row>
    <row r="541" spans="10:15" x14ac:dyDescent="0.2">
      <c r="J541" s="73"/>
      <c r="L541" s="73"/>
      <c r="O541" s="73"/>
    </row>
    <row r="542" spans="10:15" x14ac:dyDescent="0.2">
      <c r="J542" s="73"/>
      <c r="L542" s="73"/>
      <c r="O542" s="73"/>
    </row>
    <row r="543" spans="10:15" x14ac:dyDescent="0.2">
      <c r="J543" s="73"/>
      <c r="L543" s="73"/>
      <c r="O543" s="73"/>
    </row>
    <row r="544" spans="10:15" x14ac:dyDescent="0.2">
      <c r="J544" s="73"/>
      <c r="L544" s="73"/>
      <c r="O544" s="73"/>
    </row>
    <row r="545" spans="10:15" x14ac:dyDescent="0.2">
      <c r="J545" s="73"/>
      <c r="L545" s="73"/>
      <c r="O545" s="73"/>
    </row>
    <row r="546" spans="10:15" x14ac:dyDescent="0.2">
      <c r="J546" s="73"/>
      <c r="L546" s="73"/>
      <c r="O546" s="73"/>
    </row>
    <row r="547" spans="10:15" x14ac:dyDescent="0.2">
      <c r="J547" s="73"/>
      <c r="L547" s="73"/>
      <c r="O547" s="73"/>
    </row>
    <row r="548" spans="10:15" x14ac:dyDescent="0.2">
      <c r="J548" s="73"/>
      <c r="L548" s="73"/>
      <c r="O548" s="73"/>
    </row>
    <row r="549" spans="10:15" x14ac:dyDescent="0.2">
      <c r="J549" s="73"/>
      <c r="L549" s="73"/>
      <c r="O549" s="73"/>
    </row>
    <row r="550" spans="10:15" x14ac:dyDescent="0.2">
      <c r="J550" s="73"/>
      <c r="L550" s="73"/>
      <c r="O550" s="73"/>
    </row>
    <row r="551" spans="10:15" x14ac:dyDescent="0.2">
      <c r="J551" s="73"/>
      <c r="L551" s="73"/>
      <c r="O551" s="73"/>
    </row>
    <row r="552" spans="10:15" x14ac:dyDescent="0.2">
      <c r="J552" s="73"/>
      <c r="L552" s="73"/>
      <c r="O552" s="73"/>
    </row>
    <row r="553" spans="10:15" x14ac:dyDescent="0.2">
      <c r="J553" s="73"/>
      <c r="L553" s="73"/>
      <c r="O553" s="73"/>
    </row>
    <row r="554" spans="10:15" x14ac:dyDescent="0.2">
      <c r="J554" s="73"/>
      <c r="L554" s="73"/>
      <c r="O554" s="73"/>
    </row>
    <row r="555" spans="10:15" x14ac:dyDescent="0.2">
      <c r="J555" s="73"/>
      <c r="L555" s="73"/>
      <c r="O555" s="73"/>
    </row>
    <row r="556" spans="10:15" x14ac:dyDescent="0.2">
      <c r="J556" s="73"/>
      <c r="L556" s="73"/>
      <c r="O556" s="73"/>
    </row>
    <row r="557" spans="10:15" x14ac:dyDescent="0.2">
      <c r="J557" s="73"/>
      <c r="L557" s="73"/>
      <c r="O557" s="73"/>
    </row>
    <row r="558" spans="10:15" x14ac:dyDescent="0.2">
      <c r="J558" s="73"/>
      <c r="L558" s="73"/>
      <c r="O558" s="73"/>
    </row>
  </sheetData>
  <sheetProtection password="FFFD" sheet="1" objects="1" scenarios="1" selectLockedCells="1"/>
  <mergeCells count="187">
    <mergeCell ref="J11:Q11"/>
    <mergeCell ref="J12:Q12"/>
    <mergeCell ref="J13:Q13"/>
    <mergeCell ref="J14:Q14"/>
    <mergeCell ref="H86:I86"/>
    <mergeCell ref="J86:Q86"/>
    <mergeCell ref="H66:I66"/>
    <mergeCell ref="J66:Q66"/>
    <mergeCell ref="H67:I67"/>
    <mergeCell ref="J67:Q67"/>
    <mergeCell ref="H64:I64"/>
    <mergeCell ref="J64:Q64"/>
    <mergeCell ref="H65:I65"/>
    <mergeCell ref="J65:Q65"/>
    <mergeCell ref="P56:R56"/>
    <mergeCell ref="H69:I69"/>
    <mergeCell ref="H70:I70"/>
    <mergeCell ref="H71:I71"/>
    <mergeCell ref="H72:I72"/>
    <mergeCell ref="H77:I77"/>
    <mergeCell ref="H81:I81"/>
    <mergeCell ref="H74:I74"/>
    <mergeCell ref="J74:Q74"/>
    <mergeCell ref="J72:Q72"/>
    <mergeCell ref="C82:F82"/>
    <mergeCell ref="C83:F83"/>
    <mergeCell ref="C84:F84"/>
    <mergeCell ref="C85:F85"/>
    <mergeCell ref="C86:F86"/>
    <mergeCell ref="H80:I80"/>
    <mergeCell ref="J75:Q75"/>
    <mergeCell ref="J80:Q80"/>
    <mergeCell ref="H82:I82"/>
    <mergeCell ref="J82:Q82"/>
    <mergeCell ref="H83:I83"/>
    <mergeCell ref="H84:I84"/>
    <mergeCell ref="J84:Q84"/>
    <mergeCell ref="H85:I85"/>
    <mergeCell ref="C79:F79"/>
    <mergeCell ref="H75:I75"/>
    <mergeCell ref="J85:Q85"/>
    <mergeCell ref="J83:Q83"/>
    <mergeCell ref="H79:I79"/>
    <mergeCell ref="J79:Q79"/>
    <mergeCell ref="U20:W20"/>
    <mergeCell ref="J21:Q21"/>
    <mergeCell ref="U21:W21"/>
    <mergeCell ref="J22:Q22"/>
    <mergeCell ref="U22:W24"/>
    <mergeCell ref="J23:Q23"/>
    <mergeCell ref="J24:Q24"/>
    <mergeCell ref="J15:Q15"/>
    <mergeCell ref="J16:Q16"/>
    <mergeCell ref="J17:Q17"/>
    <mergeCell ref="U17:W17"/>
    <mergeCell ref="J18:Q18"/>
    <mergeCell ref="U18:W18"/>
    <mergeCell ref="U30:W30"/>
    <mergeCell ref="J31:Q31"/>
    <mergeCell ref="U31:W31"/>
    <mergeCell ref="J32:Q32"/>
    <mergeCell ref="U32:W33"/>
    <mergeCell ref="J33:Q33"/>
    <mergeCell ref="J25:Q25"/>
    <mergeCell ref="U25:W26"/>
    <mergeCell ref="J26:Q26"/>
    <mergeCell ref="J27:Q27"/>
    <mergeCell ref="U27:W27"/>
    <mergeCell ref="J28:Q28"/>
    <mergeCell ref="U28:W29"/>
    <mergeCell ref="J29:Q29"/>
    <mergeCell ref="U38:W39"/>
    <mergeCell ref="J39:Q39"/>
    <mergeCell ref="J40:Q40"/>
    <mergeCell ref="U40:W41"/>
    <mergeCell ref="J41:Q41"/>
    <mergeCell ref="J34:Q34"/>
    <mergeCell ref="U34:W35"/>
    <mergeCell ref="J35:Q35"/>
    <mergeCell ref="J36:Q36"/>
    <mergeCell ref="U36:W37"/>
    <mergeCell ref="J37:Q37"/>
    <mergeCell ref="U46:W46"/>
    <mergeCell ref="J47:Q47"/>
    <mergeCell ref="U47:W47"/>
    <mergeCell ref="J48:Q48"/>
    <mergeCell ref="U48:W48"/>
    <mergeCell ref="J42:Q42"/>
    <mergeCell ref="U42:W43"/>
    <mergeCell ref="J43:Q43"/>
    <mergeCell ref="J44:Q44"/>
    <mergeCell ref="J45:Q45"/>
    <mergeCell ref="U45:W45"/>
    <mergeCell ref="U53:W53"/>
    <mergeCell ref="J54:Q54"/>
    <mergeCell ref="U54:W54"/>
    <mergeCell ref="J55:Q55"/>
    <mergeCell ref="U55:W55"/>
    <mergeCell ref="J49:Q49"/>
    <mergeCell ref="U49:W50"/>
    <mergeCell ref="J50:Q50"/>
    <mergeCell ref="J51:Q51"/>
    <mergeCell ref="U51:W52"/>
    <mergeCell ref="J52:Q52"/>
    <mergeCell ref="U58:W58"/>
    <mergeCell ref="H59:I59"/>
    <mergeCell ref="J59:Q59"/>
    <mergeCell ref="H60:I60"/>
    <mergeCell ref="J60:Q60"/>
    <mergeCell ref="H57:I57"/>
    <mergeCell ref="J57:Q57"/>
    <mergeCell ref="H58:I58"/>
    <mergeCell ref="J58:Q58"/>
    <mergeCell ref="H73:I73"/>
    <mergeCell ref="J73:Q73"/>
    <mergeCell ref="J81:Q81"/>
    <mergeCell ref="H76:I76"/>
    <mergeCell ref="J76:Q76"/>
    <mergeCell ref="J77:Q77"/>
    <mergeCell ref="H78:I78"/>
    <mergeCell ref="J78:Q78"/>
    <mergeCell ref="C73:F73"/>
    <mergeCell ref="C78:F78"/>
    <mergeCell ref="C81:F81"/>
    <mergeCell ref="C68:F68"/>
    <mergeCell ref="C70:F70"/>
    <mergeCell ref="C71:F71"/>
    <mergeCell ref="C80:F80"/>
    <mergeCell ref="C57:F57"/>
    <mergeCell ref="C58:F58"/>
    <mergeCell ref="C59:F59"/>
    <mergeCell ref="C60:F60"/>
    <mergeCell ref="C62:F62"/>
    <mergeCell ref="C63:F63"/>
    <mergeCell ref="C72:F72"/>
    <mergeCell ref="C64:F64"/>
    <mergeCell ref="C65:F65"/>
    <mergeCell ref="C66:F66"/>
    <mergeCell ref="C67:F67"/>
    <mergeCell ref="B56:C56"/>
    <mergeCell ref="C61:F61"/>
    <mergeCell ref="J4:Q4"/>
    <mergeCell ref="C4:I4"/>
    <mergeCell ref="E50:F52"/>
    <mergeCell ref="E53:F55"/>
    <mergeCell ref="E25:F30"/>
    <mergeCell ref="E31:F31"/>
    <mergeCell ref="E32:F43"/>
    <mergeCell ref="E44:F45"/>
    <mergeCell ref="J53:Q53"/>
    <mergeCell ref="J46:Q46"/>
    <mergeCell ref="J38:Q38"/>
    <mergeCell ref="J30:Q30"/>
    <mergeCell ref="J19:Q19"/>
    <mergeCell ref="J20:Q20"/>
    <mergeCell ref="J5:K5"/>
    <mergeCell ref="J6:K6"/>
    <mergeCell ref="J7:K7"/>
    <mergeCell ref="L5:Q5"/>
    <mergeCell ref="L6:Q6"/>
    <mergeCell ref="L7:Q7"/>
    <mergeCell ref="D7:I7"/>
    <mergeCell ref="D5:I5"/>
    <mergeCell ref="D6:I6"/>
    <mergeCell ref="J70:Q70"/>
    <mergeCell ref="J71:Q71"/>
    <mergeCell ref="H68:I68"/>
    <mergeCell ref="J68:Q68"/>
    <mergeCell ref="J69:Q69"/>
    <mergeCell ref="H62:I62"/>
    <mergeCell ref="J62:Q62"/>
    <mergeCell ref="H63:I63"/>
    <mergeCell ref="J63:Q63"/>
    <mergeCell ref="E9:F9"/>
    <mergeCell ref="E12:F13"/>
    <mergeCell ref="E14:F17"/>
    <mergeCell ref="E18:F18"/>
    <mergeCell ref="E48:F49"/>
    <mergeCell ref="E47:F47"/>
    <mergeCell ref="E46:F46"/>
    <mergeCell ref="E19:F24"/>
    <mergeCell ref="E10:F10"/>
    <mergeCell ref="E11:F11"/>
    <mergeCell ref="J61:Q61"/>
    <mergeCell ref="H61:I61"/>
    <mergeCell ref="J9:Q9"/>
    <mergeCell ref="J10:Q10"/>
  </mergeCells>
  <conditionalFormatting sqref="I10">
    <cfRule type="cellIs" dxfId="31" priority="1" stopIfTrue="1" operator="notBetween">
      <formula>0</formula>
      <formula>999999999</formula>
    </cfRule>
  </conditionalFormatting>
  <conditionalFormatting sqref="I12:I17">
    <cfRule type="cellIs" dxfId="30" priority="26" stopIfTrue="1" operator="notBetween">
      <formula>0</formula>
      <formula>999999999</formula>
    </cfRule>
  </conditionalFormatting>
  <conditionalFormatting sqref="I19:J30">
    <cfRule type="cellIs" dxfId="29" priority="18" stopIfTrue="1" operator="notBetween">
      <formula>0</formula>
      <formula>999999999</formula>
    </cfRule>
  </conditionalFormatting>
  <conditionalFormatting sqref="J10:J17">
    <cfRule type="cellIs" dxfId="28" priority="22" stopIfTrue="1" operator="notBetween">
      <formula>0</formula>
      <formula>999999999</formula>
    </cfRule>
  </conditionalFormatting>
  <conditionalFormatting sqref="J32:J45">
    <cfRule type="cellIs" dxfId="27" priority="14" stopIfTrue="1" operator="notBetween">
      <formula>0</formula>
      <formula>999999999</formula>
    </cfRule>
  </conditionalFormatting>
  <conditionalFormatting sqref="J47:J55">
    <cfRule type="cellIs" dxfId="26" priority="9" stopIfTrue="1" operator="notBetween">
      <formula>0</formula>
      <formula>999999999</formula>
    </cfRule>
  </conditionalFormatting>
  <conditionalFormatting sqref="J58:J78">
    <cfRule type="cellIs" dxfId="25" priority="5" stopIfTrue="1" operator="notBetween">
      <formula>0</formula>
      <formula>999999999</formula>
    </cfRule>
  </conditionalFormatting>
  <conditionalFormatting sqref="J80:J86">
    <cfRule type="cellIs" dxfId="24" priority="6" stopIfTrue="1" operator="notBetween">
      <formula>0</formula>
      <formula>999999999</formula>
    </cfRule>
  </conditionalFormatting>
  <pageMargins left="0.7" right="0.7" top="0.78740157499999996" bottom="0.78740157499999996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557"/>
  <sheetViews>
    <sheetView topLeftCell="A2" zoomScale="80" zoomScaleNormal="80" workbookViewId="0">
      <selection activeCell="H74" sqref="H74:I74"/>
    </sheetView>
  </sheetViews>
  <sheetFormatPr baseColWidth="10" defaultColWidth="11.42578125" defaultRowHeight="12.75" x14ac:dyDescent="0.2"/>
  <cols>
    <col min="1" max="2" width="3.7109375" style="71" customWidth="1"/>
    <col min="3" max="3" width="58.7109375" style="71" customWidth="1"/>
    <col min="4" max="4" width="14" style="72" customWidth="1"/>
    <col min="5" max="5" width="7.28515625" style="73" customWidth="1"/>
    <col min="6" max="6" width="17.5703125" style="73" customWidth="1"/>
    <col min="7" max="7" width="3.5703125" style="80" customWidth="1"/>
    <col min="8" max="8" width="11.42578125" style="73" customWidth="1"/>
    <col min="9" max="9" width="6.5703125" style="73" customWidth="1"/>
    <col min="10" max="10" width="21.5703125" style="80" customWidth="1"/>
    <col min="11" max="11" width="6.42578125" style="73" customWidth="1"/>
    <col min="12" max="12" width="2.28515625" style="80" customWidth="1"/>
    <col min="13" max="13" width="11.28515625" style="73" customWidth="1"/>
    <col min="14" max="14" width="7.28515625" style="73" customWidth="1"/>
    <col min="15" max="15" width="1.42578125" style="80" customWidth="1"/>
    <col min="16" max="16" width="11.5703125" style="73" customWidth="1"/>
    <col min="17" max="17" width="6.7109375" style="73" customWidth="1"/>
    <col min="18" max="18" width="3.7109375" style="71" customWidth="1"/>
    <col min="19" max="19" width="1.7109375" style="71" customWidth="1"/>
    <col min="20" max="20" width="3.7109375" style="71" customWidth="1"/>
    <col min="21" max="22" width="40.7109375" style="71" customWidth="1"/>
    <col min="23" max="23" width="48.28515625" style="71" customWidth="1"/>
    <col min="24" max="24" width="3.7109375" style="71" customWidth="1"/>
    <col min="25" max="16384" width="11.42578125" style="71"/>
  </cols>
  <sheetData>
    <row r="1" spans="1:23" ht="13.15" hidden="1" customHeight="1" x14ac:dyDescent="0.2">
      <c r="G1" s="73"/>
      <c r="J1" s="73"/>
      <c r="L1" s="73"/>
      <c r="O1" s="73"/>
    </row>
    <row r="2" spans="1:23" x14ac:dyDescent="0.2">
      <c r="A2" s="113"/>
      <c r="B2" s="113"/>
      <c r="C2" s="113"/>
      <c r="D2" s="113"/>
      <c r="E2" s="113"/>
      <c r="F2" s="113"/>
      <c r="G2" s="113"/>
      <c r="H2" s="113"/>
      <c r="I2" s="113"/>
      <c r="J2" s="113"/>
      <c r="K2" s="113"/>
      <c r="L2" s="113"/>
      <c r="M2" s="113"/>
      <c r="N2" s="113"/>
      <c r="O2" s="113"/>
      <c r="P2" s="113"/>
      <c r="Q2" s="113"/>
      <c r="R2" s="113"/>
      <c r="S2" s="113"/>
      <c r="T2" s="74"/>
      <c r="U2" s="74"/>
    </row>
    <row r="3" spans="1:23" ht="13.15" customHeight="1" x14ac:dyDescent="0.2">
      <c r="B3" s="81"/>
      <c r="C3" s="116"/>
      <c r="D3" s="117"/>
      <c r="E3" s="118"/>
      <c r="F3" s="118"/>
      <c r="G3" s="118"/>
      <c r="H3" s="118"/>
      <c r="I3" s="118"/>
      <c r="J3" s="118"/>
      <c r="K3" s="118"/>
      <c r="L3" s="118"/>
      <c r="M3" s="118"/>
      <c r="N3" s="118"/>
      <c r="O3" s="118"/>
      <c r="P3" s="118"/>
      <c r="Q3" s="118"/>
      <c r="R3" s="119"/>
    </row>
    <row r="4" spans="1:23" ht="13.15" customHeight="1" x14ac:dyDescent="0.2">
      <c r="B4" s="82"/>
      <c r="C4" s="266" t="s">
        <v>109</v>
      </c>
      <c r="D4" s="266"/>
      <c r="E4" s="266"/>
      <c r="F4" s="266"/>
      <c r="G4" s="266"/>
      <c r="H4" s="266"/>
      <c r="I4" s="266"/>
      <c r="J4" s="266" t="s">
        <v>119</v>
      </c>
      <c r="K4" s="266"/>
      <c r="L4" s="266"/>
      <c r="M4" s="266"/>
      <c r="N4" s="266"/>
      <c r="O4" s="266"/>
      <c r="P4" s="266"/>
      <c r="Q4" s="266"/>
      <c r="R4" s="131"/>
    </row>
    <row r="5" spans="1:23" s="113" customFormat="1" ht="23.25" customHeight="1" x14ac:dyDescent="0.2">
      <c r="B5" s="82"/>
      <c r="C5" s="135" t="s">
        <v>110</v>
      </c>
      <c r="D5" s="247">
        <v>44562</v>
      </c>
      <c r="E5" s="247"/>
      <c r="F5" s="247"/>
      <c r="G5" s="247"/>
      <c r="H5" s="247"/>
      <c r="I5" s="247"/>
      <c r="J5" s="272" t="s">
        <v>17</v>
      </c>
      <c r="K5" s="272"/>
      <c r="L5" s="273">
        <f>IF('Overview IB'!D11="","",'Overview IB'!D11)</f>
        <v>44562</v>
      </c>
      <c r="M5" s="273"/>
      <c r="N5" s="273"/>
      <c r="O5" s="273"/>
      <c r="P5" s="273"/>
      <c r="Q5" s="273"/>
      <c r="R5" s="115"/>
    </row>
    <row r="6" spans="1:23" s="113" customFormat="1" ht="18.75" customHeight="1" x14ac:dyDescent="0.2">
      <c r="B6" s="82"/>
      <c r="C6" s="135" t="s">
        <v>111</v>
      </c>
      <c r="D6" s="247">
        <v>44926</v>
      </c>
      <c r="E6" s="247"/>
      <c r="F6" s="247"/>
      <c r="G6" s="247"/>
      <c r="H6" s="247"/>
      <c r="I6" s="247"/>
      <c r="J6" s="272" t="s">
        <v>18</v>
      </c>
      <c r="K6" s="272"/>
      <c r="L6" s="273">
        <f>IF('Overview IB'!D12="","",'Overview IB'!D12)</f>
        <v>45291</v>
      </c>
      <c r="M6" s="273"/>
      <c r="N6" s="273"/>
      <c r="O6" s="273"/>
      <c r="P6" s="273"/>
      <c r="Q6" s="273"/>
      <c r="R6" s="115"/>
    </row>
    <row r="7" spans="1:23" s="113" customFormat="1" ht="18.75" customHeight="1" x14ac:dyDescent="0.2">
      <c r="B7" s="82"/>
      <c r="C7" s="136" t="s">
        <v>36</v>
      </c>
      <c r="D7" s="275">
        <f>IF(OR(D5="",L7="befüllt sich automatisch"),0,((D6-D5)/30)/L7)</f>
        <v>0.49931412894375854</v>
      </c>
      <c r="E7" s="275"/>
      <c r="F7" s="275"/>
      <c r="G7" s="275"/>
      <c r="H7" s="275"/>
      <c r="I7" s="275"/>
      <c r="J7" s="272" t="s">
        <v>72</v>
      </c>
      <c r="K7" s="272"/>
      <c r="L7" s="274">
        <f>IF(IF(OR(L6="",L5=""),"",(L6-L5)/30)="","befüllt sich automatisch",IF(OR(L6="",L5=""),"",(L6-L5)/30))</f>
        <v>24.3</v>
      </c>
      <c r="M7" s="274"/>
      <c r="N7" s="274"/>
      <c r="O7" s="274"/>
      <c r="P7" s="274"/>
      <c r="Q7" s="274"/>
      <c r="R7" s="115"/>
    </row>
    <row r="8" spans="1:23" x14ac:dyDescent="0.2">
      <c r="A8" s="74"/>
      <c r="B8" s="82"/>
      <c r="C8" s="83"/>
      <c r="D8" s="83"/>
      <c r="E8" s="83"/>
      <c r="F8" s="83"/>
      <c r="G8" s="83"/>
      <c r="H8" s="83"/>
      <c r="I8" s="83"/>
      <c r="J8" s="83"/>
      <c r="K8" s="83"/>
      <c r="L8" s="83"/>
      <c r="M8" s="83"/>
      <c r="N8" s="83"/>
      <c r="O8" s="83"/>
      <c r="P8" s="83"/>
      <c r="Q8" s="83"/>
      <c r="R8" s="84"/>
      <c r="S8" s="74"/>
      <c r="T8" s="74"/>
      <c r="U8" s="74"/>
    </row>
    <row r="9" spans="1:23" s="74" customFormat="1" ht="37.15" customHeight="1" x14ac:dyDescent="0.2">
      <c r="B9" s="82"/>
      <c r="C9" s="104" t="s">
        <v>42</v>
      </c>
      <c r="D9" s="88" t="s">
        <v>86</v>
      </c>
      <c r="E9" s="240"/>
      <c r="F9" s="241"/>
      <c r="G9" s="37"/>
      <c r="H9" s="104" t="s">
        <v>37</v>
      </c>
      <c r="I9" s="39" t="s">
        <v>11</v>
      </c>
      <c r="J9" s="261" t="s">
        <v>74</v>
      </c>
      <c r="K9" s="262"/>
      <c r="L9" s="262"/>
      <c r="M9" s="262"/>
      <c r="N9" s="262"/>
      <c r="O9" s="262"/>
      <c r="P9" s="262"/>
      <c r="Q9" s="263"/>
      <c r="R9" s="85"/>
      <c r="U9" s="75"/>
      <c r="V9" s="75"/>
      <c r="W9" s="75"/>
    </row>
    <row r="10" spans="1:23" s="74" customFormat="1" ht="13.15" customHeight="1" x14ac:dyDescent="0.2">
      <c r="B10" s="82"/>
      <c r="C10" s="89" t="s">
        <v>121</v>
      </c>
      <c r="D10" s="146">
        <f>'Overview IB'!D16</f>
        <v>818</v>
      </c>
      <c r="E10" s="255" t="str">
        <f>IF('Overview IB'!E16 &gt; 0, 'Overview IB'!E16, "")</f>
        <v/>
      </c>
      <c r="F10" s="292"/>
      <c r="G10" s="40"/>
      <c r="H10" s="102">
        <f>H13+H16+H20+H23+H26</f>
        <v>607</v>
      </c>
      <c r="I10" s="134">
        <f>IF(H10=0,0,H10/D10)</f>
        <v>0.74205378973105129</v>
      </c>
      <c r="J10" s="257"/>
      <c r="K10" s="258"/>
      <c r="L10" s="258"/>
      <c r="M10" s="258"/>
      <c r="N10" s="258"/>
      <c r="O10" s="258"/>
      <c r="P10" s="258"/>
      <c r="Q10" s="259"/>
      <c r="R10" s="85"/>
      <c r="U10" s="75"/>
      <c r="V10" s="75"/>
      <c r="W10" s="75"/>
    </row>
    <row r="11" spans="1:23" s="74" customFormat="1" ht="28.5" customHeight="1" x14ac:dyDescent="0.2">
      <c r="B11" s="82"/>
      <c r="C11" s="8" t="s">
        <v>87</v>
      </c>
      <c r="D11" s="88" t="s">
        <v>86</v>
      </c>
      <c r="E11" s="193" t="s">
        <v>91</v>
      </c>
      <c r="F11" s="194"/>
      <c r="G11" s="37"/>
      <c r="H11" s="38"/>
      <c r="I11" s="39"/>
      <c r="J11" s="284"/>
      <c r="K11" s="285"/>
      <c r="L11" s="285"/>
      <c r="M11" s="285"/>
      <c r="N11" s="285"/>
      <c r="O11" s="285"/>
      <c r="P11" s="285"/>
      <c r="Q11" s="286"/>
      <c r="R11" s="85"/>
      <c r="U11" s="75"/>
      <c r="V11" s="75"/>
      <c r="W11" s="75"/>
    </row>
    <row r="12" spans="1:23" ht="15" x14ac:dyDescent="0.2">
      <c r="B12" s="36"/>
      <c r="C12" s="90" t="s">
        <v>67</v>
      </c>
      <c r="D12" s="146">
        <f>'Overview IB'!D18</f>
        <v>38</v>
      </c>
      <c r="E12" s="252" t="str">
        <f>IF('Overview IB'!E18 &gt; 0, 'Overview IB'!E18, "")</f>
        <v>Elterninfo parallel zum TRT Programm</v>
      </c>
      <c r="F12" s="289"/>
      <c r="G12" s="40"/>
      <c r="H12" s="102">
        <v>10</v>
      </c>
      <c r="I12" s="166">
        <f>IF(H12=0,0,H12/D12)</f>
        <v>0.26315789473684209</v>
      </c>
      <c r="J12" s="257"/>
      <c r="K12" s="258"/>
      <c r="L12" s="258"/>
      <c r="M12" s="258"/>
      <c r="N12" s="258"/>
      <c r="O12" s="258"/>
      <c r="P12" s="258"/>
      <c r="Q12" s="259"/>
      <c r="R12" s="86"/>
      <c r="U12" s="105"/>
      <c r="V12" s="105"/>
      <c r="W12" s="105"/>
    </row>
    <row r="13" spans="1:23" ht="15" x14ac:dyDescent="0.2">
      <c r="B13" s="36"/>
      <c r="C13" s="91" t="s">
        <v>122</v>
      </c>
      <c r="D13" s="146">
        <f>'Overview IB'!D19</f>
        <v>190</v>
      </c>
      <c r="E13" s="253"/>
      <c r="F13" s="291"/>
      <c r="G13" s="40"/>
      <c r="H13" s="102">
        <v>59</v>
      </c>
      <c r="I13" s="167">
        <f t="shared" ref="I13:I17" si="0">IF(H13=0,0,H13/D13)</f>
        <v>0.31052631578947371</v>
      </c>
      <c r="J13" s="248"/>
      <c r="K13" s="248"/>
      <c r="L13" s="248"/>
      <c r="M13" s="248"/>
      <c r="N13" s="248"/>
      <c r="O13" s="248"/>
      <c r="P13" s="248"/>
      <c r="Q13" s="248"/>
      <c r="R13" s="86"/>
      <c r="U13" s="105"/>
      <c r="V13" s="105"/>
      <c r="W13" s="105"/>
    </row>
    <row r="14" spans="1:23" ht="15" x14ac:dyDescent="0.2">
      <c r="B14" s="36"/>
      <c r="C14" s="90" t="s">
        <v>68</v>
      </c>
      <c r="D14" s="146">
        <f>'Overview IB'!D20</f>
        <v>10</v>
      </c>
      <c r="E14" s="252" t="str">
        <f>IF('Overview IB'!E20 &gt; 0, 'Overview IB'!E20, "")</f>
        <v>a) Traumapädagogische Seminare für Lehrkräfte
b) Aus- und Fortbildung von mutterprachlichen TRT TrainerInnen</v>
      </c>
      <c r="F14" s="289"/>
      <c r="G14" s="40"/>
      <c r="H14" s="102">
        <v>15</v>
      </c>
      <c r="I14" s="166">
        <f t="shared" si="0"/>
        <v>1.5</v>
      </c>
      <c r="J14" s="248" t="s">
        <v>144</v>
      </c>
      <c r="K14" s="248"/>
      <c r="L14" s="248"/>
      <c r="M14" s="248"/>
      <c r="N14" s="248"/>
      <c r="O14" s="248"/>
      <c r="P14" s="248"/>
      <c r="Q14" s="248"/>
      <c r="R14" s="86"/>
      <c r="U14" s="105"/>
      <c r="V14" s="105"/>
      <c r="W14" s="105"/>
    </row>
    <row r="15" spans="1:23" ht="15" x14ac:dyDescent="0.2">
      <c r="B15" s="36"/>
      <c r="C15" s="92" t="s">
        <v>65</v>
      </c>
      <c r="D15" s="146">
        <f>'Overview IB'!D21</f>
        <v>0</v>
      </c>
      <c r="E15" s="253"/>
      <c r="F15" s="290"/>
      <c r="G15" s="40"/>
      <c r="H15" s="102"/>
      <c r="I15" s="167">
        <f t="shared" si="0"/>
        <v>0</v>
      </c>
      <c r="J15" s="248"/>
      <c r="K15" s="248"/>
      <c r="L15" s="248"/>
      <c r="M15" s="248"/>
      <c r="N15" s="248"/>
      <c r="O15" s="248"/>
      <c r="P15" s="248"/>
      <c r="Q15" s="248"/>
      <c r="R15" s="86"/>
      <c r="U15" s="105"/>
      <c r="V15" s="105"/>
      <c r="W15" s="105"/>
    </row>
    <row r="16" spans="1:23" ht="15" x14ac:dyDescent="0.2">
      <c r="B16" s="36"/>
      <c r="C16" s="92" t="s">
        <v>66</v>
      </c>
      <c r="D16" s="146">
        <f>'Overview IB'!D22</f>
        <v>162</v>
      </c>
      <c r="E16" s="253"/>
      <c r="F16" s="290"/>
      <c r="G16" s="40"/>
      <c r="H16" s="102">
        <v>279</v>
      </c>
      <c r="I16" s="167">
        <f t="shared" si="0"/>
        <v>1.7222222222222223</v>
      </c>
      <c r="J16" s="248"/>
      <c r="K16" s="248"/>
      <c r="L16" s="248"/>
      <c r="M16" s="248"/>
      <c r="N16" s="248"/>
      <c r="O16" s="248"/>
      <c r="P16" s="248"/>
      <c r="Q16" s="248"/>
      <c r="R16" s="86"/>
      <c r="U16" s="105"/>
      <c r="V16" s="105"/>
      <c r="W16" s="105"/>
    </row>
    <row r="17" spans="2:23" ht="15" x14ac:dyDescent="0.2">
      <c r="B17" s="36"/>
      <c r="C17" s="92" t="s">
        <v>70</v>
      </c>
      <c r="D17" s="146">
        <f>'Overview IB'!D23</f>
        <v>60</v>
      </c>
      <c r="E17" s="254"/>
      <c r="F17" s="291"/>
      <c r="G17" s="40"/>
      <c r="H17" s="102">
        <v>139</v>
      </c>
      <c r="I17" s="167">
        <f t="shared" si="0"/>
        <v>2.3166666666666669</v>
      </c>
      <c r="J17" s="248" t="s">
        <v>145</v>
      </c>
      <c r="K17" s="248"/>
      <c r="L17" s="248"/>
      <c r="M17" s="248"/>
      <c r="N17" s="248"/>
      <c r="O17" s="248"/>
      <c r="P17" s="248"/>
      <c r="Q17" s="248"/>
      <c r="R17" s="86"/>
      <c r="U17" s="277"/>
      <c r="V17" s="277"/>
      <c r="W17" s="277"/>
    </row>
    <row r="18" spans="2:23" ht="26.1" customHeight="1" x14ac:dyDescent="0.2">
      <c r="B18" s="36"/>
      <c r="C18" s="8" t="s">
        <v>55</v>
      </c>
      <c r="D18" s="88" t="s">
        <v>86</v>
      </c>
      <c r="E18" s="195" t="s">
        <v>91</v>
      </c>
      <c r="F18" s="194"/>
      <c r="G18" s="42"/>
      <c r="H18" s="104" t="s">
        <v>37</v>
      </c>
      <c r="I18" s="109" t="s">
        <v>11</v>
      </c>
      <c r="J18" s="282" t="s">
        <v>74</v>
      </c>
      <c r="K18" s="282"/>
      <c r="L18" s="282"/>
      <c r="M18" s="282"/>
      <c r="N18" s="282"/>
      <c r="O18" s="282"/>
      <c r="P18" s="282"/>
      <c r="Q18" s="282"/>
      <c r="R18" s="86"/>
      <c r="U18" s="281"/>
      <c r="V18" s="281"/>
      <c r="W18" s="281"/>
    </row>
    <row r="19" spans="2:23" ht="15" x14ac:dyDescent="0.2">
      <c r="B19" s="36"/>
      <c r="C19" s="90" t="s">
        <v>83</v>
      </c>
      <c r="D19" s="146">
        <f>'Overview IB'!D25</f>
        <v>100</v>
      </c>
      <c r="E19" s="252" t="str">
        <f>IF('Overview IB'!E25 &gt; 0, 'Overview IB'!E25, "")</f>
        <v>Begleitgespräche zum Traumaprogramm</v>
      </c>
      <c r="F19" s="289"/>
      <c r="G19" s="43"/>
      <c r="H19" s="165">
        <v>50</v>
      </c>
      <c r="I19" s="166">
        <f>IF(H19=0,0,H19/D19)</f>
        <v>0.5</v>
      </c>
      <c r="J19" s="248"/>
      <c r="K19" s="248"/>
      <c r="L19" s="248"/>
      <c r="M19" s="248"/>
      <c r="N19" s="248"/>
      <c r="O19" s="248"/>
      <c r="P19" s="248"/>
      <c r="Q19" s="248"/>
      <c r="R19" s="86"/>
      <c r="U19" s="108"/>
      <c r="V19" s="108"/>
      <c r="W19" s="108"/>
    </row>
    <row r="20" spans="2:23" ht="30" x14ac:dyDescent="0.2">
      <c r="B20" s="36"/>
      <c r="C20" s="91" t="s">
        <v>57</v>
      </c>
      <c r="D20" s="146">
        <f>'Overview IB'!D26</f>
        <v>50</v>
      </c>
      <c r="E20" s="253"/>
      <c r="F20" s="290"/>
      <c r="G20" s="43"/>
      <c r="H20" s="165">
        <v>35</v>
      </c>
      <c r="I20" s="167">
        <f t="shared" ref="I20:I30" si="1">IF(H20=0,0,H20/D20)</f>
        <v>0.7</v>
      </c>
      <c r="J20" s="248"/>
      <c r="K20" s="248"/>
      <c r="L20" s="248"/>
      <c r="M20" s="248"/>
      <c r="N20" s="248"/>
      <c r="O20" s="248"/>
      <c r="P20" s="248"/>
      <c r="Q20" s="248"/>
      <c r="R20" s="86"/>
      <c r="U20" s="281"/>
      <c r="V20" s="281"/>
      <c r="W20" s="281"/>
    </row>
    <row r="21" spans="2:23" ht="15" x14ac:dyDescent="0.2">
      <c r="B21" s="36"/>
      <c r="C21" s="92" t="s">
        <v>71</v>
      </c>
      <c r="D21" s="146">
        <f>'Overview IB'!D27</f>
        <v>100</v>
      </c>
      <c r="E21" s="253"/>
      <c r="F21" s="290"/>
      <c r="G21" s="43"/>
      <c r="H21" s="165">
        <v>35</v>
      </c>
      <c r="I21" s="167">
        <f t="shared" si="1"/>
        <v>0.35</v>
      </c>
      <c r="J21" s="248"/>
      <c r="K21" s="248"/>
      <c r="L21" s="248"/>
      <c r="M21" s="248"/>
      <c r="N21" s="248"/>
      <c r="O21" s="248"/>
      <c r="P21" s="248"/>
      <c r="Q21" s="248"/>
      <c r="R21" s="86"/>
      <c r="U21" s="281"/>
      <c r="V21" s="281"/>
      <c r="W21" s="281"/>
    </row>
    <row r="22" spans="2:23" ht="30" x14ac:dyDescent="0.2">
      <c r="B22" s="36"/>
      <c r="C22" s="90" t="s">
        <v>84</v>
      </c>
      <c r="D22" s="146">
        <f>'Overview IB'!D28</f>
        <v>60</v>
      </c>
      <c r="E22" s="253"/>
      <c r="F22" s="290"/>
      <c r="G22" s="43"/>
      <c r="H22" s="165">
        <v>24</v>
      </c>
      <c r="I22" s="166">
        <f t="shared" si="1"/>
        <v>0.4</v>
      </c>
      <c r="J22" s="248" t="s">
        <v>146</v>
      </c>
      <c r="K22" s="248"/>
      <c r="L22" s="248"/>
      <c r="M22" s="248"/>
      <c r="N22" s="248"/>
      <c r="O22" s="248"/>
      <c r="P22" s="248"/>
      <c r="Q22" s="248"/>
      <c r="R22" s="86"/>
      <c r="U22" s="281"/>
      <c r="V22" s="281"/>
      <c r="W22" s="281"/>
    </row>
    <row r="23" spans="2:23" ht="19.899999999999999" customHeight="1" x14ac:dyDescent="0.2">
      <c r="B23" s="36"/>
      <c r="C23" s="92" t="s">
        <v>58</v>
      </c>
      <c r="D23" s="146">
        <f>'Overview IB'!D29</f>
        <v>426</v>
      </c>
      <c r="E23" s="253"/>
      <c r="F23" s="290"/>
      <c r="G23" s="43"/>
      <c r="H23" s="165">
        <v>184</v>
      </c>
      <c r="I23" s="167">
        <f t="shared" si="1"/>
        <v>0.431924882629108</v>
      </c>
      <c r="J23" s="248"/>
      <c r="K23" s="248"/>
      <c r="L23" s="248"/>
      <c r="M23" s="248"/>
      <c r="N23" s="248"/>
      <c r="O23" s="248"/>
      <c r="P23" s="248"/>
      <c r="Q23" s="248"/>
      <c r="R23" s="86"/>
      <c r="U23" s="281"/>
      <c r="V23" s="281"/>
      <c r="W23" s="281"/>
    </row>
    <row r="24" spans="2:23" ht="15" x14ac:dyDescent="0.2">
      <c r="B24" s="36"/>
      <c r="C24" s="92" t="s">
        <v>56</v>
      </c>
      <c r="D24" s="146">
        <f>'Overview IB'!D30</f>
        <v>960</v>
      </c>
      <c r="E24" s="254"/>
      <c r="F24" s="291"/>
      <c r="G24" s="40"/>
      <c r="H24" s="102">
        <v>258</v>
      </c>
      <c r="I24" s="167">
        <f t="shared" si="1"/>
        <v>0.26874999999999999</v>
      </c>
      <c r="J24" s="248"/>
      <c r="K24" s="248"/>
      <c r="L24" s="248"/>
      <c r="M24" s="248"/>
      <c r="N24" s="248"/>
      <c r="O24" s="248"/>
      <c r="P24" s="248"/>
      <c r="Q24" s="248"/>
      <c r="R24" s="86"/>
      <c r="U24" s="281"/>
      <c r="V24" s="281"/>
      <c r="W24" s="281"/>
    </row>
    <row r="25" spans="2:23" ht="17.649999999999999" customHeight="1" x14ac:dyDescent="0.2">
      <c r="B25" s="36"/>
      <c r="C25" s="90" t="s">
        <v>59</v>
      </c>
      <c r="D25" s="146">
        <f>'Overview IB'!D31</f>
        <v>10</v>
      </c>
      <c r="E25" s="267" t="str">
        <f>IF('Overview IB'!E31 &gt; 0, 'Overview IB'!E31, "")</f>
        <v>TRT Family</v>
      </c>
      <c r="F25" s="293"/>
      <c r="G25" s="43"/>
      <c r="H25" s="165">
        <v>8</v>
      </c>
      <c r="I25" s="166">
        <f t="shared" si="1"/>
        <v>0.8</v>
      </c>
      <c r="J25" s="248"/>
      <c r="K25" s="248"/>
      <c r="L25" s="248"/>
      <c r="M25" s="248"/>
      <c r="N25" s="248"/>
      <c r="O25" s="248"/>
      <c r="P25" s="248"/>
      <c r="Q25" s="248"/>
      <c r="R25" s="86"/>
      <c r="U25" s="281"/>
      <c r="V25" s="281"/>
      <c r="W25" s="281"/>
    </row>
    <row r="26" spans="2:23" ht="15" x14ac:dyDescent="0.2">
      <c r="B26" s="36"/>
      <c r="C26" s="91" t="s">
        <v>61</v>
      </c>
      <c r="D26" s="146">
        <f>'Overview IB'!D32</f>
        <v>30</v>
      </c>
      <c r="E26" s="268"/>
      <c r="F26" s="294"/>
      <c r="G26" s="40"/>
      <c r="H26" s="102">
        <v>50</v>
      </c>
      <c r="I26" s="167">
        <f t="shared" si="1"/>
        <v>1.6666666666666667</v>
      </c>
      <c r="J26" s="248"/>
      <c r="K26" s="248"/>
      <c r="L26" s="248"/>
      <c r="M26" s="248"/>
      <c r="N26" s="248"/>
      <c r="O26" s="248"/>
      <c r="P26" s="248"/>
      <c r="Q26" s="248"/>
      <c r="R26" s="86"/>
      <c r="U26" s="281"/>
      <c r="V26" s="281"/>
      <c r="W26" s="281"/>
    </row>
    <row r="27" spans="2:23" ht="15" x14ac:dyDescent="0.2">
      <c r="B27" s="36"/>
      <c r="C27" s="91" t="s">
        <v>60</v>
      </c>
      <c r="D27" s="146">
        <f>'Overview IB'!D33</f>
        <v>120</v>
      </c>
      <c r="E27" s="268"/>
      <c r="F27" s="294"/>
      <c r="G27" s="43"/>
      <c r="H27" s="165">
        <v>178</v>
      </c>
      <c r="I27" s="167">
        <f t="shared" si="1"/>
        <v>1.4833333333333334</v>
      </c>
      <c r="J27" s="248"/>
      <c r="K27" s="248"/>
      <c r="L27" s="248"/>
      <c r="M27" s="248"/>
      <c r="N27" s="248"/>
      <c r="O27" s="248"/>
      <c r="P27" s="248"/>
      <c r="Q27" s="248"/>
      <c r="R27" s="86"/>
      <c r="U27" s="281"/>
      <c r="V27" s="281"/>
      <c r="W27" s="281"/>
    </row>
    <row r="28" spans="2:23" ht="15" x14ac:dyDescent="0.2">
      <c r="B28" s="36"/>
      <c r="C28" s="93" t="s">
        <v>14</v>
      </c>
      <c r="D28" s="146">
        <f>'Overview IB'!D34</f>
        <v>48</v>
      </c>
      <c r="E28" s="268"/>
      <c r="F28" s="294"/>
      <c r="G28" s="43"/>
      <c r="H28" s="165">
        <v>89</v>
      </c>
      <c r="I28" s="167">
        <f t="shared" si="1"/>
        <v>1.8541666666666667</v>
      </c>
      <c r="J28" s="248"/>
      <c r="K28" s="248"/>
      <c r="L28" s="248"/>
      <c r="M28" s="248"/>
      <c r="N28" s="248"/>
      <c r="O28" s="248"/>
      <c r="P28" s="248"/>
      <c r="Q28" s="248"/>
      <c r="R28" s="86"/>
      <c r="U28" s="281"/>
      <c r="V28" s="281"/>
      <c r="W28" s="281"/>
    </row>
    <row r="29" spans="2:23" ht="15" x14ac:dyDescent="0.2">
      <c r="B29" s="36"/>
      <c r="C29" s="92" t="s">
        <v>75</v>
      </c>
      <c r="D29" s="146">
        <f>'Overview IB'!D35</f>
        <v>6</v>
      </c>
      <c r="E29" s="268"/>
      <c r="F29" s="294"/>
      <c r="G29" s="40"/>
      <c r="H29" s="102">
        <v>13</v>
      </c>
      <c r="I29" s="167">
        <f t="shared" si="1"/>
        <v>2.1666666666666665</v>
      </c>
      <c r="J29" s="248"/>
      <c r="K29" s="248"/>
      <c r="L29" s="248"/>
      <c r="M29" s="248"/>
      <c r="N29" s="248"/>
      <c r="O29" s="248"/>
      <c r="P29" s="248"/>
      <c r="Q29" s="248"/>
      <c r="R29" s="86"/>
      <c r="U29" s="281"/>
      <c r="V29" s="281"/>
      <c r="W29" s="281"/>
    </row>
    <row r="30" spans="2:23" ht="15" x14ac:dyDescent="0.2">
      <c r="B30" s="36"/>
      <c r="C30" s="92" t="s">
        <v>76</v>
      </c>
      <c r="D30" s="146">
        <f>'Overview IB'!D36</f>
        <v>0</v>
      </c>
      <c r="E30" s="269"/>
      <c r="F30" s="295"/>
      <c r="G30" s="43"/>
      <c r="H30" s="165"/>
      <c r="I30" s="167">
        <f t="shared" si="1"/>
        <v>0</v>
      </c>
      <c r="J30" s="248"/>
      <c r="K30" s="248"/>
      <c r="L30" s="248"/>
      <c r="M30" s="248"/>
      <c r="N30" s="248"/>
      <c r="O30" s="248"/>
      <c r="P30" s="248"/>
      <c r="Q30" s="248"/>
      <c r="R30" s="86"/>
      <c r="U30" s="281"/>
      <c r="V30" s="281"/>
      <c r="W30" s="281"/>
    </row>
    <row r="31" spans="2:23" ht="26.1" customHeight="1" x14ac:dyDescent="0.2">
      <c r="B31" s="36"/>
      <c r="C31" s="8" t="s">
        <v>62</v>
      </c>
      <c r="D31" s="88" t="s">
        <v>86</v>
      </c>
      <c r="E31" s="195" t="s">
        <v>91</v>
      </c>
      <c r="F31" s="194"/>
      <c r="G31" s="42"/>
      <c r="H31" s="104" t="s">
        <v>37</v>
      </c>
      <c r="I31" s="109" t="s">
        <v>11</v>
      </c>
      <c r="J31" s="282" t="s">
        <v>74</v>
      </c>
      <c r="K31" s="282"/>
      <c r="L31" s="282"/>
      <c r="M31" s="282"/>
      <c r="N31" s="282"/>
      <c r="O31" s="282"/>
      <c r="P31" s="282"/>
      <c r="Q31" s="282"/>
      <c r="R31" s="86"/>
      <c r="U31" s="283"/>
      <c r="V31" s="283"/>
      <c r="W31" s="283"/>
    </row>
    <row r="32" spans="2:23" ht="13.15" customHeight="1" x14ac:dyDescent="0.2">
      <c r="B32" s="36"/>
      <c r="C32" s="90" t="s">
        <v>79</v>
      </c>
      <c r="D32" s="146">
        <f>'Overview IB'!D38</f>
        <v>0</v>
      </c>
      <c r="E32" s="252" t="str">
        <f>IF('Overview IB'!E38 &gt; 0, 'Overview IB'!E38, "")</f>
        <v/>
      </c>
      <c r="F32" s="289"/>
      <c r="G32" s="44"/>
      <c r="H32" s="45">
        <f>SUM(H33:H37)</f>
        <v>0</v>
      </c>
      <c r="I32" s="46">
        <f>IF(H32=0,0,H32/D32)</f>
        <v>0</v>
      </c>
      <c r="J32" s="248"/>
      <c r="K32" s="248"/>
      <c r="L32" s="248"/>
      <c r="M32" s="248"/>
      <c r="N32" s="248"/>
      <c r="O32" s="248"/>
      <c r="P32" s="248"/>
      <c r="Q32" s="248"/>
      <c r="R32" s="86"/>
      <c r="U32" s="277"/>
      <c r="V32" s="277"/>
      <c r="W32" s="277"/>
    </row>
    <row r="33" spans="2:23" ht="15" x14ac:dyDescent="0.2">
      <c r="B33" s="36"/>
      <c r="C33" s="92" t="s">
        <v>47</v>
      </c>
      <c r="D33" s="146">
        <f>'Overview IB'!D39</f>
        <v>0</v>
      </c>
      <c r="E33" s="253"/>
      <c r="F33" s="290"/>
      <c r="G33" s="44"/>
      <c r="H33" s="111"/>
      <c r="I33" s="48">
        <f t="shared" ref="I33:I45" si="2">IF(H33=0,0,H33/D33)</f>
        <v>0</v>
      </c>
      <c r="J33" s="248"/>
      <c r="K33" s="248"/>
      <c r="L33" s="248"/>
      <c r="M33" s="248"/>
      <c r="N33" s="248"/>
      <c r="O33" s="248"/>
      <c r="P33" s="248"/>
      <c r="Q33" s="248"/>
      <c r="R33" s="86"/>
      <c r="U33" s="277"/>
      <c r="V33" s="277"/>
      <c r="W33" s="277"/>
    </row>
    <row r="34" spans="2:23" ht="15" x14ac:dyDescent="0.2">
      <c r="B34" s="36"/>
      <c r="C34" s="92" t="s">
        <v>48</v>
      </c>
      <c r="D34" s="146">
        <f>'Overview IB'!D40</f>
        <v>0</v>
      </c>
      <c r="E34" s="253"/>
      <c r="F34" s="290"/>
      <c r="G34" s="41"/>
      <c r="H34" s="47"/>
      <c r="I34" s="48">
        <f t="shared" si="2"/>
        <v>0</v>
      </c>
      <c r="J34" s="248"/>
      <c r="K34" s="248"/>
      <c r="L34" s="248"/>
      <c r="M34" s="248"/>
      <c r="N34" s="248"/>
      <c r="O34" s="248"/>
      <c r="P34" s="248"/>
      <c r="Q34" s="248"/>
      <c r="R34" s="86"/>
      <c r="U34" s="277"/>
      <c r="V34" s="277"/>
      <c r="W34" s="277"/>
    </row>
    <row r="35" spans="2:23" ht="15" x14ac:dyDescent="0.2">
      <c r="B35" s="36"/>
      <c r="C35" s="92" t="s">
        <v>49</v>
      </c>
      <c r="D35" s="146">
        <f>'Overview IB'!D41</f>
        <v>0</v>
      </c>
      <c r="E35" s="253"/>
      <c r="F35" s="290"/>
      <c r="G35" s="41"/>
      <c r="H35" s="47"/>
      <c r="I35" s="48">
        <f t="shared" si="2"/>
        <v>0</v>
      </c>
      <c r="J35" s="248"/>
      <c r="K35" s="248"/>
      <c r="L35" s="248"/>
      <c r="M35" s="248"/>
      <c r="N35" s="248"/>
      <c r="O35" s="248"/>
      <c r="P35" s="248"/>
      <c r="Q35" s="248"/>
      <c r="R35" s="86"/>
      <c r="U35" s="277"/>
      <c r="V35" s="277"/>
      <c r="W35" s="277"/>
    </row>
    <row r="36" spans="2:23" ht="15" x14ac:dyDescent="0.2">
      <c r="B36" s="36"/>
      <c r="C36" s="92" t="s">
        <v>50</v>
      </c>
      <c r="D36" s="146">
        <f>'Overview IB'!D42</f>
        <v>0</v>
      </c>
      <c r="E36" s="253"/>
      <c r="F36" s="290"/>
      <c r="G36" s="41"/>
      <c r="H36" s="47"/>
      <c r="I36" s="48">
        <f t="shared" si="2"/>
        <v>0</v>
      </c>
      <c r="J36" s="248"/>
      <c r="K36" s="248"/>
      <c r="L36" s="248"/>
      <c r="M36" s="248"/>
      <c r="N36" s="248"/>
      <c r="O36" s="248"/>
      <c r="P36" s="248"/>
      <c r="Q36" s="248"/>
      <c r="R36" s="86"/>
      <c r="U36" s="277"/>
      <c r="V36" s="277"/>
      <c r="W36" s="277"/>
    </row>
    <row r="37" spans="2:23" ht="15" x14ac:dyDescent="0.2">
      <c r="B37" s="36"/>
      <c r="C37" s="92" t="s">
        <v>51</v>
      </c>
      <c r="D37" s="146">
        <f>'Overview IB'!D43</f>
        <v>0</v>
      </c>
      <c r="E37" s="253"/>
      <c r="F37" s="290"/>
      <c r="G37" s="41"/>
      <c r="H37" s="47"/>
      <c r="I37" s="48">
        <f t="shared" si="2"/>
        <v>0</v>
      </c>
      <c r="J37" s="248"/>
      <c r="K37" s="248"/>
      <c r="L37" s="248"/>
      <c r="M37" s="248"/>
      <c r="N37" s="248"/>
      <c r="O37" s="248"/>
      <c r="P37" s="248"/>
      <c r="Q37" s="248"/>
      <c r="R37" s="86"/>
      <c r="U37" s="277"/>
      <c r="V37" s="277"/>
      <c r="W37" s="277"/>
    </row>
    <row r="38" spans="2:23" ht="15" x14ac:dyDescent="0.2">
      <c r="B38" s="36"/>
      <c r="C38" s="90" t="s">
        <v>80</v>
      </c>
      <c r="D38" s="146">
        <f>'Overview IB'!D44</f>
        <v>0</v>
      </c>
      <c r="E38" s="253"/>
      <c r="F38" s="290"/>
      <c r="G38" s="41"/>
      <c r="H38" s="47"/>
      <c r="I38" s="46">
        <f t="shared" si="2"/>
        <v>0</v>
      </c>
      <c r="J38" s="248"/>
      <c r="K38" s="248"/>
      <c r="L38" s="248"/>
      <c r="M38" s="248"/>
      <c r="N38" s="248"/>
      <c r="O38" s="248"/>
      <c r="P38" s="248"/>
      <c r="Q38" s="248"/>
      <c r="R38" s="86"/>
      <c r="U38" s="277"/>
      <c r="V38" s="277"/>
      <c r="W38" s="277"/>
    </row>
    <row r="39" spans="2:23" ht="15" x14ac:dyDescent="0.2">
      <c r="B39" s="36"/>
      <c r="C39" s="90" t="s">
        <v>81</v>
      </c>
      <c r="D39" s="146">
        <f>'Overview IB'!D45</f>
        <v>0</v>
      </c>
      <c r="E39" s="253"/>
      <c r="F39" s="290"/>
      <c r="G39" s="41"/>
      <c r="H39" s="47"/>
      <c r="I39" s="46">
        <f t="shared" si="2"/>
        <v>0</v>
      </c>
      <c r="J39" s="248"/>
      <c r="K39" s="248"/>
      <c r="L39" s="248"/>
      <c r="M39" s="248"/>
      <c r="N39" s="248"/>
      <c r="O39" s="248"/>
      <c r="P39" s="248"/>
      <c r="Q39" s="248"/>
      <c r="R39" s="86"/>
      <c r="U39" s="277"/>
      <c r="V39" s="277"/>
      <c r="W39" s="277"/>
    </row>
    <row r="40" spans="2:23" ht="15" x14ac:dyDescent="0.2">
      <c r="B40" s="36"/>
      <c r="C40" s="90" t="s">
        <v>30</v>
      </c>
      <c r="D40" s="146">
        <f>'Overview IB'!D46</f>
        <v>0</v>
      </c>
      <c r="E40" s="253"/>
      <c r="F40" s="290"/>
      <c r="G40" s="41"/>
      <c r="H40" s="47"/>
      <c r="I40" s="46">
        <f t="shared" si="2"/>
        <v>0</v>
      </c>
      <c r="J40" s="248"/>
      <c r="K40" s="248"/>
      <c r="L40" s="248"/>
      <c r="M40" s="248"/>
      <c r="N40" s="248"/>
      <c r="O40" s="248"/>
      <c r="P40" s="248"/>
      <c r="Q40" s="248"/>
      <c r="R40" s="86"/>
      <c r="U40" s="277"/>
      <c r="V40" s="277"/>
      <c r="W40" s="277"/>
    </row>
    <row r="41" spans="2:23" ht="30" x14ac:dyDescent="0.2">
      <c r="B41" s="36"/>
      <c r="C41" s="90" t="s">
        <v>126</v>
      </c>
      <c r="D41" s="146">
        <f>'Overview IB'!D47</f>
        <v>0</v>
      </c>
      <c r="E41" s="253"/>
      <c r="F41" s="290"/>
      <c r="G41" s="41"/>
      <c r="H41" s="47"/>
      <c r="I41" s="46">
        <f t="shared" si="2"/>
        <v>0</v>
      </c>
      <c r="J41" s="248"/>
      <c r="K41" s="248"/>
      <c r="L41" s="248"/>
      <c r="M41" s="248"/>
      <c r="N41" s="248"/>
      <c r="O41" s="248"/>
      <c r="P41" s="248"/>
      <c r="Q41" s="248"/>
      <c r="R41" s="86"/>
      <c r="U41" s="277"/>
      <c r="V41" s="277"/>
      <c r="W41" s="277"/>
    </row>
    <row r="42" spans="2:23" ht="30" x14ac:dyDescent="0.2">
      <c r="B42" s="36"/>
      <c r="C42" s="92" t="s">
        <v>52</v>
      </c>
      <c r="D42" s="146">
        <f>'Overview IB'!D48</f>
        <v>0</v>
      </c>
      <c r="E42" s="253"/>
      <c r="F42" s="290"/>
      <c r="G42" s="41"/>
      <c r="H42" s="47"/>
      <c r="I42" s="48">
        <f t="shared" si="2"/>
        <v>0</v>
      </c>
      <c r="J42" s="248"/>
      <c r="K42" s="248"/>
      <c r="L42" s="248"/>
      <c r="M42" s="248"/>
      <c r="N42" s="248"/>
      <c r="O42" s="248"/>
      <c r="P42" s="248"/>
      <c r="Q42" s="248"/>
      <c r="R42" s="86"/>
      <c r="U42" s="277"/>
      <c r="V42" s="277"/>
      <c r="W42" s="277"/>
    </row>
    <row r="43" spans="2:23" ht="15" x14ac:dyDescent="0.2">
      <c r="B43" s="36"/>
      <c r="C43" s="92" t="s">
        <v>69</v>
      </c>
      <c r="D43" s="146">
        <f>'Overview IB'!D49</f>
        <v>0</v>
      </c>
      <c r="E43" s="254"/>
      <c r="F43" s="291"/>
      <c r="G43" s="41"/>
      <c r="H43" s="47"/>
      <c r="I43" s="48">
        <f t="shared" si="2"/>
        <v>0</v>
      </c>
      <c r="J43" s="248"/>
      <c r="K43" s="248"/>
      <c r="L43" s="248"/>
      <c r="M43" s="248"/>
      <c r="N43" s="248"/>
      <c r="O43" s="248"/>
      <c r="P43" s="248"/>
      <c r="Q43" s="248"/>
      <c r="R43" s="86"/>
      <c r="U43" s="277"/>
      <c r="V43" s="277"/>
      <c r="W43" s="277"/>
    </row>
    <row r="44" spans="2:23" ht="15" x14ac:dyDescent="0.2">
      <c r="B44" s="36"/>
      <c r="C44" s="90" t="s">
        <v>53</v>
      </c>
      <c r="D44" s="146">
        <f>'Overview IB'!D50</f>
        <v>0</v>
      </c>
      <c r="E44" s="252" t="str">
        <f>IF('Overview IB'!E50 &gt; 0, 'Overview IB'!E50, "")</f>
        <v/>
      </c>
      <c r="F44" s="289"/>
      <c r="G44" s="41"/>
      <c r="H44" s="47"/>
      <c r="I44" s="46">
        <f t="shared" si="2"/>
        <v>0</v>
      </c>
      <c r="J44" s="248"/>
      <c r="K44" s="248"/>
      <c r="L44" s="248"/>
      <c r="M44" s="248"/>
      <c r="N44" s="248"/>
      <c r="O44" s="248"/>
      <c r="P44" s="248"/>
      <c r="Q44" s="248"/>
      <c r="R44" s="86"/>
      <c r="U44" s="105"/>
      <c r="V44" s="105"/>
      <c r="W44" s="105"/>
    </row>
    <row r="45" spans="2:23" ht="16.899999999999999" customHeight="1" x14ac:dyDescent="0.2">
      <c r="B45" s="36"/>
      <c r="C45" s="92" t="s">
        <v>97</v>
      </c>
      <c r="D45" s="146">
        <f>'Overview IB'!D51</f>
        <v>0</v>
      </c>
      <c r="E45" s="253"/>
      <c r="F45" s="291"/>
      <c r="G45" s="41"/>
      <c r="H45" s="47"/>
      <c r="I45" s="48">
        <f t="shared" si="2"/>
        <v>0</v>
      </c>
      <c r="J45" s="248"/>
      <c r="K45" s="248"/>
      <c r="L45" s="248"/>
      <c r="M45" s="248"/>
      <c r="N45" s="248"/>
      <c r="O45" s="248"/>
      <c r="P45" s="248"/>
      <c r="Q45" s="248"/>
      <c r="R45" s="86"/>
      <c r="U45" s="277"/>
      <c r="V45" s="277"/>
      <c r="W45" s="277"/>
    </row>
    <row r="46" spans="2:23" ht="26.1" customHeight="1" x14ac:dyDescent="0.2">
      <c r="B46" s="36"/>
      <c r="C46" s="8" t="s">
        <v>64</v>
      </c>
      <c r="D46" s="88" t="s">
        <v>86</v>
      </c>
      <c r="E46" s="195" t="s">
        <v>91</v>
      </c>
      <c r="F46" s="194"/>
      <c r="G46" s="42"/>
      <c r="H46" s="104" t="s">
        <v>37</v>
      </c>
      <c r="I46" s="109" t="s">
        <v>11</v>
      </c>
      <c r="J46" s="270" t="s">
        <v>74</v>
      </c>
      <c r="K46" s="271"/>
      <c r="L46" s="271"/>
      <c r="M46" s="271"/>
      <c r="N46" s="271"/>
      <c r="O46" s="271"/>
      <c r="P46" s="271"/>
      <c r="Q46" s="271"/>
      <c r="R46" s="86"/>
      <c r="U46" s="281"/>
      <c r="V46" s="281"/>
      <c r="W46" s="281"/>
    </row>
    <row r="47" spans="2:23" ht="14.65" customHeight="1" x14ac:dyDescent="0.2">
      <c r="B47" s="36"/>
      <c r="C47" s="90" t="s">
        <v>54</v>
      </c>
      <c r="D47" s="146">
        <f>'Overview IB'!D53</f>
        <v>0</v>
      </c>
      <c r="E47" s="255" t="str">
        <f>IF('Overview IB'!E53 &gt; 0, 'Overview IB'!E53, "")</f>
        <v/>
      </c>
      <c r="F47" s="292"/>
      <c r="G47" s="43"/>
      <c r="H47" s="111"/>
      <c r="I47" s="46">
        <f>IF(H47=0,0,H47/D47)</f>
        <v>0</v>
      </c>
      <c r="J47" s="278"/>
      <c r="K47" s="279"/>
      <c r="L47" s="279"/>
      <c r="M47" s="279"/>
      <c r="N47" s="279"/>
      <c r="O47" s="279"/>
      <c r="P47" s="279"/>
      <c r="Q47" s="279"/>
      <c r="R47" s="86"/>
      <c r="U47" s="281"/>
      <c r="V47" s="281"/>
      <c r="W47" s="281"/>
    </row>
    <row r="48" spans="2:23" ht="15" x14ac:dyDescent="0.2">
      <c r="B48" s="36"/>
      <c r="C48" s="89" t="s">
        <v>82</v>
      </c>
      <c r="D48" s="146">
        <f>'Overview IB'!D54</f>
        <v>0</v>
      </c>
      <c r="E48" s="252" t="str">
        <f>IF('Overview IB'!E54 &gt; 0, 'Overview IB'!E54, "")</f>
        <v/>
      </c>
      <c r="F48" s="289"/>
      <c r="G48" s="43"/>
      <c r="H48" s="47"/>
      <c r="I48" s="46">
        <f t="shared" ref="I48:I55" si="3">IF(H48=0,0,H48/D48)</f>
        <v>0</v>
      </c>
      <c r="J48" s="248"/>
      <c r="K48" s="248"/>
      <c r="L48" s="248"/>
      <c r="M48" s="248"/>
      <c r="N48" s="248"/>
      <c r="O48" s="248"/>
      <c r="P48" s="248"/>
      <c r="Q48" s="248"/>
      <c r="R48" s="86"/>
      <c r="U48" s="281"/>
      <c r="V48" s="281"/>
      <c r="W48" s="281"/>
    </row>
    <row r="49" spans="2:23" ht="13.15" customHeight="1" x14ac:dyDescent="0.2">
      <c r="B49" s="36"/>
      <c r="C49" s="92" t="s">
        <v>77</v>
      </c>
      <c r="D49" s="146">
        <f>'Overview IB'!D55</f>
        <v>0</v>
      </c>
      <c r="E49" s="254"/>
      <c r="F49" s="291"/>
      <c r="G49" s="43"/>
      <c r="H49" s="47"/>
      <c r="I49" s="48">
        <f t="shared" si="3"/>
        <v>0</v>
      </c>
      <c r="J49" s="248"/>
      <c r="K49" s="248"/>
      <c r="L49" s="248"/>
      <c r="M49" s="248"/>
      <c r="N49" s="248"/>
      <c r="O49" s="248"/>
      <c r="P49" s="248"/>
      <c r="Q49" s="248"/>
      <c r="R49" s="86"/>
      <c r="U49" s="277"/>
      <c r="V49" s="277"/>
      <c r="W49" s="277"/>
    </row>
    <row r="50" spans="2:23" ht="14.65" customHeight="1" x14ac:dyDescent="0.2">
      <c r="B50" s="36"/>
      <c r="C50" s="89" t="s">
        <v>63</v>
      </c>
      <c r="D50" s="146">
        <f>'Overview IB'!D56</f>
        <v>0</v>
      </c>
      <c r="E50" s="252" t="str">
        <f>IF('Overview IB'!E56 &gt; 0, 'Overview IB'!E56, "")</f>
        <v/>
      </c>
      <c r="F50" s="289"/>
      <c r="G50" s="43"/>
      <c r="H50" s="47"/>
      <c r="I50" s="46">
        <f t="shared" si="3"/>
        <v>0</v>
      </c>
      <c r="J50" s="248"/>
      <c r="K50" s="248"/>
      <c r="L50" s="248"/>
      <c r="M50" s="248"/>
      <c r="N50" s="248"/>
      <c r="O50" s="248"/>
      <c r="P50" s="248"/>
      <c r="Q50" s="248"/>
      <c r="R50" s="86"/>
      <c r="U50" s="277"/>
      <c r="V50" s="277"/>
      <c r="W50" s="277"/>
    </row>
    <row r="51" spans="2:23" ht="13.15" customHeight="1" x14ac:dyDescent="0.2">
      <c r="B51" s="36"/>
      <c r="C51" s="92" t="s">
        <v>123</v>
      </c>
      <c r="D51" s="146">
        <f>'Overview IB'!D57</f>
        <v>0</v>
      </c>
      <c r="E51" s="253"/>
      <c r="F51" s="290"/>
      <c r="G51" s="43"/>
      <c r="H51" s="47"/>
      <c r="I51" s="48">
        <f t="shared" si="3"/>
        <v>0</v>
      </c>
      <c r="J51" s="248"/>
      <c r="K51" s="248"/>
      <c r="L51" s="248"/>
      <c r="M51" s="248"/>
      <c r="N51" s="248"/>
      <c r="O51" s="248"/>
      <c r="P51" s="248"/>
      <c r="Q51" s="248"/>
      <c r="R51" s="86"/>
      <c r="U51" s="277"/>
      <c r="V51" s="277"/>
      <c r="W51" s="277"/>
    </row>
    <row r="52" spans="2:23" ht="14.65" customHeight="1" x14ac:dyDescent="0.2">
      <c r="B52" s="36"/>
      <c r="C52" s="92" t="s">
        <v>78</v>
      </c>
      <c r="D52" s="146">
        <f>'Overview IB'!D58</f>
        <v>0</v>
      </c>
      <c r="E52" s="254"/>
      <c r="F52" s="291"/>
      <c r="G52" s="43"/>
      <c r="H52" s="47"/>
      <c r="I52" s="48">
        <f t="shared" si="3"/>
        <v>0</v>
      </c>
      <c r="J52" s="248"/>
      <c r="K52" s="248"/>
      <c r="L52" s="248"/>
      <c r="M52" s="248"/>
      <c r="N52" s="248"/>
      <c r="O52" s="248"/>
      <c r="P52" s="248"/>
      <c r="Q52" s="248"/>
      <c r="R52" s="86"/>
      <c r="U52" s="277"/>
      <c r="V52" s="277"/>
      <c r="W52" s="277"/>
    </row>
    <row r="53" spans="2:23" ht="13.15" customHeight="1" x14ac:dyDescent="0.2">
      <c r="B53" s="36"/>
      <c r="C53" s="94" t="s">
        <v>88</v>
      </c>
      <c r="D53" s="146">
        <f>'Overview IB'!D59</f>
        <v>1000</v>
      </c>
      <c r="E53" s="252" t="str">
        <f>IF('Overview IB'!E59 &gt; 0, 'Overview IB'!E59, "")</f>
        <v/>
      </c>
      <c r="F53" s="289"/>
      <c r="G53" s="43"/>
      <c r="H53" s="47">
        <v>500</v>
      </c>
      <c r="I53" s="46">
        <f t="shared" si="3"/>
        <v>0.5</v>
      </c>
      <c r="J53" s="248"/>
      <c r="K53" s="248"/>
      <c r="L53" s="248"/>
      <c r="M53" s="248"/>
      <c r="N53" s="248"/>
      <c r="O53" s="248"/>
      <c r="P53" s="248"/>
      <c r="Q53" s="248"/>
      <c r="R53" s="86"/>
      <c r="U53" s="277"/>
      <c r="V53" s="277"/>
      <c r="W53" s="277"/>
    </row>
    <row r="54" spans="2:23" ht="15" x14ac:dyDescent="0.2">
      <c r="B54" s="36"/>
      <c r="C54" s="103" t="s">
        <v>89</v>
      </c>
      <c r="D54" s="146">
        <f>'Overview IB'!D60</f>
        <v>1000</v>
      </c>
      <c r="E54" s="253"/>
      <c r="F54" s="290"/>
      <c r="G54" s="43"/>
      <c r="H54" s="47">
        <v>500</v>
      </c>
      <c r="I54" s="48">
        <f t="shared" si="3"/>
        <v>0.5</v>
      </c>
      <c r="J54" s="248"/>
      <c r="K54" s="248"/>
      <c r="L54" s="248"/>
      <c r="M54" s="248"/>
      <c r="N54" s="248"/>
      <c r="O54" s="248"/>
      <c r="P54" s="248"/>
      <c r="Q54" s="248"/>
      <c r="R54" s="86"/>
      <c r="U54" s="277"/>
      <c r="V54" s="277"/>
      <c r="W54" s="277"/>
    </row>
    <row r="55" spans="2:23" ht="15" x14ac:dyDescent="0.2">
      <c r="B55" s="36"/>
      <c r="C55" s="103" t="s">
        <v>90</v>
      </c>
      <c r="D55" s="146">
        <f>'Overview IB'!D61</f>
        <v>0</v>
      </c>
      <c r="E55" s="254"/>
      <c r="F55" s="291"/>
      <c r="G55" s="43"/>
      <c r="H55" s="47"/>
      <c r="I55" s="48">
        <f t="shared" si="3"/>
        <v>0</v>
      </c>
      <c r="J55" s="248"/>
      <c r="K55" s="248"/>
      <c r="L55" s="248"/>
      <c r="M55" s="248"/>
      <c r="N55" s="248"/>
      <c r="O55" s="248"/>
      <c r="P55" s="248"/>
      <c r="Q55" s="248"/>
      <c r="R55" s="86"/>
      <c r="U55" s="280"/>
      <c r="V55" s="280"/>
      <c r="W55" s="280"/>
    </row>
    <row r="56" spans="2:23" ht="13.15" customHeight="1" x14ac:dyDescent="0.2">
      <c r="B56" s="264"/>
      <c r="C56" s="265"/>
      <c r="D56" s="164"/>
      <c r="E56" s="49"/>
      <c r="F56" s="50"/>
      <c r="G56" s="50"/>
      <c r="H56" s="66"/>
      <c r="I56" s="51"/>
      <c r="J56" s="52"/>
      <c r="K56" s="52"/>
      <c r="L56" s="52"/>
      <c r="M56" s="106"/>
      <c r="N56" s="52"/>
      <c r="O56" s="52"/>
      <c r="P56" s="287"/>
      <c r="Q56" s="287"/>
      <c r="R56" s="288"/>
      <c r="U56" s="105"/>
      <c r="V56" s="105"/>
      <c r="W56" s="105"/>
    </row>
    <row r="57" spans="2:23" ht="27.6" customHeight="1" x14ac:dyDescent="0.2">
      <c r="B57" s="36"/>
      <c r="C57" s="184" t="s">
        <v>38</v>
      </c>
      <c r="D57" s="185"/>
      <c r="E57" s="185"/>
      <c r="F57" s="185"/>
      <c r="G57" s="37"/>
      <c r="H57" s="262" t="s">
        <v>37</v>
      </c>
      <c r="I57" s="263"/>
      <c r="J57" s="270" t="s">
        <v>74</v>
      </c>
      <c r="K57" s="271"/>
      <c r="L57" s="271"/>
      <c r="M57" s="271"/>
      <c r="N57" s="271"/>
      <c r="O57" s="271"/>
      <c r="P57" s="271"/>
      <c r="Q57" s="271"/>
      <c r="R57" s="86"/>
      <c r="U57" s="105"/>
      <c r="V57" s="105"/>
      <c r="W57" s="105"/>
    </row>
    <row r="58" spans="2:23" ht="13.15" customHeight="1" x14ac:dyDescent="0.2">
      <c r="B58" s="36"/>
      <c r="C58" s="181" t="s">
        <v>125</v>
      </c>
      <c r="D58" s="182"/>
      <c r="E58" s="182"/>
      <c r="F58" s="182"/>
      <c r="G58" s="37"/>
      <c r="H58" s="249">
        <v>40</v>
      </c>
      <c r="I58" s="250"/>
      <c r="J58" s="278" t="s">
        <v>172</v>
      </c>
      <c r="K58" s="279"/>
      <c r="L58" s="279"/>
      <c r="M58" s="279"/>
      <c r="N58" s="279"/>
      <c r="O58" s="279"/>
      <c r="P58" s="279"/>
      <c r="Q58" s="279"/>
      <c r="R58" s="86"/>
      <c r="U58" s="277"/>
      <c r="V58" s="277"/>
      <c r="W58" s="277"/>
    </row>
    <row r="59" spans="2:23" ht="15" x14ac:dyDescent="0.2">
      <c r="B59" s="36"/>
      <c r="C59" s="190" t="s">
        <v>44</v>
      </c>
      <c r="D59" s="191"/>
      <c r="E59" s="191"/>
      <c r="F59" s="191"/>
      <c r="G59" s="37"/>
      <c r="H59" s="249"/>
      <c r="I59" s="250"/>
      <c r="J59" s="248"/>
      <c r="K59" s="248"/>
      <c r="L59" s="248"/>
      <c r="M59" s="248"/>
      <c r="N59" s="248"/>
      <c r="O59" s="248"/>
      <c r="P59" s="248"/>
      <c r="Q59" s="248"/>
      <c r="R59" s="86"/>
      <c r="U59" s="105"/>
      <c r="V59" s="105"/>
      <c r="W59" s="105"/>
    </row>
    <row r="60" spans="2:23" ht="15" x14ac:dyDescent="0.2">
      <c r="B60" s="36"/>
      <c r="C60" s="190" t="s">
        <v>43</v>
      </c>
      <c r="D60" s="191"/>
      <c r="E60" s="191"/>
      <c r="F60" s="191"/>
      <c r="G60" s="37"/>
      <c r="H60" s="249">
        <v>216</v>
      </c>
      <c r="I60" s="250"/>
      <c r="J60" s="248"/>
      <c r="K60" s="248"/>
      <c r="L60" s="248"/>
      <c r="M60" s="248"/>
      <c r="N60" s="248"/>
      <c r="O60" s="248"/>
      <c r="P60" s="248"/>
      <c r="Q60" s="248"/>
      <c r="R60" s="86"/>
      <c r="U60" s="105"/>
      <c r="V60" s="105"/>
      <c r="W60" s="105"/>
    </row>
    <row r="61" spans="2:23" ht="15" x14ac:dyDescent="0.2">
      <c r="B61" s="36"/>
      <c r="C61" s="190" t="s">
        <v>128</v>
      </c>
      <c r="D61" s="191"/>
      <c r="E61" s="191"/>
      <c r="F61" s="191"/>
      <c r="G61" s="37"/>
      <c r="H61" s="260">
        <v>89</v>
      </c>
      <c r="I61" s="250"/>
      <c r="J61" s="257"/>
      <c r="K61" s="258"/>
      <c r="L61" s="258"/>
      <c r="M61" s="258"/>
      <c r="N61" s="258"/>
      <c r="O61" s="258"/>
      <c r="P61" s="258"/>
      <c r="Q61" s="259"/>
      <c r="R61" s="86"/>
      <c r="U61" s="105"/>
      <c r="V61" s="105"/>
      <c r="W61" s="105"/>
    </row>
    <row r="62" spans="2:23" ht="13.15" customHeight="1" x14ac:dyDescent="0.2">
      <c r="B62" s="36"/>
      <c r="C62" s="190" t="s">
        <v>108</v>
      </c>
      <c r="D62" s="191"/>
      <c r="E62" s="191"/>
      <c r="F62" s="191"/>
      <c r="G62" s="37"/>
      <c r="H62" s="249"/>
      <c r="I62" s="250"/>
      <c r="J62" s="248"/>
      <c r="K62" s="248"/>
      <c r="L62" s="248"/>
      <c r="M62" s="248"/>
      <c r="N62" s="248"/>
      <c r="O62" s="248"/>
      <c r="P62" s="248"/>
      <c r="Q62" s="248"/>
      <c r="R62" s="86"/>
      <c r="U62" s="105"/>
      <c r="V62" s="105"/>
      <c r="W62" s="105"/>
    </row>
    <row r="63" spans="2:23" ht="15" x14ac:dyDescent="0.2">
      <c r="B63" s="36"/>
      <c r="C63" s="190" t="s">
        <v>107</v>
      </c>
      <c r="D63" s="191"/>
      <c r="E63" s="191"/>
      <c r="F63" s="191"/>
      <c r="G63" s="37"/>
      <c r="H63" s="249"/>
      <c r="I63" s="250"/>
      <c r="J63" s="248"/>
      <c r="K63" s="248"/>
      <c r="L63" s="248"/>
      <c r="M63" s="248"/>
      <c r="N63" s="248"/>
      <c r="O63" s="248"/>
      <c r="P63" s="248"/>
      <c r="Q63" s="248"/>
      <c r="R63" s="86"/>
      <c r="U63" s="105"/>
      <c r="V63" s="105"/>
      <c r="W63" s="105"/>
    </row>
    <row r="64" spans="2:23" ht="15" x14ac:dyDescent="0.2">
      <c r="B64" s="36"/>
      <c r="C64" s="190" t="s">
        <v>45</v>
      </c>
      <c r="D64" s="191"/>
      <c r="E64" s="191"/>
      <c r="F64" s="191"/>
      <c r="G64" s="37"/>
      <c r="H64" s="249">
        <v>256</v>
      </c>
      <c r="I64" s="250"/>
      <c r="J64" s="248" t="s">
        <v>147</v>
      </c>
      <c r="K64" s="248"/>
      <c r="L64" s="248"/>
      <c r="M64" s="248"/>
      <c r="N64" s="248"/>
      <c r="O64" s="248"/>
      <c r="P64" s="248"/>
      <c r="Q64" s="248"/>
      <c r="R64" s="86"/>
      <c r="U64" s="105"/>
      <c r="V64" s="105"/>
      <c r="W64" s="105"/>
    </row>
    <row r="65" spans="2:23" ht="14.65" customHeight="1" x14ac:dyDescent="0.2">
      <c r="B65" s="36"/>
      <c r="C65" s="190" t="s">
        <v>73</v>
      </c>
      <c r="D65" s="191"/>
      <c r="E65" s="191"/>
      <c r="F65" s="191"/>
      <c r="G65" s="37"/>
      <c r="H65" s="249">
        <v>6</v>
      </c>
      <c r="I65" s="250"/>
      <c r="J65" s="248"/>
      <c r="K65" s="248"/>
      <c r="L65" s="248"/>
      <c r="M65" s="248"/>
      <c r="N65" s="248"/>
      <c r="O65" s="248"/>
      <c r="P65" s="248"/>
      <c r="Q65" s="248"/>
      <c r="R65" s="86"/>
      <c r="U65" s="105"/>
      <c r="V65" s="105"/>
      <c r="W65" s="105"/>
    </row>
    <row r="66" spans="2:23" ht="15" x14ac:dyDescent="0.2">
      <c r="B66" s="36"/>
      <c r="C66" s="181" t="s">
        <v>117</v>
      </c>
      <c r="D66" s="182"/>
      <c r="E66" s="182"/>
      <c r="F66" s="182"/>
      <c r="G66" s="37"/>
      <c r="H66" s="249"/>
      <c r="I66" s="250"/>
      <c r="J66" s="248"/>
      <c r="K66" s="248"/>
      <c r="L66" s="248"/>
      <c r="M66" s="248"/>
      <c r="N66" s="248"/>
      <c r="O66" s="248"/>
      <c r="P66" s="248"/>
      <c r="Q66" s="248"/>
      <c r="R66" s="86"/>
      <c r="U66" s="105"/>
      <c r="V66" s="105"/>
      <c r="W66" s="105"/>
    </row>
    <row r="67" spans="2:23" ht="15" x14ac:dyDescent="0.2">
      <c r="B67" s="36"/>
      <c r="C67" s="187" t="s">
        <v>103</v>
      </c>
      <c r="D67" s="188"/>
      <c r="E67" s="188"/>
      <c r="F67" s="188"/>
      <c r="G67" s="37"/>
      <c r="H67" s="249"/>
      <c r="I67" s="250"/>
      <c r="J67" s="248"/>
      <c r="K67" s="248"/>
      <c r="L67" s="248"/>
      <c r="M67" s="248"/>
      <c r="N67" s="248"/>
      <c r="O67" s="248"/>
      <c r="P67" s="248"/>
      <c r="Q67" s="248"/>
      <c r="R67" s="86"/>
      <c r="U67" s="105"/>
      <c r="V67" s="105"/>
      <c r="W67" s="105"/>
    </row>
    <row r="68" spans="2:23" ht="13.15" customHeight="1" x14ac:dyDescent="0.2">
      <c r="B68" s="36"/>
      <c r="C68" s="187" t="s">
        <v>104</v>
      </c>
      <c r="D68" s="188"/>
      <c r="E68" s="188"/>
      <c r="F68" s="188"/>
      <c r="G68" s="37"/>
      <c r="H68" s="249"/>
      <c r="I68" s="250"/>
      <c r="J68" s="248"/>
      <c r="K68" s="248"/>
      <c r="L68" s="248"/>
      <c r="M68" s="248"/>
      <c r="N68" s="248"/>
      <c r="O68" s="248"/>
      <c r="P68" s="248"/>
      <c r="Q68" s="248"/>
      <c r="R68" s="86"/>
      <c r="U68" s="105"/>
      <c r="V68" s="105"/>
      <c r="W68" s="105"/>
    </row>
    <row r="69" spans="2:23" ht="15" x14ac:dyDescent="0.2">
      <c r="B69" s="36"/>
      <c r="C69" s="155" t="s">
        <v>105</v>
      </c>
      <c r="D69" s="156"/>
      <c r="E69" s="156"/>
      <c r="F69" s="156"/>
      <c r="G69" s="37"/>
      <c r="H69" s="260"/>
      <c r="I69" s="250"/>
      <c r="J69" s="248"/>
      <c r="K69" s="248"/>
      <c r="L69" s="248"/>
      <c r="M69" s="248"/>
      <c r="N69" s="248"/>
      <c r="O69" s="248"/>
      <c r="P69" s="248"/>
      <c r="Q69" s="248"/>
      <c r="R69" s="86"/>
      <c r="U69" s="105"/>
      <c r="V69" s="105"/>
      <c r="W69" s="105"/>
    </row>
    <row r="70" spans="2:23" ht="15" x14ac:dyDescent="0.2">
      <c r="B70" s="36"/>
      <c r="C70" s="187" t="s">
        <v>98</v>
      </c>
      <c r="D70" s="188"/>
      <c r="E70" s="188"/>
      <c r="F70" s="188"/>
      <c r="G70" s="37"/>
      <c r="H70" s="260"/>
      <c r="I70" s="250"/>
      <c r="J70" s="248"/>
      <c r="K70" s="248"/>
      <c r="L70" s="248"/>
      <c r="M70" s="248"/>
      <c r="N70" s="248"/>
      <c r="O70" s="248"/>
      <c r="P70" s="248"/>
      <c r="Q70" s="248"/>
      <c r="R70" s="86"/>
      <c r="U70" s="105"/>
      <c r="V70" s="105"/>
      <c r="W70" s="105"/>
    </row>
    <row r="71" spans="2:23" ht="15" x14ac:dyDescent="0.2">
      <c r="B71" s="36"/>
      <c r="C71" s="181" t="s">
        <v>118</v>
      </c>
      <c r="D71" s="182"/>
      <c r="E71" s="182"/>
      <c r="F71" s="182"/>
      <c r="G71" s="37"/>
      <c r="H71" s="260"/>
      <c r="I71" s="250"/>
      <c r="J71" s="248"/>
      <c r="K71" s="248"/>
      <c r="L71" s="248"/>
      <c r="M71" s="248"/>
      <c r="N71" s="248"/>
      <c r="O71" s="248"/>
      <c r="P71" s="248"/>
      <c r="Q71" s="248"/>
      <c r="R71" s="86"/>
      <c r="U71" s="105"/>
      <c r="V71" s="105"/>
      <c r="W71" s="105"/>
    </row>
    <row r="72" spans="2:23" ht="15" x14ac:dyDescent="0.2">
      <c r="B72" s="36"/>
      <c r="C72" s="187" t="s">
        <v>40</v>
      </c>
      <c r="D72" s="188"/>
      <c r="E72" s="188"/>
      <c r="F72" s="188"/>
      <c r="G72" s="37"/>
      <c r="H72" s="260">
        <v>405</v>
      </c>
      <c r="I72" s="250"/>
      <c r="J72" s="248"/>
      <c r="K72" s="248"/>
      <c r="L72" s="248"/>
      <c r="M72" s="248"/>
      <c r="N72" s="248"/>
      <c r="O72" s="248"/>
      <c r="P72" s="248"/>
      <c r="Q72" s="248"/>
      <c r="R72" s="86"/>
      <c r="U72" s="105"/>
      <c r="V72" s="105"/>
      <c r="W72" s="105"/>
    </row>
    <row r="73" spans="2:23" ht="14.65" customHeight="1" x14ac:dyDescent="0.2">
      <c r="B73" s="36"/>
      <c r="C73" s="187" t="s">
        <v>41</v>
      </c>
      <c r="D73" s="188"/>
      <c r="E73" s="188"/>
      <c r="F73" s="188"/>
      <c r="G73" s="37"/>
      <c r="H73" s="249">
        <v>202</v>
      </c>
      <c r="I73" s="250"/>
      <c r="J73" s="248"/>
      <c r="K73" s="248"/>
      <c r="L73" s="248"/>
      <c r="M73" s="248"/>
      <c r="N73" s="248"/>
      <c r="O73" s="248"/>
      <c r="P73" s="248"/>
      <c r="Q73" s="248"/>
      <c r="R73" s="86"/>
      <c r="U73" s="105"/>
      <c r="V73" s="105"/>
      <c r="W73" s="105"/>
    </row>
    <row r="74" spans="2:23" ht="13.15" customHeight="1" x14ac:dyDescent="0.2">
      <c r="B74" s="36"/>
      <c r="C74" s="155" t="s">
        <v>99</v>
      </c>
      <c r="D74" s="156"/>
      <c r="E74" s="156"/>
      <c r="F74" s="156"/>
      <c r="G74" s="37"/>
      <c r="H74" s="249"/>
      <c r="I74" s="250"/>
      <c r="J74" s="248"/>
      <c r="K74" s="248"/>
      <c r="L74" s="248"/>
      <c r="M74" s="248"/>
      <c r="N74" s="248"/>
      <c r="O74" s="248"/>
      <c r="P74" s="248"/>
      <c r="Q74" s="248"/>
      <c r="R74" s="86"/>
      <c r="U74" s="105"/>
      <c r="V74" s="105"/>
      <c r="W74" s="105"/>
    </row>
    <row r="75" spans="2:23" ht="15" x14ac:dyDescent="0.2">
      <c r="B75" s="36"/>
      <c r="C75" s="155" t="s">
        <v>100</v>
      </c>
      <c r="D75" s="156"/>
      <c r="E75" s="156"/>
      <c r="F75" s="156"/>
      <c r="G75" s="37"/>
      <c r="H75" s="249"/>
      <c r="I75" s="250"/>
      <c r="J75" s="248"/>
      <c r="K75" s="248"/>
      <c r="L75" s="248"/>
      <c r="M75" s="248"/>
      <c r="N75" s="248"/>
      <c r="O75" s="248"/>
      <c r="P75" s="248"/>
      <c r="Q75" s="248"/>
      <c r="R75" s="86"/>
      <c r="U75" s="105"/>
      <c r="V75" s="105"/>
      <c r="W75" s="105"/>
    </row>
    <row r="76" spans="2:23" ht="13.15" customHeight="1" x14ac:dyDescent="0.2">
      <c r="B76" s="36"/>
      <c r="C76" s="155" t="s">
        <v>101</v>
      </c>
      <c r="D76" s="156"/>
      <c r="E76" s="156"/>
      <c r="F76" s="156"/>
      <c r="G76" s="37"/>
      <c r="H76" s="249"/>
      <c r="I76" s="250"/>
      <c r="J76" s="248"/>
      <c r="K76" s="248"/>
      <c r="L76" s="248"/>
      <c r="M76" s="248"/>
      <c r="N76" s="248"/>
      <c r="O76" s="248"/>
      <c r="P76" s="248"/>
      <c r="Q76" s="248"/>
      <c r="R76" s="86"/>
      <c r="U76" s="105"/>
      <c r="V76" s="105"/>
      <c r="W76" s="105"/>
    </row>
    <row r="77" spans="2:23" ht="15" x14ac:dyDescent="0.2">
      <c r="B77" s="36"/>
      <c r="C77" s="155" t="s">
        <v>102</v>
      </c>
      <c r="D77" s="156"/>
      <c r="E77" s="156"/>
      <c r="F77" s="156"/>
      <c r="G77" s="37"/>
      <c r="H77" s="260"/>
      <c r="I77" s="250"/>
      <c r="J77" s="248"/>
      <c r="K77" s="248"/>
      <c r="L77" s="248"/>
      <c r="M77" s="248"/>
      <c r="N77" s="248"/>
      <c r="O77" s="248"/>
      <c r="P77" s="248"/>
      <c r="Q77" s="248"/>
      <c r="R77" s="86"/>
      <c r="U77" s="105"/>
      <c r="V77" s="105"/>
      <c r="W77" s="105"/>
    </row>
    <row r="78" spans="2:23" ht="26.1" customHeight="1" x14ac:dyDescent="0.2">
      <c r="B78" s="36"/>
      <c r="C78" s="181" t="s">
        <v>39</v>
      </c>
      <c r="D78" s="182"/>
      <c r="E78" s="182"/>
      <c r="F78" s="182"/>
      <c r="G78" s="37"/>
      <c r="H78" s="249"/>
      <c r="I78" s="250"/>
      <c r="J78" s="248"/>
      <c r="K78" s="248"/>
      <c r="L78" s="248"/>
      <c r="M78" s="248"/>
      <c r="N78" s="248"/>
      <c r="O78" s="248"/>
      <c r="P78" s="248"/>
      <c r="Q78" s="248"/>
      <c r="R78" s="86"/>
      <c r="U78" s="105"/>
      <c r="V78" s="105"/>
      <c r="W78" s="105"/>
    </row>
    <row r="79" spans="2:23" ht="14.45" customHeight="1" x14ac:dyDescent="0.2">
      <c r="B79" s="36"/>
      <c r="C79" s="184" t="s">
        <v>46</v>
      </c>
      <c r="D79" s="185"/>
      <c r="E79" s="185"/>
      <c r="F79" s="185"/>
      <c r="G79" s="37"/>
      <c r="H79" s="262" t="s">
        <v>37</v>
      </c>
      <c r="I79" s="263"/>
      <c r="J79" s="270" t="s">
        <v>74</v>
      </c>
      <c r="K79" s="271"/>
      <c r="L79" s="271"/>
      <c r="M79" s="271"/>
      <c r="N79" s="271"/>
      <c r="O79" s="271"/>
      <c r="P79" s="271"/>
      <c r="Q79" s="271"/>
      <c r="R79" s="86"/>
      <c r="U79" s="105"/>
      <c r="V79" s="105"/>
      <c r="W79" s="105"/>
    </row>
    <row r="80" spans="2:23" ht="14.45" customHeight="1" x14ac:dyDescent="0.2">
      <c r="B80" s="36"/>
      <c r="C80" s="181" t="s">
        <v>106</v>
      </c>
      <c r="D80" s="182"/>
      <c r="E80" s="182"/>
      <c r="F80" s="182"/>
      <c r="G80" s="37"/>
      <c r="H80" s="249"/>
      <c r="I80" s="250"/>
      <c r="J80" s="248"/>
      <c r="K80" s="248"/>
      <c r="L80" s="248"/>
      <c r="M80" s="248"/>
      <c r="N80" s="248"/>
      <c r="O80" s="248"/>
      <c r="P80" s="248"/>
      <c r="Q80" s="248"/>
      <c r="R80" s="86"/>
      <c r="U80" s="105"/>
      <c r="V80" s="105"/>
      <c r="W80" s="105"/>
    </row>
    <row r="81" spans="2:23" ht="30.6" customHeight="1" x14ac:dyDescent="0.2">
      <c r="B81" s="36"/>
      <c r="C81" s="181" t="s">
        <v>96</v>
      </c>
      <c r="D81" s="182"/>
      <c r="E81" s="182" t="s">
        <v>85</v>
      </c>
      <c r="F81" s="182" t="s">
        <v>85</v>
      </c>
      <c r="G81" s="37"/>
      <c r="H81" s="260"/>
      <c r="I81" s="250"/>
      <c r="J81" s="248"/>
      <c r="K81" s="248"/>
      <c r="L81" s="248"/>
      <c r="M81" s="248"/>
      <c r="N81" s="248"/>
      <c r="O81" s="248"/>
      <c r="P81" s="248"/>
      <c r="Q81" s="248"/>
      <c r="R81" s="86"/>
      <c r="U81" s="105"/>
      <c r="V81" s="105"/>
      <c r="W81" s="105"/>
    </row>
    <row r="82" spans="2:23" ht="14.45" customHeight="1" x14ac:dyDescent="0.2">
      <c r="B82" s="36"/>
      <c r="C82" s="181" t="s">
        <v>93</v>
      </c>
      <c r="D82" s="182"/>
      <c r="E82" s="182" t="s">
        <v>85</v>
      </c>
      <c r="F82" s="182" t="s">
        <v>85</v>
      </c>
      <c r="G82" s="37"/>
      <c r="H82" s="249"/>
      <c r="I82" s="250"/>
      <c r="J82" s="248"/>
      <c r="K82" s="248"/>
      <c r="L82" s="248"/>
      <c r="M82" s="248"/>
      <c r="N82" s="248"/>
      <c r="O82" s="248"/>
      <c r="P82" s="248"/>
      <c r="Q82" s="248"/>
      <c r="R82" s="86"/>
      <c r="U82" s="105"/>
      <c r="V82" s="105"/>
      <c r="W82" s="105"/>
    </row>
    <row r="83" spans="2:23" s="76" customFormat="1" ht="14.65" customHeight="1" x14ac:dyDescent="0.2">
      <c r="B83" s="36"/>
      <c r="C83" s="181" t="s">
        <v>92</v>
      </c>
      <c r="D83" s="182"/>
      <c r="E83" s="182"/>
      <c r="F83" s="182"/>
      <c r="G83" s="37"/>
      <c r="H83" s="249"/>
      <c r="I83" s="250"/>
      <c r="J83" s="248"/>
      <c r="K83" s="248"/>
      <c r="L83" s="248"/>
      <c r="M83" s="248"/>
      <c r="N83" s="248"/>
      <c r="O83" s="248"/>
      <c r="P83" s="248"/>
      <c r="Q83" s="248"/>
      <c r="R83" s="86"/>
    </row>
    <row r="84" spans="2:23" s="76" customFormat="1" ht="14.65" customHeight="1" x14ac:dyDescent="0.2">
      <c r="B84" s="36"/>
      <c r="C84" s="181" t="s">
        <v>127</v>
      </c>
      <c r="D84" s="182"/>
      <c r="E84" s="182"/>
      <c r="F84" s="182"/>
      <c r="G84" s="37"/>
      <c r="H84" s="249"/>
      <c r="I84" s="250"/>
      <c r="J84" s="248"/>
      <c r="K84" s="248"/>
      <c r="L84" s="248"/>
      <c r="M84" s="248"/>
      <c r="N84" s="248"/>
      <c r="O84" s="248"/>
      <c r="P84" s="248"/>
      <c r="Q84" s="248"/>
      <c r="R84" s="85"/>
      <c r="S84" s="71"/>
      <c r="T84" s="71"/>
      <c r="U84" s="107"/>
    </row>
    <row r="85" spans="2:23" s="76" customFormat="1" ht="14.65" customHeight="1" x14ac:dyDescent="0.2">
      <c r="B85" s="36"/>
      <c r="C85" s="181" t="s">
        <v>95</v>
      </c>
      <c r="D85" s="182"/>
      <c r="E85" s="182" t="s">
        <v>85</v>
      </c>
      <c r="F85" s="182" t="s">
        <v>85</v>
      </c>
      <c r="G85" s="37"/>
      <c r="H85" s="249"/>
      <c r="I85" s="250"/>
      <c r="J85" s="248"/>
      <c r="K85" s="248"/>
      <c r="L85" s="248"/>
      <c r="M85" s="248"/>
      <c r="N85" s="248"/>
      <c r="O85" s="248"/>
      <c r="P85" s="248"/>
      <c r="Q85" s="248"/>
      <c r="R85" s="86"/>
      <c r="S85" s="107"/>
      <c r="T85" s="107"/>
      <c r="U85" s="107"/>
    </row>
    <row r="86" spans="2:23" s="76" customFormat="1" ht="15" x14ac:dyDescent="0.2">
      <c r="B86" s="36"/>
      <c r="C86" s="181" t="s">
        <v>94</v>
      </c>
      <c r="D86" s="182"/>
      <c r="E86" s="182" t="s">
        <v>85</v>
      </c>
      <c r="F86" s="182" t="s">
        <v>85</v>
      </c>
      <c r="G86" s="37"/>
      <c r="H86" s="249"/>
      <c r="I86" s="250"/>
      <c r="J86" s="248"/>
      <c r="K86" s="248"/>
      <c r="L86" s="248"/>
      <c r="M86" s="248"/>
      <c r="N86" s="248"/>
      <c r="O86" s="248"/>
      <c r="P86" s="248"/>
      <c r="Q86" s="248"/>
      <c r="R86" s="86"/>
      <c r="S86" s="107"/>
      <c r="T86" s="107"/>
      <c r="U86" s="107"/>
    </row>
    <row r="87" spans="2:23" s="76" customFormat="1" x14ac:dyDescent="0.2">
      <c r="B87" s="101"/>
      <c r="C87" s="53"/>
      <c r="D87" s="54"/>
      <c r="E87" s="55"/>
      <c r="F87" s="53"/>
      <c r="G87" s="53"/>
      <c r="H87" s="53"/>
      <c r="I87" s="53"/>
      <c r="J87" s="53"/>
      <c r="K87" s="54"/>
      <c r="L87" s="54"/>
      <c r="M87" s="54"/>
      <c r="N87" s="54"/>
      <c r="O87" s="54"/>
      <c r="P87" s="54"/>
      <c r="Q87" s="54"/>
      <c r="R87" s="87"/>
      <c r="S87" s="107"/>
      <c r="T87" s="107"/>
      <c r="U87" s="107"/>
    </row>
    <row r="88" spans="2:23" s="76" customFormat="1" x14ac:dyDescent="0.2">
      <c r="D88" s="107"/>
      <c r="E88" s="77"/>
      <c r="F88" s="77"/>
      <c r="G88" s="77"/>
      <c r="H88" s="77"/>
      <c r="I88" s="77"/>
      <c r="J88" s="77"/>
      <c r="K88" s="107"/>
      <c r="L88" s="107"/>
      <c r="M88" s="107"/>
      <c r="N88" s="107"/>
      <c r="O88" s="107"/>
      <c r="P88" s="107"/>
      <c r="Q88" s="107"/>
      <c r="R88" s="107"/>
      <c r="S88" s="107"/>
      <c r="T88" s="107"/>
      <c r="U88" s="107"/>
    </row>
    <row r="89" spans="2:23" s="76" customFormat="1" x14ac:dyDescent="0.2">
      <c r="D89" s="107"/>
      <c r="E89" s="78"/>
      <c r="F89" s="78"/>
      <c r="G89" s="78"/>
      <c r="H89" s="78"/>
      <c r="I89" s="107"/>
      <c r="J89" s="107"/>
      <c r="K89" s="107"/>
      <c r="L89" s="107"/>
      <c r="M89" s="107"/>
      <c r="N89" s="107"/>
      <c r="O89" s="107"/>
      <c r="P89" s="107"/>
      <c r="Q89" s="107"/>
      <c r="R89" s="107"/>
      <c r="S89" s="107"/>
      <c r="T89" s="107"/>
      <c r="U89" s="107"/>
    </row>
    <row r="90" spans="2:23" s="76" customFormat="1" x14ac:dyDescent="0.2">
      <c r="D90" s="107"/>
      <c r="E90" s="79"/>
      <c r="F90" s="79"/>
      <c r="G90" s="79"/>
      <c r="H90" s="79"/>
      <c r="I90" s="107"/>
      <c r="J90" s="107"/>
      <c r="K90" s="107"/>
      <c r="L90" s="107"/>
      <c r="M90" s="107"/>
      <c r="N90" s="107"/>
      <c r="O90" s="107"/>
      <c r="P90" s="107"/>
      <c r="R90" s="107"/>
      <c r="S90" s="107"/>
      <c r="T90" s="107"/>
      <c r="U90" s="107"/>
    </row>
    <row r="91" spans="2:23" s="76" customFormat="1" x14ac:dyDescent="0.2">
      <c r="D91" s="107"/>
      <c r="E91" s="79"/>
      <c r="F91" s="79"/>
      <c r="G91" s="79"/>
      <c r="H91" s="79"/>
      <c r="I91" s="107"/>
      <c r="J91" s="107"/>
      <c r="K91" s="107"/>
      <c r="L91" s="107"/>
      <c r="M91" s="107"/>
      <c r="N91" s="107"/>
      <c r="O91" s="107"/>
      <c r="P91" s="107"/>
      <c r="Q91" s="107"/>
      <c r="R91" s="107"/>
      <c r="S91" s="107"/>
      <c r="T91" s="107"/>
      <c r="U91" s="107"/>
    </row>
    <row r="92" spans="2:23" s="76" customFormat="1" x14ac:dyDescent="0.2">
      <c r="D92" s="107"/>
      <c r="E92" s="79"/>
      <c r="F92" s="79"/>
      <c r="G92" s="79"/>
      <c r="H92" s="79"/>
      <c r="I92" s="107"/>
      <c r="J92" s="107"/>
      <c r="K92" s="107"/>
      <c r="L92" s="107"/>
      <c r="M92" s="107"/>
      <c r="N92" s="107"/>
      <c r="O92" s="107"/>
      <c r="P92" s="107"/>
      <c r="Q92" s="107"/>
      <c r="R92" s="107"/>
      <c r="S92" s="107"/>
      <c r="T92" s="107"/>
      <c r="U92" s="107"/>
    </row>
    <row r="93" spans="2:23" x14ac:dyDescent="0.2">
      <c r="C93" s="76"/>
      <c r="D93" s="107"/>
      <c r="E93" s="77"/>
      <c r="F93" s="77"/>
      <c r="G93" s="77"/>
      <c r="H93" s="77"/>
      <c r="I93" s="107"/>
      <c r="J93" s="107"/>
      <c r="K93" s="107"/>
      <c r="L93" s="107"/>
      <c r="M93" s="107"/>
      <c r="N93" s="107"/>
      <c r="O93" s="107"/>
      <c r="P93" s="107"/>
      <c r="Q93" s="107"/>
      <c r="R93" s="107"/>
      <c r="S93" s="107"/>
      <c r="T93" s="107"/>
      <c r="U93" s="107"/>
    </row>
    <row r="94" spans="2:23" x14ac:dyDescent="0.2">
      <c r="G94" s="73"/>
      <c r="I94" s="107"/>
      <c r="J94" s="107"/>
      <c r="K94" s="107"/>
      <c r="L94" s="107"/>
      <c r="M94" s="107"/>
      <c r="N94" s="107"/>
      <c r="O94" s="107"/>
      <c r="P94" s="107"/>
      <c r="Q94" s="107"/>
      <c r="R94" s="107"/>
      <c r="S94" s="107"/>
      <c r="T94" s="107"/>
      <c r="U94" s="107"/>
    </row>
    <row r="95" spans="2:23" x14ac:dyDescent="0.2">
      <c r="G95" s="73"/>
      <c r="I95" s="107"/>
      <c r="J95" s="107"/>
      <c r="K95" s="107"/>
      <c r="L95" s="107"/>
      <c r="M95" s="107"/>
      <c r="N95" s="107"/>
      <c r="O95" s="107"/>
      <c r="P95" s="107"/>
      <c r="Q95" s="107"/>
      <c r="R95" s="107"/>
      <c r="S95" s="107"/>
      <c r="T95" s="107"/>
      <c r="U95" s="107"/>
    </row>
    <row r="96" spans="2:23" x14ac:dyDescent="0.2">
      <c r="G96" s="73"/>
      <c r="I96" s="107"/>
      <c r="J96" s="107"/>
      <c r="K96" s="107"/>
      <c r="L96" s="107"/>
      <c r="M96" s="107"/>
      <c r="N96" s="107"/>
      <c r="O96" s="107"/>
      <c r="P96" s="107"/>
      <c r="Q96" s="107"/>
      <c r="R96" s="107"/>
      <c r="S96" s="107"/>
      <c r="T96" s="107"/>
      <c r="U96" s="107"/>
    </row>
    <row r="97" spans="7:21" x14ac:dyDescent="0.2">
      <c r="G97" s="73"/>
      <c r="I97" s="107"/>
      <c r="J97" s="107"/>
      <c r="K97" s="107"/>
      <c r="L97" s="107"/>
      <c r="M97" s="107"/>
      <c r="N97" s="107"/>
      <c r="O97" s="107"/>
      <c r="P97" s="107"/>
      <c r="Q97" s="107"/>
      <c r="R97" s="107"/>
      <c r="S97" s="107"/>
      <c r="T97" s="107"/>
      <c r="U97" s="107"/>
    </row>
    <row r="98" spans="7:21" x14ac:dyDescent="0.2">
      <c r="G98" s="73"/>
      <c r="I98" s="107"/>
      <c r="J98" s="107"/>
      <c r="K98" s="107"/>
      <c r="L98" s="107"/>
      <c r="M98" s="107"/>
      <c r="N98" s="107"/>
      <c r="O98" s="107"/>
      <c r="P98" s="107"/>
      <c r="Q98" s="107"/>
      <c r="R98" s="107"/>
      <c r="S98" s="107"/>
      <c r="T98" s="107"/>
      <c r="U98" s="107"/>
    </row>
    <row r="99" spans="7:21" x14ac:dyDescent="0.2">
      <c r="G99" s="73"/>
      <c r="I99" s="107"/>
      <c r="J99" s="107"/>
      <c r="K99" s="107"/>
      <c r="L99" s="107"/>
      <c r="M99" s="107"/>
      <c r="N99" s="107"/>
      <c r="O99" s="107"/>
      <c r="P99" s="107"/>
      <c r="Q99" s="107"/>
      <c r="R99" s="107"/>
      <c r="S99" s="107"/>
      <c r="T99" s="107"/>
      <c r="U99" s="107"/>
    </row>
    <row r="100" spans="7:21" x14ac:dyDescent="0.2">
      <c r="G100" s="73"/>
      <c r="I100" s="107"/>
      <c r="J100" s="107"/>
      <c r="K100" s="107"/>
      <c r="L100" s="107"/>
      <c r="M100" s="107"/>
      <c r="N100" s="107"/>
      <c r="O100" s="107"/>
      <c r="P100" s="107"/>
      <c r="Q100" s="107"/>
      <c r="R100" s="107"/>
      <c r="S100" s="107"/>
      <c r="T100" s="107"/>
      <c r="U100" s="107"/>
    </row>
    <row r="101" spans="7:21" x14ac:dyDescent="0.2">
      <c r="G101" s="73"/>
      <c r="I101" s="107"/>
      <c r="J101" s="107"/>
      <c r="K101" s="107"/>
      <c r="L101" s="107"/>
      <c r="M101" s="107"/>
      <c r="N101" s="107"/>
      <c r="O101" s="107"/>
      <c r="P101" s="107"/>
      <c r="Q101" s="107"/>
      <c r="R101" s="107"/>
      <c r="S101" s="107"/>
      <c r="T101" s="107"/>
      <c r="U101" s="107"/>
    </row>
    <row r="102" spans="7:21" x14ac:dyDescent="0.2">
      <c r="G102" s="73"/>
      <c r="I102" s="107"/>
      <c r="J102" s="107"/>
      <c r="K102" s="107"/>
      <c r="L102" s="107"/>
      <c r="M102" s="107"/>
      <c r="N102" s="107"/>
      <c r="O102" s="107"/>
      <c r="P102" s="107"/>
      <c r="Q102" s="107"/>
      <c r="R102" s="107"/>
      <c r="S102" s="107"/>
      <c r="T102" s="107"/>
      <c r="U102" s="107"/>
    </row>
    <row r="103" spans="7:21" x14ac:dyDescent="0.2">
      <c r="G103" s="73"/>
      <c r="I103" s="107"/>
      <c r="J103" s="107"/>
      <c r="K103" s="107"/>
      <c r="L103" s="107"/>
      <c r="M103" s="107"/>
      <c r="N103" s="107"/>
      <c r="O103" s="107"/>
      <c r="P103" s="107"/>
      <c r="Q103" s="107"/>
      <c r="R103" s="107"/>
      <c r="S103" s="107"/>
      <c r="T103" s="107"/>
      <c r="U103" s="107"/>
    </row>
    <row r="104" spans="7:21" x14ac:dyDescent="0.2">
      <c r="G104" s="73"/>
      <c r="I104" s="107"/>
      <c r="J104" s="107"/>
      <c r="K104" s="107"/>
      <c r="L104" s="107"/>
      <c r="M104" s="107"/>
      <c r="N104" s="107"/>
      <c r="O104" s="107"/>
      <c r="P104" s="107"/>
      <c r="Q104" s="107"/>
      <c r="R104" s="107"/>
      <c r="S104" s="107"/>
      <c r="T104" s="107"/>
      <c r="U104" s="107"/>
    </row>
    <row r="105" spans="7:21" x14ac:dyDescent="0.2">
      <c r="G105" s="73"/>
      <c r="J105" s="73"/>
      <c r="L105" s="73"/>
      <c r="O105" s="73"/>
    </row>
    <row r="106" spans="7:21" x14ac:dyDescent="0.2">
      <c r="G106" s="73"/>
      <c r="J106" s="73"/>
      <c r="L106" s="73"/>
      <c r="O106" s="73"/>
    </row>
    <row r="107" spans="7:21" x14ac:dyDescent="0.2">
      <c r="G107" s="73"/>
      <c r="J107" s="73"/>
      <c r="L107" s="73"/>
      <c r="O107" s="73"/>
    </row>
    <row r="108" spans="7:21" x14ac:dyDescent="0.2">
      <c r="G108" s="73"/>
      <c r="J108" s="73"/>
      <c r="L108" s="73"/>
      <c r="O108" s="73"/>
    </row>
    <row r="109" spans="7:21" x14ac:dyDescent="0.2">
      <c r="G109" s="73"/>
      <c r="J109" s="73"/>
      <c r="L109" s="73"/>
      <c r="O109" s="73"/>
    </row>
    <row r="110" spans="7:21" x14ac:dyDescent="0.2">
      <c r="G110" s="73"/>
      <c r="J110" s="73"/>
      <c r="L110" s="73"/>
      <c r="O110" s="73"/>
    </row>
    <row r="111" spans="7:21" x14ac:dyDescent="0.2">
      <c r="G111" s="73"/>
      <c r="J111" s="73"/>
      <c r="L111" s="73"/>
      <c r="O111" s="73"/>
    </row>
    <row r="112" spans="7:21" x14ac:dyDescent="0.2">
      <c r="G112" s="73"/>
      <c r="J112" s="73"/>
      <c r="L112" s="73"/>
      <c r="O112" s="73"/>
    </row>
    <row r="113" spans="7:15" x14ac:dyDescent="0.2">
      <c r="G113" s="73"/>
      <c r="J113" s="73"/>
      <c r="L113" s="73"/>
      <c r="O113" s="73"/>
    </row>
    <row r="114" spans="7:15" x14ac:dyDescent="0.2">
      <c r="G114" s="73"/>
      <c r="J114" s="73"/>
      <c r="L114" s="73"/>
      <c r="O114" s="73"/>
    </row>
    <row r="115" spans="7:15" x14ac:dyDescent="0.2">
      <c r="G115" s="73"/>
      <c r="J115" s="73"/>
      <c r="L115" s="73"/>
      <c r="O115" s="73"/>
    </row>
    <row r="116" spans="7:15" x14ac:dyDescent="0.2">
      <c r="G116" s="73"/>
      <c r="J116" s="73"/>
      <c r="L116" s="73"/>
      <c r="O116" s="73"/>
    </row>
    <row r="117" spans="7:15" x14ac:dyDescent="0.2">
      <c r="G117" s="73"/>
      <c r="J117" s="73"/>
      <c r="L117" s="73"/>
      <c r="O117" s="73"/>
    </row>
    <row r="118" spans="7:15" x14ac:dyDescent="0.2">
      <c r="G118" s="73"/>
      <c r="J118" s="73"/>
      <c r="L118" s="73"/>
      <c r="O118" s="73"/>
    </row>
    <row r="119" spans="7:15" x14ac:dyDescent="0.2">
      <c r="G119" s="73"/>
      <c r="J119" s="73"/>
      <c r="L119" s="73"/>
      <c r="O119" s="73"/>
    </row>
    <row r="120" spans="7:15" x14ac:dyDescent="0.2">
      <c r="G120" s="73"/>
      <c r="J120" s="73"/>
      <c r="L120" s="73"/>
      <c r="O120" s="73"/>
    </row>
    <row r="121" spans="7:15" x14ac:dyDescent="0.2">
      <c r="G121" s="73"/>
      <c r="J121" s="73"/>
      <c r="L121" s="73"/>
      <c r="O121" s="73"/>
    </row>
    <row r="122" spans="7:15" x14ac:dyDescent="0.2">
      <c r="G122" s="73"/>
      <c r="J122" s="73"/>
      <c r="L122" s="73"/>
      <c r="O122" s="73"/>
    </row>
    <row r="123" spans="7:15" x14ac:dyDescent="0.2">
      <c r="G123" s="73"/>
      <c r="J123" s="73"/>
      <c r="L123" s="73"/>
      <c r="O123" s="73"/>
    </row>
    <row r="124" spans="7:15" x14ac:dyDescent="0.2">
      <c r="G124" s="73"/>
      <c r="J124" s="73"/>
      <c r="L124" s="73"/>
      <c r="O124" s="73"/>
    </row>
    <row r="125" spans="7:15" x14ac:dyDescent="0.2">
      <c r="G125" s="73"/>
      <c r="J125" s="73"/>
      <c r="L125" s="73"/>
      <c r="O125" s="73"/>
    </row>
    <row r="126" spans="7:15" x14ac:dyDescent="0.2">
      <c r="G126" s="73"/>
      <c r="J126" s="73"/>
      <c r="L126" s="73"/>
      <c r="O126" s="73"/>
    </row>
    <row r="127" spans="7:15" x14ac:dyDescent="0.2">
      <c r="G127" s="73"/>
      <c r="J127" s="73"/>
      <c r="L127" s="73"/>
      <c r="O127" s="73"/>
    </row>
    <row r="128" spans="7:15" x14ac:dyDescent="0.2">
      <c r="G128" s="73"/>
      <c r="J128" s="73"/>
      <c r="L128" s="73"/>
      <c r="O128" s="73"/>
    </row>
    <row r="129" spans="7:15" x14ac:dyDescent="0.2">
      <c r="G129" s="73"/>
      <c r="J129" s="73"/>
      <c r="L129" s="73"/>
      <c r="O129" s="73"/>
    </row>
    <row r="130" spans="7:15" x14ac:dyDescent="0.2">
      <c r="G130" s="73"/>
      <c r="J130" s="73"/>
      <c r="L130" s="73"/>
      <c r="O130" s="73"/>
    </row>
    <row r="131" spans="7:15" x14ac:dyDescent="0.2">
      <c r="G131" s="73"/>
      <c r="J131" s="73"/>
      <c r="L131" s="73"/>
      <c r="O131" s="73"/>
    </row>
    <row r="132" spans="7:15" x14ac:dyDescent="0.2">
      <c r="G132" s="73"/>
      <c r="J132" s="73"/>
      <c r="L132" s="73"/>
      <c r="O132" s="73"/>
    </row>
    <row r="133" spans="7:15" x14ac:dyDescent="0.2">
      <c r="G133" s="73"/>
      <c r="J133" s="73"/>
      <c r="L133" s="73"/>
      <c r="O133" s="73"/>
    </row>
    <row r="134" spans="7:15" x14ac:dyDescent="0.2">
      <c r="G134" s="73"/>
      <c r="J134" s="73"/>
      <c r="L134" s="73"/>
      <c r="O134" s="73"/>
    </row>
    <row r="135" spans="7:15" x14ac:dyDescent="0.2">
      <c r="G135" s="73"/>
      <c r="J135" s="73"/>
      <c r="L135" s="73"/>
      <c r="O135" s="73"/>
    </row>
    <row r="136" spans="7:15" x14ac:dyDescent="0.2">
      <c r="G136" s="73"/>
      <c r="J136" s="73"/>
      <c r="L136" s="73"/>
      <c r="O136" s="73"/>
    </row>
    <row r="137" spans="7:15" x14ac:dyDescent="0.2">
      <c r="G137" s="73"/>
      <c r="J137" s="73"/>
      <c r="L137" s="73"/>
      <c r="O137" s="73"/>
    </row>
    <row r="138" spans="7:15" x14ac:dyDescent="0.2">
      <c r="G138" s="73"/>
      <c r="J138" s="73"/>
      <c r="L138" s="73"/>
      <c r="O138" s="73"/>
    </row>
    <row r="139" spans="7:15" x14ac:dyDescent="0.2">
      <c r="G139" s="73"/>
      <c r="J139" s="73"/>
      <c r="L139" s="73"/>
      <c r="O139" s="73"/>
    </row>
    <row r="140" spans="7:15" x14ac:dyDescent="0.2">
      <c r="G140" s="73"/>
      <c r="J140" s="73"/>
      <c r="L140" s="73"/>
      <c r="O140" s="73"/>
    </row>
    <row r="141" spans="7:15" x14ac:dyDescent="0.2">
      <c r="G141" s="73"/>
      <c r="J141" s="73"/>
      <c r="L141" s="73"/>
      <c r="O141" s="73"/>
    </row>
    <row r="142" spans="7:15" x14ac:dyDescent="0.2">
      <c r="G142" s="73"/>
      <c r="J142" s="73"/>
      <c r="L142" s="73"/>
      <c r="O142" s="73"/>
    </row>
    <row r="143" spans="7:15" x14ac:dyDescent="0.2">
      <c r="G143" s="73"/>
      <c r="J143" s="73"/>
      <c r="L143" s="73"/>
      <c r="O143" s="73"/>
    </row>
    <row r="144" spans="7:15" x14ac:dyDescent="0.2">
      <c r="G144" s="73"/>
      <c r="J144" s="73"/>
      <c r="L144" s="73"/>
      <c r="O144" s="73"/>
    </row>
    <row r="145" spans="7:15" x14ac:dyDescent="0.2">
      <c r="G145" s="73"/>
      <c r="J145" s="73"/>
      <c r="L145" s="73"/>
      <c r="O145" s="73"/>
    </row>
    <row r="146" spans="7:15" x14ac:dyDescent="0.2">
      <c r="G146" s="73"/>
      <c r="J146" s="73"/>
      <c r="L146" s="73"/>
      <c r="O146" s="73"/>
    </row>
    <row r="147" spans="7:15" x14ac:dyDescent="0.2">
      <c r="G147" s="73"/>
      <c r="J147" s="73"/>
      <c r="L147" s="73"/>
      <c r="O147" s="73"/>
    </row>
    <row r="148" spans="7:15" x14ac:dyDescent="0.2">
      <c r="G148" s="73"/>
      <c r="J148" s="73"/>
      <c r="L148" s="73"/>
      <c r="O148" s="73"/>
    </row>
    <row r="149" spans="7:15" x14ac:dyDescent="0.2">
      <c r="G149" s="73"/>
      <c r="J149" s="73"/>
      <c r="L149" s="73"/>
      <c r="O149" s="73"/>
    </row>
    <row r="150" spans="7:15" x14ac:dyDescent="0.2">
      <c r="G150" s="73"/>
      <c r="J150" s="73"/>
      <c r="L150" s="73"/>
      <c r="O150" s="73"/>
    </row>
    <row r="151" spans="7:15" x14ac:dyDescent="0.2">
      <c r="G151" s="73"/>
      <c r="J151" s="73"/>
      <c r="L151" s="73"/>
      <c r="O151" s="73"/>
    </row>
    <row r="152" spans="7:15" x14ac:dyDescent="0.2">
      <c r="G152" s="73"/>
      <c r="J152" s="73"/>
      <c r="L152" s="73"/>
      <c r="O152" s="73"/>
    </row>
    <row r="153" spans="7:15" x14ac:dyDescent="0.2">
      <c r="G153" s="73"/>
      <c r="J153" s="73"/>
      <c r="L153" s="73"/>
      <c r="O153" s="73"/>
    </row>
    <row r="154" spans="7:15" x14ac:dyDescent="0.2">
      <c r="G154" s="73"/>
      <c r="J154" s="73"/>
      <c r="L154" s="73"/>
      <c r="O154" s="73"/>
    </row>
    <row r="155" spans="7:15" x14ac:dyDescent="0.2">
      <c r="G155" s="73"/>
      <c r="J155" s="73"/>
      <c r="L155" s="73"/>
      <c r="O155" s="73"/>
    </row>
    <row r="156" spans="7:15" x14ac:dyDescent="0.2">
      <c r="G156" s="73"/>
      <c r="J156" s="73"/>
      <c r="L156" s="73"/>
      <c r="O156" s="73"/>
    </row>
    <row r="157" spans="7:15" x14ac:dyDescent="0.2">
      <c r="G157" s="73"/>
      <c r="J157" s="73"/>
      <c r="L157" s="73"/>
      <c r="O157" s="73"/>
    </row>
    <row r="158" spans="7:15" x14ac:dyDescent="0.2">
      <c r="G158" s="73"/>
      <c r="J158" s="73"/>
      <c r="L158" s="73"/>
      <c r="O158" s="73"/>
    </row>
    <row r="159" spans="7:15" x14ac:dyDescent="0.2">
      <c r="G159" s="73"/>
      <c r="J159" s="73"/>
      <c r="L159" s="73"/>
      <c r="O159" s="73"/>
    </row>
    <row r="160" spans="7:15" x14ac:dyDescent="0.2">
      <c r="G160" s="73"/>
      <c r="J160" s="73"/>
      <c r="L160" s="73"/>
      <c r="O160" s="73"/>
    </row>
    <row r="161" spans="7:15" x14ac:dyDescent="0.2">
      <c r="G161" s="73"/>
      <c r="J161" s="73"/>
      <c r="L161" s="73"/>
      <c r="O161" s="73"/>
    </row>
    <row r="162" spans="7:15" x14ac:dyDescent="0.2">
      <c r="G162" s="73"/>
      <c r="J162" s="73"/>
      <c r="L162" s="73"/>
      <c r="O162" s="73"/>
    </row>
    <row r="163" spans="7:15" x14ac:dyDescent="0.2">
      <c r="G163" s="73"/>
      <c r="J163" s="73"/>
      <c r="L163" s="73"/>
      <c r="O163" s="73"/>
    </row>
    <row r="164" spans="7:15" x14ac:dyDescent="0.2">
      <c r="G164" s="73"/>
      <c r="J164" s="73"/>
      <c r="L164" s="73"/>
      <c r="O164" s="73"/>
    </row>
    <row r="165" spans="7:15" x14ac:dyDescent="0.2">
      <c r="G165" s="73"/>
      <c r="J165" s="73"/>
      <c r="L165" s="73"/>
      <c r="O165" s="73"/>
    </row>
    <row r="166" spans="7:15" x14ac:dyDescent="0.2">
      <c r="G166" s="73"/>
      <c r="J166" s="73"/>
      <c r="L166" s="73"/>
      <c r="O166" s="73"/>
    </row>
    <row r="167" spans="7:15" x14ac:dyDescent="0.2">
      <c r="G167" s="73"/>
      <c r="J167" s="73"/>
      <c r="L167" s="73"/>
      <c r="O167" s="73"/>
    </row>
    <row r="168" spans="7:15" x14ac:dyDescent="0.2">
      <c r="G168" s="73"/>
      <c r="J168" s="73"/>
      <c r="L168" s="73"/>
      <c r="O168" s="73"/>
    </row>
    <row r="169" spans="7:15" x14ac:dyDescent="0.2">
      <c r="G169" s="73"/>
      <c r="J169" s="73"/>
      <c r="L169" s="73"/>
      <c r="O169" s="73"/>
    </row>
    <row r="170" spans="7:15" x14ac:dyDescent="0.2">
      <c r="G170" s="73"/>
      <c r="J170" s="73"/>
      <c r="L170" s="73"/>
      <c r="O170" s="73"/>
    </row>
    <row r="171" spans="7:15" x14ac:dyDescent="0.2">
      <c r="G171" s="73"/>
      <c r="J171" s="73"/>
      <c r="L171" s="73"/>
      <c r="O171" s="73"/>
    </row>
    <row r="172" spans="7:15" x14ac:dyDescent="0.2">
      <c r="G172" s="73"/>
      <c r="J172" s="73"/>
      <c r="L172" s="73"/>
      <c r="O172" s="73"/>
    </row>
    <row r="173" spans="7:15" x14ac:dyDescent="0.2">
      <c r="G173" s="73"/>
      <c r="J173" s="73"/>
      <c r="L173" s="73"/>
      <c r="O173" s="73"/>
    </row>
    <row r="174" spans="7:15" x14ac:dyDescent="0.2">
      <c r="G174" s="73"/>
      <c r="J174" s="73"/>
      <c r="L174" s="73"/>
      <c r="O174" s="73"/>
    </row>
    <row r="175" spans="7:15" x14ac:dyDescent="0.2">
      <c r="G175" s="73"/>
      <c r="J175" s="73"/>
      <c r="L175" s="73"/>
      <c r="O175" s="73"/>
    </row>
    <row r="176" spans="7:15" x14ac:dyDescent="0.2">
      <c r="G176" s="73"/>
      <c r="J176" s="73"/>
      <c r="L176" s="73"/>
      <c r="O176" s="73"/>
    </row>
    <row r="177" spans="7:15" x14ac:dyDescent="0.2">
      <c r="G177" s="73"/>
      <c r="J177" s="73"/>
      <c r="L177" s="73"/>
      <c r="O177" s="73"/>
    </row>
    <row r="178" spans="7:15" x14ac:dyDescent="0.2">
      <c r="G178" s="73"/>
      <c r="J178" s="73"/>
      <c r="L178" s="73"/>
      <c r="O178" s="73"/>
    </row>
    <row r="179" spans="7:15" x14ac:dyDescent="0.2">
      <c r="G179" s="73"/>
      <c r="J179" s="73"/>
      <c r="L179" s="73"/>
      <c r="O179" s="73"/>
    </row>
    <row r="180" spans="7:15" x14ac:dyDescent="0.2">
      <c r="G180" s="73"/>
      <c r="J180" s="73"/>
      <c r="L180" s="73"/>
      <c r="O180" s="73"/>
    </row>
    <row r="181" spans="7:15" x14ac:dyDescent="0.2">
      <c r="G181" s="73"/>
      <c r="J181" s="73"/>
      <c r="L181" s="73"/>
      <c r="O181" s="73"/>
    </row>
    <row r="182" spans="7:15" x14ac:dyDescent="0.2">
      <c r="G182" s="73"/>
      <c r="J182" s="73"/>
      <c r="L182" s="73"/>
      <c r="O182" s="73"/>
    </row>
    <row r="183" spans="7:15" x14ac:dyDescent="0.2">
      <c r="G183" s="73"/>
      <c r="J183" s="73"/>
      <c r="L183" s="73"/>
      <c r="O183" s="73"/>
    </row>
    <row r="184" spans="7:15" x14ac:dyDescent="0.2">
      <c r="G184" s="73"/>
      <c r="J184" s="73"/>
      <c r="L184" s="73"/>
      <c r="O184" s="73"/>
    </row>
    <row r="185" spans="7:15" x14ac:dyDescent="0.2">
      <c r="G185" s="73"/>
      <c r="J185" s="73"/>
      <c r="L185" s="73"/>
      <c r="O185" s="73"/>
    </row>
    <row r="186" spans="7:15" x14ac:dyDescent="0.2">
      <c r="G186" s="73"/>
      <c r="J186" s="73"/>
      <c r="L186" s="73"/>
      <c r="O186" s="73"/>
    </row>
    <row r="187" spans="7:15" x14ac:dyDescent="0.2">
      <c r="G187" s="73"/>
      <c r="J187" s="73"/>
      <c r="L187" s="73"/>
      <c r="O187" s="73"/>
    </row>
    <row r="188" spans="7:15" x14ac:dyDescent="0.2">
      <c r="G188" s="73"/>
      <c r="J188" s="73"/>
      <c r="L188" s="73"/>
      <c r="O188" s="73"/>
    </row>
    <row r="189" spans="7:15" x14ac:dyDescent="0.2">
      <c r="G189" s="73"/>
      <c r="J189" s="73"/>
      <c r="L189" s="73"/>
      <c r="O189" s="73"/>
    </row>
    <row r="190" spans="7:15" x14ac:dyDescent="0.2">
      <c r="G190" s="73"/>
      <c r="J190" s="73"/>
      <c r="L190" s="73"/>
      <c r="O190" s="73"/>
    </row>
    <row r="191" spans="7:15" x14ac:dyDescent="0.2">
      <c r="G191" s="73"/>
      <c r="J191" s="73"/>
      <c r="L191" s="73"/>
      <c r="O191" s="73"/>
    </row>
    <row r="192" spans="7:15" x14ac:dyDescent="0.2">
      <c r="G192" s="73"/>
      <c r="J192" s="73"/>
      <c r="L192" s="73"/>
      <c r="O192" s="73"/>
    </row>
    <row r="193" spans="7:15" x14ac:dyDescent="0.2">
      <c r="G193" s="73"/>
      <c r="J193" s="73"/>
      <c r="L193" s="73"/>
      <c r="O193" s="73"/>
    </row>
    <row r="194" spans="7:15" x14ac:dyDescent="0.2">
      <c r="G194" s="73"/>
      <c r="J194" s="73"/>
      <c r="L194" s="73"/>
      <c r="O194" s="73"/>
    </row>
    <row r="195" spans="7:15" x14ac:dyDescent="0.2">
      <c r="G195" s="73"/>
      <c r="J195" s="73"/>
      <c r="L195" s="73"/>
      <c r="O195" s="73"/>
    </row>
    <row r="196" spans="7:15" x14ac:dyDescent="0.2">
      <c r="G196" s="73"/>
      <c r="J196" s="73"/>
      <c r="L196" s="73"/>
      <c r="O196" s="73"/>
    </row>
    <row r="197" spans="7:15" x14ac:dyDescent="0.2">
      <c r="G197" s="73"/>
      <c r="J197" s="73"/>
      <c r="L197" s="73"/>
      <c r="O197" s="73"/>
    </row>
    <row r="198" spans="7:15" x14ac:dyDescent="0.2">
      <c r="G198" s="73"/>
      <c r="J198" s="73"/>
      <c r="L198" s="73"/>
      <c r="O198" s="73"/>
    </row>
    <row r="199" spans="7:15" x14ac:dyDescent="0.2">
      <c r="G199" s="73"/>
      <c r="J199" s="73"/>
      <c r="L199" s="73"/>
      <c r="O199" s="73"/>
    </row>
    <row r="200" spans="7:15" x14ac:dyDescent="0.2">
      <c r="G200" s="73"/>
      <c r="J200" s="73"/>
      <c r="L200" s="73"/>
      <c r="O200" s="73"/>
    </row>
    <row r="201" spans="7:15" x14ac:dyDescent="0.2">
      <c r="G201" s="73"/>
      <c r="J201" s="73"/>
      <c r="L201" s="73"/>
      <c r="O201" s="73"/>
    </row>
    <row r="202" spans="7:15" x14ac:dyDescent="0.2">
      <c r="G202" s="73"/>
      <c r="J202" s="73"/>
      <c r="L202" s="73"/>
      <c r="O202" s="73"/>
    </row>
    <row r="203" spans="7:15" x14ac:dyDescent="0.2">
      <c r="G203" s="73"/>
      <c r="J203" s="73"/>
      <c r="L203" s="73"/>
      <c r="O203" s="73"/>
    </row>
    <row r="204" spans="7:15" x14ac:dyDescent="0.2">
      <c r="G204" s="73"/>
      <c r="J204" s="73"/>
      <c r="L204" s="73"/>
      <c r="O204" s="73"/>
    </row>
    <row r="205" spans="7:15" x14ac:dyDescent="0.2">
      <c r="G205" s="73"/>
      <c r="J205" s="73"/>
      <c r="L205" s="73"/>
      <c r="O205" s="73"/>
    </row>
    <row r="206" spans="7:15" x14ac:dyDescent="0.2">
      <c r="G206" s="73"/>
      <c r="J206" s="73"/>
      <c r="L206" s="73"/>
      <c r="O206" s="73"/>
    </row>
    <row r="207" spans="7:15" x14ac:dyDescent="0.2">
      <c r="G207" s="73"/>
      <c r="J207" s="73"/>
      <c r="L207" s="73"/>
      <c r="O207" s="73"/>
    </row>
    <row r="208" spans="7:15" x14ac:dyDescent="0.2">
      <c r="G208" s="73"/>
      <c r="J208" s="73"/>
      <c r="L208" s="73"/>
      <c r="O208" s="73"/>
    </row>
    <row r="209" spans="7:15" x14ac:dyDescent="0.2">
      <c r="G209" s="73"/>
      <c r="J209" s="73"/>
      <c r="L209" s="73"/>
      <c r="O209" s="73"/>
    </row>
    <row r="210" spans="7:15" x14ac:dyDescent="0.2">
      <c r="G210" s="73"/>
      <c r="J210" s="73"/>
      <c r="L210" s="73"/>
      <c r="O210" s="73"/>
    </row>
    <row r="211" spans="7:15" x14ac:dyDescent="0.2">
      <c r="G211" s="73"/>
      <c r="J211" s="73"/>
      <c r="L211" s="73"/>
      <c r="O211" s="73"/>
    </row>
    <row r="212" spans="7:15" x14ac:dyDescent="0.2">
      <c r="G212" s="73"/>
      <c r="J212" s="73"/>
      <c r="L212" s="73"/>
      <c r="O212" s="73"/>
    </row>
    <row r="213" spans="7:15" x14ac:dyDescent="0.2">
      <c r="G213" s="73"/>
      <c r="J213" s="73"/>
      <c r="L213" s="73"/>
      <c r="O213" s="73"/>
    </row>
    <row r="214" spans="7:15" x14ac:dyDescent="0.2">
      <c r="G214" s="73"/>
      <c r="J214" s="73"/>
      <c r="L214" s="73"/>
      <c r="O214" s="73"/>
    </row>
    <row r="215" spans="7:15" x14ac:dyDescent="0.2">
      <c r="G215" s="73"/>
      <c r="J215" s="73"/>
      <c r="L215" s="73"/>
      <c r="O215" s="73"/>
    </row>
    <row r="216" spans="7:15" x14ac:dyDescent="0.2">
      <c r="G216" s="73"/>
      <c r="J216" s="73"/>
      <c r="L216" s="73"/>
      <c r="O216" s="73"/>
    </row>
    <row r="217" spans="7:15" x14ac:dyDescent="0.2">
      <c r="G217" s="73"/>
      <c r="J217" s="73"/>
      <c r="L217" s="73"/>
      <c r="O217" s="73"/>
    </row>
    <row r="218" spans="7:15" x14ac:dyDescent="0.2">
      <c r="G218" s="73"/>
      <c r="J218" s="73"/>
      <c r="L218" s="73"/>
      <c r="O218" s="73"/>
    </row>
    <row r="219" spans="7:15" x14ac:dyDescent="0.2">
      <c r="G219" s="73"/>
      <c r="J219" s="73"/>
      <c r="L219" s="73"/>
      <c r="O219" s="73"/>
    </row>
    <row r="220" spans="7:15" x14ac:dyDescent="0.2">
      <c r="G220" s="73"/>
      <c r="J220" s="73"/>
      <c r="L220" s="73"/>
      <c r="O220" s="73"/>
    </row>
    <row r="221" spans="7:15" x14ac:dyDescent="0.2">
      <c r="G221" s="73"/>
      <c r="J221" s="73"/>
      <c r="L221" s="73"/>
      <c r="O221" s="73"/>
    </row>
    <row r="222" spans="7:15" x14ac:dyDescent="0.2">
      <c r="G222" s="73"/>
      <c r="J222" s="73"/>
      <c r="L222" s="73"/>
      <c r="O222" s="73"/>
    </row>
    <row r="223" spans="7:15" x14ac:dyDescent="0.2">
      <c r="G223" s="73"/>
      <c r="J223" s="73"/>
      <c r="L223" s="73"/>
      <c r="O223" s="73"/>
    </row>
    <row r="224" spans="7:15" x14ac:dyDescent="0.2">
      <c r="G224" s="73"/>
      <c r="J224" s="73"/>
      <c r="L224" s="73"/>
      <c r="O224" s="73"/>
    </row>
    <row r="225" spans="7:15" x14ac:dyDescent="0.2">
      <c r="G225" s="73"/>
      <c r="J225" s="73"/>
      <c r="L225" s="73"/>
      <c r="O225" s="73"/>
    </row>
    <row r="226" spans="7:15" x14ac:dyDescent="0.2">
      <c r="G226" s="73"/>
      <c r="J226" s="73"/>
      <c r="L226" s="73"/>
      <c r="O226" s="73"/>
    </row>
    <row r="227" spans="7:15" x14ac:dyDescent="0.2">
      <c r="G227" s="73"/>
      <c r="J227" s="73"/>
      <c r="L227" s="73"/>
      <c r="O227" s="73"/>
    </row>
    <row r="228" spans="7:15" x14ac:dyDescent="0.2">
      <c r="G228" s="73"/>
      <c r="J228" s="73"/>
      <c r="L228" s="73"/>
      <c r="O228" s="73"/>
    </row>
    <row r="229" spans="7:15" x14ac:dyDescent="0.2">
      <c r="G229" s="73"/>
      <c r="J229" s="73"/>
      <c r="L229" s="73"/>
      <c r="O229" s="73"/>
    </row>
    <row r="230" spans="7:15" x14ac:dyDescent="0.2">
      <c r="G230" s="73"/>
      <c r="J230" s="73"/>
      <c r="L230" s="73"/>
      <c r="O230" s="73"/>
    </row>
    <row r="231" spans="7:15" x14ac:dyDescent="0.2">
      <c r="G231" s="73"/>
      <c r="J231" s="73"/>
      <c r="L231" s="73"/>
      <c r="O231" s="73"/>
    </row>
    <row r="232" spans="7:15" x14ac:dyDescent="0.2">
      <c r="G232" s="73"/>
      <c r="J232" s="73"/>
      <c r="L232" s="73"/>
      <c r="O232" s="73"/>
    </row>
    <row r="233" spans="7:15" x14ac:dyDescent="0.2">
      <c r="G233" s="73"/>
      <c r="J233" s="73"/>
      <c r="L233" s="73"/>
      <c r="O233" s="73"/>
    </row>
    <row r="234" spans="7:15" x14ac:dyDescent="0.2">
      <c r="G234" s="73"/>
      <c r="J234" s="73"/>
      <c r="L234" s="73"/>
      <c r="O234" s="73"/>
    </row>
    <row r="235" spans="7:15" x14ac:dyDescent="0.2">
      <c r="G235" s="73"/>
      <c r="J235" s="73"/>
      <c r="L235" s="73"/>
      <c r="O235" s="73"/>
    </row>
    <row r="236" spans="7:15" x14ac:dyDescent="0.2">
      <c r="G236" s="73"/>
      <c r="J236" s="73"/>
      <c r="L236" s="73"/>
      <c r="O236" s="73"/>
    </row>
    <row r="237" spans="7:15" x14ac:dyDescent="0.2">
      <c r="G237" s="73"/>
      <c r="J237" s="73"/>
      <c r="L237" s="73"/>
      <c r="O237" s="73"/>
    </row>
    <row r="238" spans="7:15" x14ac:dyDescent="0.2">
      <c r="G238" s="73"/>
      <c r="J238" s="73"/>
      <c r="L238" s="73"/>
      <c r="O238" s="73"/>
    </row>
    <row r="239" spans="7:15" x14ac:dyDescent="0.2">
      <c r="G239" s="73"/>
      <c r="J239" s="73"/>
      <c r="L239" s="73"/>
      <c r="O239" s="73"/>
    </row>
    <row r="240" spans="7:15" x14ac:dyDescent="0.2">
      <c r="G240" s="73"/>
      <c r="J240" s="73"/>
      <c r="L240" s="73"/>
      <c r="O240" s="73"/>
    </row>
    <row r="241" spans="7:15" x14ac:dyDescent="0.2">
      <c r="G241" s="73"/>
      <c r="J241" s="73"/>
      <c r="L241" s="73"/>
      <c r="O241" s="73"/>
    </row>
    <row r="242" spans="7:15" x14ac:dyDescent="0.2">
      <c r="G242" s="73"/>
      <c r="J242" s="73"/>
      <c r="L242" s="73"/>
      <c r="O242" s="73"/>
    </row>
    <row r="243" spans="7:15" x14ac:dyDescent="0.2">
      <c r="G243" s="73"/>
      <c r="J243" s="73"/>
      <c r="L243" s="73"/>
      <c r="O243" s="73"/>
    </row>
    <row r="244" spans="7:15" x14ac:dyDescent="0.2">
      <c r="G244" s="73"/>
      <c r="J244" s="73"/>
      <c r="L244" s="73"/>
      <c r="O244" s="73"/>
    </row>
    <row r="245" spans="7:15" x14ac:dyDescent="0.2">
      <c r="G245" s="73"/>
      <c r="J245" s="73"/>
      <c r="L245" s="73"/>
      <c r="O245" s="73"/>
    </row>
    <row r="246" spans="7:15" x14ac:dyDescent="0.2">
      <c r="G246" s="73"/>
      <c r="J246" s="73"/>
      <c r="L246" s="73"/>
      <c r="O246" s="73"/>
    </row>
    <row r="247" spans="7:15" x14ac:dyDescent="0.2">
      <c r="G247" s="73"/>
      <c r="J247" s="73"/>
      <c r="L247" s="73"/>
      <c r="O247" s="73"/>
    </row>
    <row r="248" spans="7:15" x14ac:dyDescent="0.2">
      <c r="G248" s="73"/>
      <c r="J248" s="73"/>
      <c r="L248" s="73"/>
      <c r="O248" s="73"/>
    </row>
    <row r="249" spans="7:15" x14ac:dyDescent="0.2">
      <c r="G249" s="73"/>
      <c r="J249" s="73"/>
      <c r="L249" s="73"/>
      <c r="O249" s="73"/>
    </row>
    <row r="250" spans="7:15" x14ac:dyDescent="0.2">
      <c r="G250" s="73"/>
      <c r="J250" s="73"/>
      <c r="L250" s="73"/>
      <c r="O250" s="73"/>
    </row>
    <row r="251" spans="7:15" x14ac:dyDescent="0.2">
      <c r="G251" s="73"/>
      <c r="J251" s="73"/>
      <c r="L251" s="73"/>
      <c r="O251" s="73"/>
    </row>
    <row r="252" spans="7:15" x14ac:dyDescent="0.2">
      <c r="G252" s="73"/>
      <c r="J252" s="73"/>
      <c r="L252" s="73"/>
      <c r="O252" s="73"/>
    </row>
    <row r="253" spans="7:15" x14ac:dyDescent="0.2">
      <c r="G253" s="73"/>
      <c r="J253" s="73"/>
      <c r="L253" s="73"/>
      <c r="O253" s="73"/>
    </row>
    <row r="254" spans="7:15" x14ac:dyDescent="0.2">
      <c r="G254" s="73"/>
      <c r="J254" s="73"/>
      <c r="L254" s="73"/>
      <c r="O254" s="73"/>
    </row>
    <row r="255" spans="7:15" x14ac:dyDescent="0.2">
      <c r="G255" s="73"/>
      <c r="J255" s="73"/>
      <c r="L255" s="73"/>
      <c r="O255" s="73"/>
    </row>
    <row r="256" spans="7:15" x14ac:dyDescent="0.2">
      <c r="G256" s="73"/>
      <c r="J256" s="73"/>
      <c r="L256" s="73"/>
      <c r="O256" s="73"/>
    </row>
    <row r="257" spans="7:15" x14ac:dyDescent="0.2">
      <c r="G257" s="73"/>
      <c r="J257" s="73"/>
      <c r="L257" s="73"/>
      <c r="O257" s="73"/>
    </row>
    <row r="258" spans="7:15" x14ac:dyDescent="0.2">
      <c r="G258" s="73"/>
      <c r="J258" s="73"/>
      <c r="L258" s="73"/>
      <c r="O258" s="73"/>
    </row>
    <row r="259" spans="7:15" x14ac:dyDescent="0.2">
      <c r="G259" s="73"/>
      <c r="J259" s="73"/>
      <c r="L259" s="73"/>
      <c r="O259" s="73"/>
    </row>
    <row r="260" spans="7:15" x14ac:dyDescent="0.2">
      <c r="G260" s="73"/>
      <c r="J260" s="73"/>
      <c r="L260" s="73"/>
      <c r="O260" s="73"/>
    </row>
    <row r="261" spans="7:15" x14ac:dyDescent="0.2">
      <c r="G261" s="73"/>
      <c r="J261" s="73"/>
      <c r="L261" s="73"/>
      <c r="O261" s="73"/>
    </row>
    <row r="262" spans="7:15" x14ac:dyDescent="0.2">
      <c r="G262" s="73"/>
      <c r="J262" s="73"/>
      <c r="L262" s="73"/>
      <c r="O262" s="73"/>
    </row>
    <row r="263" spans="7:15" x14ac:dyDescent="0.2">
      <c r="G263" s="73"/>
      <c r="J263" s="73"/>
      <c r="L263" s="73"/>
      <c r="O263" s="73"/>
    </row>
    <row r="264" spans="7:15" x14ac:dyDescent="0.2">
      <c r="G264" s="73"/>
      <c r="J264" s="73"/>
      <c r="L264" s="73"/>
      <c r="O264" s="73"/>
    </row>
    <row r="265" spans="7:15" x14ac:dyDescent="0.2">
      <c r="G265" s="73"/>
      <c r="J265" s="73"/>
      <c r="L265" s="73"/>
      <c r="O265" s="73"/>
    </row>
    <row r="266" spans="7:15" x14ac:dyDescent="0.2">
      <c r="G266" s="73"/>
      <c r="J266" s="73"/>
      <c r="L266" s="73"/>
      <c r="O266" s="73"/>
    </row>
    <row r="267" spans="7:15" x14ac:dyDescent="0.2">
      <c r="G267" s="73"/>
      <c r="J267" s="73"/>
      <c r="L267" s="73"/>
      <c r="O267" s="73"/>
    </row>
    <row r="268" spans="7:15" x14ac:dyDescent="0.2">
      <c r="G268" s="73"/>
      <c r="J268" s="73"/>
      <c r="L268" s="73"/>
      <c r="O268" s="73"/>
    </row>
    <row r="269" spans="7:15" x14ac:dyDescent="0.2">
      <c r="G269" s="73"/>
      <c r="J269" s="73"/>
      <c r="L269" s="73"/>
      <c r="O269" s="73"/>
    </row>
    <row r="270" spans="7:15" x14ac:dyDescent="0.2">
      <c r="G270" s="73"/>
      <c r="J270" s="73"/>
      <c r="L270" s="73"/>
      <c r="O270" s="73"/>
    </row>
    <row r="271" spans="7:15" x14ac:dyDescent="0.2">
      <c r="G271" s="73"/>
      <c r="J271" s="73"/>
      <c r="L271" s="73"/>
      <c r="O271" s="73"/>
    </row>
    <row r="272" spans="7:15" x14ac:dyDescent="0.2">
      <c r="G272" s="73"/>
      <c r="J272" s="73"/>
      <c r="L272" s="73"/>
      <c r="O272" s="73"/>
    </row>
    <row r="273" spans="7:15" x14ac:dyDescent="0.2">
      <c r="G273" s="73"/>
      <c r="J273" s="73"/>
      <c r="L273" s="73"/>
      <c r="O273" s="73"/>
    </row>
    <row r="274" spans="7:15" x14ac:dyDescent="0.2">
      <c r="G274" s="73"/>
      <c r="J274" s="73"/>
      <c r="L274" s="73"/>
      <c r="O274" s="73"/>
    </row>
    <row r="275" spans="7:15" x14ac:dyDescent="0.2">
      <c r="G275" s="73"/>
      <c r="J275" s="73"/>
      <c r="L275" s="73"/>
      <c r="O275" s="73"/>
    </row>
    <row r="276" spans="7:15" x14ac:dyDescent="0.2">
      <c r="G276" s="73"/>
      <c r="J276" s="73"/>
      <c r="L276" s="73"/>
      <c r="O276" s="73"/>
    </row>
    <row r="277" spans="7:15" x14ac:dyDescent="0.2">
      <c r="G277" s="73"/>
      <c r="J277" s="73"/>
      <c r="L277" s="73"/>
      <c r="O277" s="73"/>
    </row>
    <row r="278" spans="7:15" x14ac:dyDescent="0.2">
      <c r="G278" s="73"/>
      <c r="J278" s="73"/>
      <c r="L278" s="73"/>
      <c r="O278" s="73"/>
    </row>
    <row r="279" spans="7:15" x14ac:dyDescent="0.2">
      <c r="G279" s="73"/>
      <c r="J279" s="73"/>
      <c r="L279" s="73"/>
      <c r="O279" s="73"/>
    </row>
    <row r="280" spans="7:15" x14ac:dyDescent="0.2">
      <c r="G280" s="73"/>
      <c r="J280" s="73"/>
      <c r="L280" s="73"/>
      <c r="O280" s="73"/>
    </row>
    <row r="281" spans="7:15" x14ac:dyDescent="0.2">
      <c r="G281" s="73"/>
      <c r="J281" s="73"/>
      <c r="L281" s="73"/>
      <c r="O281" s="73"/>
    </row>
    <row r="282" spans="7:15" x14ac:dyDescent="0.2">
      <c r="G282" s="73"/>
      <c r="J282" s="73"/>
      <c r="L282" s="73"/>
      <c r="O282" s="73"/>
    </row>
    <row r="283" spans="7:15" x14ac:dyDescent="0.2">
      <c r="G283" s="73"/>
      <c r="J283" s="73"/>
      <c r="L283" s="73"/>
      <c r="O283" s="73"/>
    </row>
    <row r="284" spans="7:15" x14ac:dyDescent="0.2">
      <c r="G284" s="73"/>
      <c r="J284" s="73"/>
      <c r="L284" s="73"/>
      <c r="O284" s="73"/>
    </row>
    <row r="285" spans="7:15" x14ac:dyDescent="0.2">
      <c r="G285" s="73"/>
      <c r="J285" s="73"/>
      <c r="L285" s="73"/>
      <c r="O285" s="73"/>
    </row>
    <row r="286" spans="7:15" x14ac:dyDescent="0.2">
      <c r="G286" s="73"/>
      <c r="J286" s="73"/>
      <c r="L286" s="73"/>
      <c r="O286" s="73"/>
    </row>
    <row r="287" spans="7:15" x14ac:dyDescent="0.2">
      <c r="G287" s="73"/>
      <c r="J287" s="73"/>
      <c r="L287" s="73"/>
      <c r="O287" s="73"/>
    </row>
    <row r="288" spans="7:15" x14ac:dyDescent="0.2">
      <c r="G288" s="73"/>
      <c r="J288" s="73"/>
      <c r="L288" s="73"/>
      <c r="O288" s="73"/>
    </row>
    <row r="289" spans="7:15" x14ac:dyDescent="0.2">
      <c r="G289" s="73"/>
      <c r="J289" s="73"/>
      <c r="L289" s="73"/>
      <c r="O289" s="73"/>
    </row>
    <row r="290" spans="7:15" x14ac:dyDescent="0.2">
      <c r="G290" s="73"/>
      <c r="J290" s="73"/>
      <c r="L290" s="73"/>
      <c r="O290" s="73"/>
    </row>
    <row r="291" spans="7:15" x14ac:dyDescent="0.2">
      <c r="G291" s="73"/>
      <c r="J291" s="73"/>
      <c r="L291" s="73"/>
      <c r="O291" s="73"/>
    </row>
    <row r="292" spans="7:15" x14ac:dyDescent="0.2">
      <c r="G292" s="73"/>
      <c r="J292" s="73"/>
      <c r="L292" s="73"/>
      <c r="O292" s="73"/>
    </row>
    <row r="293" spans="7:15" x14ac:dyDescent="0.2">
      <c r="G293" s="73"/>
      <c r="J293" s="73"/>
      <c r="L293" s="73"/>
      <c r="O293" s="73"/>
    </row>
    <row r="294" spans="7:15" x14ac:dyDescent="0.2">
      <c r="G294" s="73"/>
      <c r="J294" s="73"/>
      <c r="L294" s="73"/>
      <c r="O294" s="73"/>
    </row>
    <row r="295" spans="7:15" x14ac:dyDescent="0.2">
      <c r="G295" s="73"/>
      <c r="J295" s="73"/>
      <c r="L295" s="73"/>
      <c r="O295" s="73"/>
    </row>
    <row r="296" spans="7:15" x14ac:dyDescent="0.2">
      <c r="G296" s="73"/>
      <c r="J296" s="73"/>
      <c r="L296" s="73"/>
      <c r="O296" s="73"/>
    </row>
    <row r="297" spans="7:15" x14ac:dyDescent="0.2">
      <c r="G297" s="73"/>
      <c r="J297" s="73"/>
      <c r="L297" s="73"/>
      <c r="O297" s="73"/>
    </row>
    <row r="298" spans="7:15" x14ac:dyDescent="0.2">
      <c r="G298" s="73"/>
      <c r="J298" s="73"/>
      <c r="L298" s="73"/>
      <c r="O298" s="73"/>
    </row>
    <row r="299" spans="7:15" x14ac:dyDescent="0.2">
      <c r="G299" s="73"/>
      <c r="J299" s="73"/>
      <c r="L299" s="73"/>
      <c r="O299" s="73"/>
    </row>
    <row r="300" spans="7:15" x14ac:dyDescent="0.2">
      <c r="G300" s="73"/>
      <c r="J300" s="73"/>
      <c r="L300" s="73"/>
      <c r="O300" s="73"/>
    </row>
    <row r="301" spans="7:15" x14ac:dyDescent="0.2">
      <c r="G301" s="73"/>
      <c r="J301" s="73"/>
      <c r="L301" s="73"/>
      <c r="O301" s="73"/>
    </row>
    <row r="302" spans="7:15" x14ac:dyDescent="0.2">
      <c r="G302" s="73"/>
      <c r="J302" s="73"/>
      <c r="L302" s="73"/>
      <c r="O302" s="73"/>
    </row>
    <row r="303" spans="7:15" x14ac:dyDescent="0.2">
      <c r="G303" s="73"/>
      <c r="J303" s="73"/>
      <c r="L303" s="73"/>
      <c r="O303" s="73"/>
    </row>
    <row r="304" spans="7:15" x14ac:dyDescent="0.2">
      <c r="G304" s="73"/>
      <c r="J304" s="73"/>
      <c r="L304" s="73"/>
      <c r="O304" s="73"/>
    </row>
    <row r="305" spans="7:15" x14ac:dyDescent="0.2">
      <c r="G305" s="73"/>
      <c r="J305" s="73"/>
      <c r="L305" s="73"/>
      <c r="O305" s="73"/>
    </row>
    <row r="306" spans="7:15" x14ac:dyDescent="0.2">
      <c r="G306" s="73"/>
      <c r="J306" s="73"/>
      <c r="L306" s="73"/>
      <c r="O306" s="73"/>
    </row>
    <row r="307" spans="7:15" x14ac:dyDescent="0.2">
      <c r="G307" s="73"/>
      <c r="J307" s="73"/>
      <c r="L307" s="73"/>
      <c r="O307" s="73"/>
    </row>
    <row r="308" spans="7:15" x14ac:dyDescent="0.2">
      <c r="G308" s="73"/>
      <c r="J308" s="73"/>
      <c r="L308" s="73"/>
      <c r="O308" s="73"/>
    </row>
    <row r="309" spans="7:15" x14ac:dyDescent="0.2">
      <c r="G309" s="73"/>
      <c r="J309" s="73"/>
      <c r="L309" s="73"/>
      <c r="O309" s="73"/>
    </row>
    <row r="310" spans="7:15" x14ac:dyDescent="0.2">
      <c r="G310" s="73"/>
      <c r="J310" s="73"/>
      <c r="L310" s="73"/>
      <c r="O310" s="73"/>
    </row>
    <row r="311" spans="7:15" x14ac:dyDescent="0.2">
      <c r="G311" s="73"/>
      <c r="J311" s="73"/>
      <c r="L311" s="73"/>
      <c r="O311" s="73"/>
    </row>
    <row r="312" spans="7:15" x14ac:dyDescent="0.2">
      <c r="G312" s="73"/>
      <c r="J312" s="73"/>
      <c r="L312" s="73"/>
      <c r="O312" s="73"/>
    </row>
    <row r="313" spans="7:15" x14ac:dyDescent="0.2">
      <c r="G313" s="73"/>
      <c r="J313" s="73"/>
      <c r="L313" s="73"/>
      <c r="O313" s="73"/>
    </row>
    <row r="314" spans="7:15" x14ac:dyDescent="0.2">
      <c r="G314" s="73"/>
      <c r="J314" s="73"/>
      <c r="L314" s="73"/>
      <c r="O314" s="73"/>
    </row>
    <row r="315" spans="7:15" x14ac:dyDescent="0.2">
      <c r="G315" s="73"/>
      <c r="J315" s="73"/>
      <c r="L315" s="73"/>
      <c r="O315" s="73"/>
    </row>
    <row r="316" spans="7:15" x14ac:dyDescent="0.2">
      <c r="G316" s="73"/>
      <c r="J316" s="73"/>
      <c r="L316" s="73"/>
      <c r="O316" s="73"/>
    </row>
    <row r="317" spans="7:15" x14ac:dyDescent="0.2">
      <c r="G317" s="73"/>
      <c r="J317" s="73"/>
      <c r="L317" s="73"/>
      <c r="O317" s="73"/>
    </row>
    <row r="318" spans="7:15" x14ac:dyDescent="0.2">
      <c r="G318" s="73"/>
      <c r="J318" s="73"/>
      <c r="L318" s="73"/>
      <c r="O318" s="73"/>
    </row>
    <row r="319" spans="7:15" x14ac:dyDescent="0.2">
      <c r="G319" s="73"/>
      <c r="J319" s="73"/>
      <c r="L319" s="73"/>
      <c r="O319" s="73"/>
    </row>
    <row r="320" spans="7:15" x14ac:dyDescent="0.2">
      <c r="G320" s="73"/>
      <c r="J320" s="73"/>
      <c r="L320" s="73"/>
      <c r="O320" s="73"/>
    </row>
    <row r="321" spans="7:15" x14ac:dyDescent="0.2">
      <c r="G321" s="73"/>
      <c r="J321" s="73"/>
      <c r="L321" s="73"/>
      <c r="O321" s="73"/>
    </row>
    <row r="322" spans="7:15" x14ac:dyDescent="0.2">
      <c r="G322" s="73"/>
      <c r="J322" s="73"/>
      <c r="L322" s="73"/>
      <c r="O322" s="73"/>
    </row>
    <row r="323" spans="7:15" x14ac:dyDescent="0.2">
      <c r="G323" s="73"/>
      <c r="J323" s="73"/>
      <c r="L323" s="73"/>
      <c r="O323" s="73"/>
    </row>
    <row r="324" spans="7:15" x14ac:dyDescent="0.2">
      <c r="G324" s="73"/>
      <c r="J324" s="73"/>
      <c r="L324" s="73"/>
      <c r="O324" s="73"/>
    </row>
    <row r="325" spans="7:15" x14ac:dyDescent="0.2">
      <c r="G325" s="73"/>
      <c r="J325" s="73"/>
      <c r="L325" s="73"/>
      <c r="O325" s="73"/>
    </row>
    <row r="326" spans="7:15" x14ac:dyDescent="0.2">
      <c r="G326" s="73"/>
      <c r="J326" s="73"/>
      <c r="L326" s="73"/>
      <c r="O326" s="73"/>
    </row>
    <row r="327" spans="7:15" x14ac:dyDescent="0.2">
      <c r="G327" s="73"/>
      <c r="J327" s="73"/>
      <c r="L327" s="73"/>
      <c r="O327" s="73"/>
    </row>
    <row r="328" spans="7:15" x14ac:dyDescent="0.2">
      <c r="G328" s="73"/>
      <c r="J328" s="73"/>
      <c r="L328" s="73"/>
      <c r="O328" s="73"/>
    </row>
    <row r="329" spans="7:15" x14ac:dyDescent="0.2">
      <c r="G329" s="73"/>
      <c r="J329" s="73"/>
      <c r="L329" s="73"/>
      <c r="O329" s="73"/>
    </row>
    <row r="330" spans="7:15" x14ac:dyDescent="0.2">
      <c r="G330" s="73"/>
      <c r="J330" s="73"/>
      <c r="L330" s="73"/>
      <c r="O330" s="73"/>
    </row>
    <row r="331" spans="7:15" x14ac:dyDescent="0.2">
      <c r="G331" s="73"/>
      <c r="J331" s="73"/>
      <c r="L331" s="73"/>
      <c r="O331" s="73"/>
    </row>
    <row r="332" spans="7:15" x14ac:dyDescent="0.2">
      <c r="G332" s="73"/>
      <c r="J332" s="73"/>
      <c r="L332" s="73"/>
      <c r="O332" s="73"/>
    </row>
    <row r="333" spans="7:15" x14ac:dyDescent="0.2">
      <c r="G333" s="73"/>
      <c r="J333" s="73"/>
      <c r="L333" s="73"/>
      <c r="O333" s="73"/>
    </row>
    <row r="334" spans="7:15" x14ac:dyDescent="0.2">
      <c r="G334" s="73"/>
      <c r="J334" s="73"/>
      <c r="L334" s="73"/>
      <c r="O334" s="73"/>
    </row>
    <row r="335" spans="7:15" x14ac:dyDescent="0.2">
      <c r="G335" s="73"/>
      <c r="J335" s="73"/>
      <c r="L335" s="73"/>
      <c r="O335" s="73"/>
    </row>
    <row r="336" spans="7:15" x14ac:dyDescent="0.2">
      <c r="G336" s="73"/>
      <c r="J336" s="73"/>
      <c r="L336" s="73"/>
      <c r="O336" s="73"/>
    </row>
    <row r="337" spans="7:15" x14ac:dyDescent="0.2">
      <c r="G337" s="73"/>
      <c r="J337" s="73"/>
      <c r="L337" s="73"/>
      <c r="O337" s="73"/>
    </row>
    <row r="338" spans="7:15" x14ac:dyDescent="0.2">
      <c r="G338" s="73"/>
      <c r="J338" s="73"/>
      <c r="L338" s="73"/>
      <c r="O338" s="73"/>
    </row>
    <row r="339" spans="7:15" x14ac:dyDescent="0.2">
      <c r="G339" s="73"/>
      <c r="J339" s="73"/>
      <c r="L339" s="73"/>
      <c r="O339" s="73"/>
    </row>
    <row r="340" spans="7:15" x14ac:dyDescent="0.2">
      <c r="G340" s="73"/>
      <c r="J340" s="73"/>
      <c r="L340" s="73"/>
      <c r="O340" s="73"/>
    </row>
    <row r="341" spans="7:15" x14ac:dyDescent="0.2">
      <c r="G341" s="73"/>
      <c r="J341" s="73"/>
      <c r="L341" s="73"/>
      <c r="O341" s="73"/>
    </row>
    <row r="342" spans="7:15" x14ac:dyDescent="0.2">
      <c r="G342" s="73"/>
      <c r="J342" s="73"/>
      <c r="L342" s="73"/>
      <c r="O342" s="73"/>
    </row>
    <row r="343" spans="7:15" x14ac:dyDescent="0.2">
      <c r="G343" s="73"/>
      <c r="J343" s="73"/>
      <c r="L343" s="73"/>
      <c r="O343" s="73"/>
    </row>
    <row r="344" spans="7:15" x14ac:dyDescent="0.2">
      <c r="G344" s="73"/>
      <c r="J344" s="73"/>
      <c r="L344" s="73"/>
      <c r="O344" s="73"/>
    </row>
    <row r="345" spans="7:15" x14ac:dyDescent="0.2">
      <c r="G345" s="73"/>
      <c r="J345" s="73"/>
      <c r="L345" s="73"/>
      <c r="O345" s="73"/>
    </row>
    <row r="346" spans="7:15" x14ac:dyDescent="0.2">
      <c r="G346" s="73"/>
      <c r="J346" s="73"/>
      <c r="L346" s="73"/>
      <c r="O346" s="73"/>
    </row>
    <row r="347" spans="7:15" x14ac:dyDescent="0.2">
      <c r="G347" s="73"/>
      <c r="J347" s="73"/>
      <c r="L347" s="73"/>
      <c r="O347" s="73"/>
    </row>
    <row r="348" spans="7:15" x14ac:dyDescent="0.2">
      <c r="G348" s="73"/>
      <c r="J348" s="73"/>
      <c r="L348" s="73"/>
      <c r="O348" s="73"/>
    </row>
    <row r="349" spans="7:15" x14ac:dyDescent="0.2">
      <c r="G349" s="73"/>
      <c r="J349" s="73"/>
      <c r="L349" s="73"/>
      <c r="O349" s="73"/>
    </row>
    <row r="350" spans="7:15" x14ac:dyDescent="0.2">
      <c r="G350" s="73"/>
      <c r="J350" s="73"/>
      <c r="L350" s="73"/>
      <c r="O350" s="73"/>
    </row>
    <row r="351" spans="7:15" x14ac:dyDescent="0.2">
      <c r="G351" s="73"/>
      <c r="J351" s="73"/>
      <c r="L351" s="73"/>
      <c r="O351" s="73"/>
    </row>
    <row r="352" spans="7:15" x14ac:dyDescent="0.2">
      <c r="G352" s="73"/>
      <c r="J352" s="73"/>
      <c r="L352" s="73"/>
      <c r="O352" s="73"/>
    </row>
    <row r="353" spans="7:15" x14ac:dyDescent="0.2">
      <c r="G353" s="73"/>
      <c r="J353" s="73"/>
      <c r="L353" s="73"/>
      <c r="O353" s="73"/>
    </row>
    <row r="354" spans="7:15" x14ac:dyDescent="0.2">
      <c r="G354" s="73"/>
      <c r="J354" s="73"/>
      <c r="L354" s="73"/>
      <c r="O354" s="73"/>
    </row>
    <row r="355" spans="7:15" x14ac:dyDescent="0.2">
      <c r="G355" s="73"/>
      <c r="J355" s="73"/>
      <c r="L355" s="73"/>
      <c r="O355" s="73"/>
    </row>
    <row r="356" spans="7:15" x14ac:dyDescent="0.2">
      <c r="G356" s="73"/>
      <c r="J356" s="73"/>
      <c r="L356" s="73"/>
      <c r="O356" s="73"/>
    </row>
    <row r="357" spans="7:15" x14ac:dyDescent="0.2">
      <c r="G357" s="73"/>
      <c r="J357" s="73"/>
      <c r="L357" s="73"/>
      <c r="O357" s="73"/>
    </row>
    <row r="358" spans="7:15" x14ac:dyDescent="0.2">
      <c r="G358" s="73"/>
      <c r="J358" s="73"/>
      <c r="L358" s="73"/>
      <c r="O358" s="73"/>
    </row>
    <row r="359" spans="7:15" x14ac:dyDescent="0.2">
      <c r="G359" s="73"/>
      <c r="J359" s="73"/>
      <c r="L359" s="73"/>
      <c r="O359" s="73"/>
    </row>
    <row r="360" spans="7:15" x14ac:dyDescent="0.2">
      <c r="G360" s="73"/>
      <c r="J360" s="73"/>
      <c r="L360" s="73"/>
      <c r="O360" s="73"/>
    </row>
    <row r="361" spans="7:15" x14ac:dyDescent="0.2">
      <c r="G361" s="73"/>
      <c r="J361" s="73"/>
      <c r="L361" s="73"/>
      <c r="O361" s="73"/>
    </row>
    <row r="362" spans="7:15" x14ac:dyDescent="0.2">
      <c r="G362" s="73"/>
      <c r="J362" s="73"/>
      <c r="L362" s="73"/>
      <c r="O362" s="73"/>
    </row>
    <row r="363" spans="7:15" x14ac:dyDescent="0.2">
      <c r="G363" s="73"/>
      <c r="J363" s="73"/>
      <c r="L363" s="73"/>
      <c r="O363" s="73"/>
    </row>
    <row r="364" spans="7:15" x14ac:dyDescent="0.2">
      <c r="G364" s="73"/>
      <c r="J364" s="73"/>
      <c r="L364" s="73"/>
      <c r="O364" s="73"/>
    </row>
    <row r="365" spans="7:15" x14ac:dyDescent="0.2">
      <c r="G365" s="73"/>
      <c r="J365" s="73"/>
      <c r="L365" s="73"/>
      <c r="O365" s="73"/>
    </row>
    <row r="366" spans="7:15" x14ac:dyDescent="0.2">
      <c r="G366" s="73"/>
      <c r="J366" s="73"/>
      <c r="L366" s="73"/>
      <c r="O366" s="73"/>
    </row>
    <row r="367" spans="7:15" x14ac:dyDescent="0.2">
      <c r="G367" s="73"/>
      <c r="J367" s="73"/>
      <c r="L367" s="73"/>
      <c r="O367" s="73"/>
    </row>
    <row r="368" spans="7:15" x14ac:dyDescent="0.2">
      <c r="G368" s="73"/>
      <c r="J368" s="73"/>
      <c r="L368" s="73"/>
      <c r="O368" s="73"/>
    </row>
    <row r="369" spans="7:15" x14ac:dyDescent="0.2">
      <c r="G369" s="73"/>
      <c r="J369" s="73"/>
      <c r="L369" s="73"/>
      <c r="O369" s="73"/>
    </row>
    <row r="370" spans="7:15" x14ac:dyDescent="0.2">
      <c r="G370" s="73"/>
      <c r="J370" s="73"/>
      <c r="L370" s="73"/>
      <c r="O370" s="73"/>
    </row>
    <row r="371" spans="7:15" x14ac:dyDescent="0.2">
      <c r="G371" s="73"/>
      <c r="J371" s="73"/>
      <c r="L371" s="73"/>
      <c r="O371" s="73"/>
    </row>
    <row r="372" spans="7:15" x14ac:dyDescent="0.2">
      <c r="G372" s="73"/>
      <c r="J372" s="73"/>
      <c r="L372" s="73"/>
      <c r="O372" s="73"/>
    </row>
    <row r="373" spans="7:15" x14ac:dyDescent="0.2">
      <c r="G373" s="73"/>
      <c r="J373" s="73"/>
      <c r="L373" s="73"/>
      <c r="O373" s="73"/>
    </row>
    <row r="374" spans="7:15" x14ac:dyDescent="0.2">
      <c r="G374" s="73"/>
      <c r="J374" s="73"/>
      <c r="L374" s="73"/>
      <c r="O374" s="73"/>
    </row>
    <row r="375" spans="7:15" x14ac:dyDescent="0.2">
      <c r="G375" s="73"/>
      <c r="J375" s="73"/>
      <c r="L375" s="73"/>
      <c r="O375" s="73"/>
    </row>
    <row r="376" spans="7:15" x14ac:dyDescent="0.2">
      <c r="G376" s="73"/>
      <c r="J376" s="73"/>
      <c r="L376" s="73"/>
      <c r="O376" s="73"/>
    </row>
    <row r="377" spans="7:15" x14ac:dyDescent="0.2">
      <c r="G377" s="73"/>
      <c r="J377" s="73"/>
      <c r="L377" s="73"/>
      <c r="O377" s="73"/>
    </row>
    <row r="378" spans="7:15" x14ac:dyDescent="0.2">
      <c r="G378" s="73"/>
      <c r="J378" s="73"/>
      <c r="L378" s="73"/>
      <c r="O378" s="73"/>
    </row>
    <row r="379" spans="7:15" x14ac:dyDescent="0.2">
      <c r="G379" s="73"/>
      <c r="J379" s="73"/>
      <c r="L379" s="73"/>
      <c r="O379" s="73"/>
    </row>
    <row r="380" spans="7:15" x14ac:dyDescent="0.2">
      <c r="G380" s="73"/>
      <c r="J380" s="73"/>
      <c r="L380" s="73"/>
      <c r="O380" s="73"/>
    </row>
    <row r="381" spans="7:15" x14ac:dyDescent="0.2">
      <c r="G381" s="73"/>
      <c r="J381" s="73"/>
      <c r="L381" s="73"/>
      <c r="O381" s="73"/>
    </row>
    <row r="382" spans="7:15" x14ac:dyDescent="0.2">
      <c r="G382" s="73"/>
      <c r="J382" s="73"/>
      <c r="L382" s="73"/>
      <c r="O382" s="73"/>
    </row>
    <row r="383" spans="7:15" x14ac:dyDescent="0.2">
      <c r="G383" s="73"/>
      <c r="J383" s="73"/>
      <c r="L383" s="73"/>
      <c r="O383" s="73"/>
    </row>
    <row r="384" spans="7:15" x14ac:dyDescent="0.2">
      <c r="G384" s="73"/>
      <c r="J384" s="73"/>
      <c r="L384" s="73"/>
      <c r="O384" s="73"/>
    </row>
    <row r="385" spans="7:15" x14ac:dyDescent="0.2">
      <c r="G385" s="73"/>
      <c r="J385" s="73"/>
      <c r="L385" s="73"/>
      <c r="O385" s="73"/>
    </row>
    <row r="386" spans="7:15" x14ac:dyDescent="0.2">
      <c r="G386" s="73"/>
      <c r="J386" s="73"/>
      <c r="L386" s="73"/>
      <c r="O386" s="73"/>
    </row>
    <row r="387" spans="7:15" x14ac:dyDescent="0.2">
      <c r="G387" s="73"/>
      <c r="J387" s="73"/>
      <c r="L387" s="73"/>
      <c r="O387" s="73"/>
    </row>
    <row r="388" spans="7:15" x14ac:dyDescent="0.2">
      <c r="G388" s="73"/>
      <c r="J388" s="73"/>
      <c r="L388" s="73"/>
      <c r="O388" s="73"/>
    </row>
    <row r="389" spans="7:15" x14ac:dyDescent="0.2">
      <c r="G389" s="73"/>
      <c r="J389" s="73"/>
      <c r="L389" s="73"/>
      <c r="O389" s="73"/>
    </row>
    <row r="390" spans="7:15" x14ac:dyDescent="0.2">
      <c r="G390" s="73"/>
      <c r="J390" s="73"/>
      <c r="L390" s="73"/>
      <c r="O390" s="73"/>
    </row>
    <row r="391" spans="7:15" x14ac:dyDescent="0.2">
      <c r="G391" s="73"/>
      <c r="J391" s="73"/>
      <c r="L391" s="73"/>
      <c r="O391" s="73"/>
    </row>
    <row r="392" spans="7:15" x14ac:dyDescent="0.2">
      <c r="G392" s="73"/>
      <c r="J392" s="73"/>
      <c r="L392" s="73"/>
      <c r="O392" s="73"/>
    </row>
    <row r="393" spans="7:15" x14ac:dyDescent="0.2">
      <c r="G393" s="73"/>
      <c r="J393" s="73"/>
      <c r="L393" s="73"/>
      <c r="O393" s="73"/>
    </row>
    <row r="394" spans="7:15" x14ac:dyDescent="0.2">
      <c r="G394" s="73"/>
      <c r="J394" s="73"/>
      <c r="L394" s="73"/>
      <c r="O394" s="73"/>
    </row>
    <row r="395" spans="7:15" x14ac:dyDescent="0.2">
      <c r="G395" s="73"/>
      <c r="J395" s="73"/>
      <c r="L395" s="73"/>
      <c r="O395" s="73"/>
    </row>
    <row r="396" spans="7:15" x14ac:dyDescent="0.2">
      <c r="G396" s="73"/>
      <c r="J396" s="73"/>
      <c r="L396" s="73"/>
      <c r="O396" s="73"/>
    </row>
    <row r="397" spans="7:15" x14ac:dyDescent="0.2">
      <c r="G397" s="73"/>
      <c r="J397" s="73"/>
      <c r="L397" s="73"/>
      <c r="O397" s="73"/>
    </row>
    <row r="398" spans="7:15" x14ac:dyDescent="0.2">
      <c r="G398" s="73"/>
      <c r="J398" s="73"/>
      <c r="L398" s="73"/>
      <c r="O398" s="73"/>
    </row>
    <row r="399" spans="7:15" x14ac:dyDescent="0.2">
      <c r="G399" s="73"/>
      <c r="J399" s="73"/>
      <c r="L399" s="73"/>
      <c r="O399" s="73"/>
    </row>
    <row r="400" spans="7:15" x14ac:dyDescent="0.2">
      <c r="G400" s="73"/>
      <c r="J400" s="73"/>
      <c r="L400" s="73"/>
      <c r="O400" s="73"/>
    </row>
    <row r="401" spans="7:15" x14ac:dyDescent="0.2">
      <c r="G401" s="73"/>
      <c r="J401" s="73"/>
      <c r="L401" s="73"/>
      <c r="O401" s="73"/>
    </row>
    <row r="402" spans="7:15" x14ac:dyDescent="0.2">
      <c r="G402" s="73"/>
      <c r="J402" s="73"/>
      <c r="L402" s="73"/>
      <c r="O402" s="73"/>
    </row>
    <row r="403" spans="7:15" x14ac:dyDescent="0.2">
      <c r="G403" s="73"/>
      <c r="J403" s="73"/>
      <c r="L403" s="73"/>
      <c r="O403" s="73"/>
    </row>
    <row r="404" spans="7:15" x14ac:dyDescent="0.2">
      <c r="G404" s="73"/>
      <c r="J404" s="73"/>
      <c r="L404" s="73"/>
      <c r="O404" s="73"/>
    </row>
    <row r="405" spans="7:15" x14ac:dyDescent="0.2">
      <c r="G405" s="73"/>
      <c r="J405" s="73"/>
      <c r="L405" s="73"/>
      <c r="O405" s="73"/>
    </row>
    <row r="406" spans="7:15" x14ac:dyDescent="0.2">
      <c r="G406" s="73"/>
      <c r="J406" s="73"/>
      <c r="L406" s="73"/>
      <c r="O406" s="73"/>
    </row>
    <row r="407" spans="7:15" x14ac:dyDescent="0.2">
      <c r="G407" s="73"/>
      <c r="J407" s="73"/>
      <c r="L407" s="73"/>
      <c r="O407" s="73"/>
    </row>
    <row r="408" spans="7:15" x14ac:dyDescent="0.2">
      <c r="G408" s="73"/>
      <c r="J408" s="73"/>
      <c r="L408" s="73"/>
      <c r="O408" s="73"/>
    </row>
    <row r="409" spans="7:15" x14ac:dyDescent="0.2">
      <c r="G409" s="73"/>
      <c r="J409" s="73"/>
      <c r="L409" s="73"/>
      <c r="O409" s="73"/>
    </row>
    <row r="410" spans="7:15" x14ac:dyDescent="0.2">
      <c r="G410" s="73"/>
      <c r="J410" s="73"/>
      <c r="L410" s="73"/>
      <c r="O410" s="73"/>
    </row>
    <row r="411" spans="7:15" x14ac:dyDescent="0.2">
      <c r="G411" s="73"/>
      <c r="J411" s="73"/>
      <c r="L411" s="73"/>
      <c r="O411" s="73"/>
    </row>
    <row r="412" spans="7:15" x14ac:dyDescent="0.2">
      <c r="G412" s="73"/>
      <c r="J412" s="73"/>
      <c r="L412" s="73"/>
      <c r="O412" s="73"/>
    </row>
    <row r="413" spans="7:15" x14ac:dyDescent="0.2">
      <c r="G413" s="73"/>
      <c r="J413" s="73"/>
      <c r="L413" s="73"/>
      <c r="O413" s="73"/>
    </row>
    <row r="414" spans="7:15" x14ac:dyDescent="0.2">
      <c r="G414" s="73"/>
      <c r="J414" s="73"/>
      <c r="L414" s="73"/>
      <c r="O414" s="73"/>
    </row>
    <row r="415" spans="7:15" x14ac:dyDescent="0.2">
      <c r="G415" s="73"/>
      <c r="J415" s="73"/>
      <c r="L415" s="73"/>
      <c r="O415" s="73"/>
    </row>
    <row r="416" spans="7:15" x14ac:dyDescent="0.2">
      <c r="G416" s="73"/>
      <c r="J416" s="73"/>
      <c r="L416" s="73"/>
      <c r="O416" s="73"/>
    </row>
    <row r="417" spans="7:15" x14ac:dyDescent="0.2">
      <c r="G417" s="73"/>
      <c r="J417" s="73"/>
      <c r="L417" s="73"/>
      <c r="O417" s="73"/>
    </row>
    <row r="418" spans="7:15" x14ac:dyDescent="0.2">
      <c r="G418" s="73"/>
      <c r="J418" s="73"/>
      <c r="L418" s="73"/>
      <c r="O418" s="73"/>
    </row>
    <row r="419" spans="7:15" x14ac:dyDescent="0.2">
      <c r="G419" s="73"/>
      <c r="J419" s="73"/>
      <c r="L419" s="73"/>
      <c r="O419" s="73"/>
    </row>
    <row r="420" spans="7:15" x14ac:dyDescent="0.2">
      <c r="G420" s="73"/>
      <c r="J420" s="73"/>
      <c r="L420" s="73"/>
      <c r="O420" s="73"/>
    </row>
    <row r="421" spans="7:15" x14ac:dyDescent="0.2">
      <c r="G421" s="73"/>
      <c r="J421" s="73"/>
      <c r="L421" s="73"/>
      <c r="O421" s="73"/>
    </row>
    <row r="422" spans="7:15" x14ac:dyDescent="0.2">
      <c r="G422" s="73"/>
      <c r="J422" s="73"/>
      <c r="L422" s="73"/>
      <c r="O422" s="73"/>
    </row>
    <row r="423" spans="7:15" x14ac:dyDescent="0.2">
      <c r="G423" s="73"/>
      <c r="J423" s="73"/>
      <c r="L423" s="73"/>
      <c r="O423" s="73"/>
    </row>
    <row r="424" spans="7:15" x14ac:dyDescent="0.2">
      <c r="G424" s="73"/>
      <c r="J424" s="73"/>
      <c r="L424" s="73"/>
      <c r="O424" s="73"/>
    </row>
    <row r="425" spans="7:15" x14ac:dyDescent="0.2">
      <c r="G425" s="73"/>
      <c r="J425" s="73"/>
      <c r="L425" s="73"/>
      <c r="O425" s="73"/>
    </row>
    <row r="426" spans="7:15" x14ac:dyDescent="0.2">
      <c r="G426" s="73"/>
      <c r="J426" s="73"/>
      <c r="L426" s="73"/>
      <c r="O426" s="73"/>
    </row>
    <row r="427" spans="7:15" x14ac:dyDescent="0.2">
      <c r="G427" s="73"/>
      <c r="J427" s="73"/>
      <c r="L427" s="73"/>
      <c r="O427" s="73"/>
    </row>
    <row r="428" spans="7:15" x14ac:dyDescent="0.2">
      <c r="G428" s="73"/>
      <c r="J428" s="73"/>
      <c r="L428" s="73"/>
      <c r="O428" s="73"/>
    </row>
    <row r="429" spans="7:15" x14ac:dyDescent="0.2">
      <c r="G429" s="73"/>
      <c r="J429" s="73"/>
      <c r="L429" s="73"/>
      <c r="O429" s="73"/>
    </row>
    <row r="430" spans="7:15" x14ac:dyDescent="0.2">
      <c r="G430" s="73"/>
      <c r="J430" s="73"/>
      <c r="L430" s="73"/>
      <c r="O430" s="73"/>
    </row>
    <row r="431" spans="7:15" x14ac:dyDescent="0.2">
      <c r="G431" s="73"/>
      <c r="J431" s="73"/>
      <c r="L431" s="73"/>
      <c r="O431" s="73"/>
    </row>
    <row r="432" spans="7:15" x14ac:dyDescent="0.2">
      <c r="G432" s="73"/>
      <c r="J432" s="73"/>
      <c r="L432" s="73"/>
      <c r="O432" s="73"/>
    </row>
    <row r="433" spans="7:15" x14ac:dyDescent="0.2">
      <c r="G433" s="73"/>
      <c r="J433" s="73"/>
      <c r="L433" s="73"/>
      <c r="O433" s="73"/>
    </row>
    <row r="434" spans="7:15" x14ac:dyDescent="0.2">
      <c r="G434" s="73"/>
      <c r="J434" s="73"/>
      <c r="L434" s="73"/>
      <c r="O434" s="73"/>
    </row>
    <row r="435" spans="7:15" x14ac:dyDescent="0.2">
      <c r="G435" s="73"/>
      <c r="J435" s="73"/>
      <c r="L435" s="73"/>
      <c r="O435" s="73"/>
    </row>
    <row r="436" spans="7:15" x14ac:dyDescent="0.2">
      <c r="G436" s="73"/>
      <c r="J436" s="73"/>
      <c r="L436" s="73"/>
      <c r="O436" s="73"/>
    </row>
    <row r="437" spans="7:15" x14ac:dyDescent="0.2">
      <c r="G437" s="73"/>
      <c r="J437" s="73"/>
      <c r="L437" s="73"/>
      <c r="O437" s="73"/>
    </row>
    <row r="438" spans="7:15" x14ac:dyDescent="0.2">
      <c r="G438" s="73"/>
      <c r="J438" s="73"/>
      <c r="L438" s="73"/>
      <c r="O438" s="73"/>
    </row>
    <row r="439" spans="7:15" x14ac:dyDescent="0.2">
      <c r="G439" s="73"/>
      <c r="J439" s="73"/>
      <c r="L439" s="73"/>
      <c r="O439" s="73"/>
    </row>
    <row r="440" spans="7:15" x14ac:dyDescent="0.2">
      <c r="G440" s="73"/>
      <c r="J440" s="73"/>
      <c r="L440" s="73"/>
      <c r="O440" s="73"/>
    </row>
    <row r="441" spans="7:15" x14ac:dyDescent="0.2">
      <c r="G441" s="73"/>
      <c r="J441" s="73"/>
      <c r="L441" s="73"/>
      <c r="O441" s="73"/>
    </row>
    <row r="442" spans="7:15" x14ac:dyDescent="0.2">
      <c r="G442" s="73"/>
      <c r="J442" s="73"/>
      <c r="L442" s="73"/>
      <c r="O442" s="73"/>
    </row>
    <row r="443" spans="7:15" x14ac:dyDescent="0.2">
      <c r="G443" s="73"/>
      <c r="J443" s="73"/>
      <c r="L443" s="73"/>
      <c r="O443" s="73"/>
    </row>
    <row r="444" spans="7:15" x14ac:dyDescent="0.2">
      <c r="G444" s="73"/>
      <c r="J444" s="73"/>
      <c r="L444" s="73"/>
      <c r="O444" s="73"/>
    </row>
    <row r="445" spans="7:15" x14ac:dyDescent="0.2">
      <c r="G445" s="73"/>
      <c r="J445" s="73"/>
      <c r="L445" s="73"/>
      <c r="O445" s="73"/>
    </row>
    <row r="446" spans="7:15" x14ac:dyDescent="0.2">
      <c r="G446" s="73"/>
      <c r="J446" s="73"/>
      <c r="L446" s="73"/>
      <c r="O446" s="73"/>
    </row>
    <row r="447" spans="7:15" x14ac:dyDescent="0.2">
      <c r="G447" s="73"/>
      <c r="J447" s="73"/>
      <c r="L447" s="73"/>
      <c r="O447" s="73"/>
    </row>
    <row r="448" spans="7:15" x14ac:dyDescent="0.2">
      <c r="G448" s="73"/>
      <c r="J448" s="73"/>
      <c r="L448" s="73"/>
      <c r="O448" s="73"/>
    </row>
    <row r="449" spans="7:15" x14ac:dyDescent="0.2">
      <c r="G449" s="73"/>
      <c r="J449" s="73"/>
      <c r="L449" s="73"/>
      <c r="O449" s="73"/>
    </row>
    <row r="450" spans="7:15" x14ac:dyDescent="0.2">
      <c r="G450" s="73"/>
      <c r="J450" s="73"/>
      <c r="L450" s="73"/>
      <c r="O450" s="73"/>
    </row>
    <row r="451" spans="7:15" x14ac:dyDescent="0.2">
      <c r="G451" s="73"/>
      <c r="J451" s="73"/>
      <c r="L451" s="73"/>
      <c r="O451" s="73"/>
    </row>
    <row r="452" spans="7:15" x14ac:dyDescent="0.2">
      <c r="G452" s="73"/>
      <c r="J452" s="73"/>
      <c r="L452" s="73"/>
      <c r="O452" s="73"/>
    </row>
    <row r="453" spans="7:15" x14ac:dyDescent="0.2">
      <c r="G453" s="73"/>
      <c r="J453" s="73"/>
      <c r="L453" s="73"/>
      <c r="O453" s="73"/>
    </row>
    <row r="454" spans="7:15" x14ac:dyDescent="0.2">
      <c r="G454" s="73"/>
      <c r="J454" s="73"/>
      <c r="L454" s="73"/>
      <c r="O454" s="73"/>
    </row>
    <row r="455" spans="7:15" x14ac:dyDescent="0.2">
      <c r="G455" s="73"/>
      <c r="J455" s="73"/>
      <c r="L455" s="73"/>
      <c r="O455" s="73"/>
    </row>
    <row r="456" spans="7:15" x14ac:dyDescent="0.2">
      <c r="G456" s="73"/>
      <c r="J456" s="73"/>
      <c r="L456" s="73"/>
      <c r="O456" s="73"/>
    </row>
    <row r="457" spans="7:15" x14ac:dyDescent="0.2">
      <c r="G457" s="73"/>
      <c r="J457" s="73"/>
      <c r="L457" s="73"/>
      <c r="O457" s="73"/>
    </row>
    <row r="458" spans="7:15" x14ac:dyDescent="0.2">
      <c r="G458" s="73"/>
      <c r="J458" s="73"/>
      <c r="L458" s="73"/>
      <c r="O458" s="73"/>
    </row>
    <row r="459" spans="7:15" x14ac:dyDescent="0.2">
      <c r="G459" s="73"/>
      <c r="J459" s="73"/>
      <c r="L459" s="73"/>
      <c r="O459" s="73"/>
    </row>
    <row r="460" spans="7:15" x14ac:dyDescent="0.2">
      <c r="G460" s="73"/>
      <c r="J460" s="73"/>
      <c r="L460" s="73"/>
      <c r="O460" s="73"/>
    </row>
    <row r="461" spans="7:15" x14ac:dyDescent="0.2">
      <c r="G461" s="73"/>
      <c r="J461" s="73"/>
      <c r="L461" s="73"/>
      <c r="O461" s="73"/>
    </row>
    <row r="462" spans="7:15" x14ac:dyDescent="0.2">
      <c r="G462" s="73"/>
      <c r="J462" s="73"/>
      <c r="L462" s="73"/>
      <c r="O462" s="73"/>
    </row>
    <row r="463" spans="7:15" x14ac:dyDescent="0.2">
      <c r="G463" s="73"/>
      <c r="J463" s="73"/>
      <c r="L463" s="73"/>
      <c r="O463" s="73"/>
    </row>
    <row r="464" spans="7:15" x14ac:dyDescent="0.2">
      <c r="G464" s="73"/>
      <c r="J464" s="73"/>
      <c r="L464" s="73"/>
      <c r="O464" s="73"/>
    </row>
    <row r="465" spans="7:15" x14ac:dyDescent="0.2">
      <c r="G465" s="73"/>
      <c r="J465" s="73"/>
      <c r="L465" s="73"/>
      <c r="O465" s="73"/>
    </row>
    <row r="466" spans="7:15" x14ac:dyDescent="0.2">
      <c r="G466" s="73"/>
      <c r="J466" s="73"/>
      <c r="L466" s="73"/>
      <c r="O466" s="73"/>
    </row>
    <row r="467" spans="7:15" x14ac:dyDescent="0.2">
      <c r="G467" s="73"/>
      <c r="J467" s="73"/>
      <c r="L467" s="73"/>
      <c r="O467" s="73"/>
    </row>
    <row r="468" spans="7:15" x14ac:dyDescent="0.2">
      <c r="G468" s="73"/>
      <c r="J468" s="73"/>
      <c r="L468" s="73"/>
      <c r="O468" s="73"/>
    </row>
    <row r="469" spans="7:15" x14ac:dyDescent="0.2">
      <c r="G469" s="73"/>
      <c r="J469" s="73"/>
      <c r="L469" s="73"/>
      <c r="O469" s="73"/>
    </row>
    <row r="470" spans="7:15" x14ac:dyDescent="0.2">
      <c r="G470" s="73"/>
      <c r="J470" s="73"/>
      <c r="L470" s="73"/>
      <c r="O470" s="73"/>
    </row>
    <row r="471" spans="7:15" x14ac:dyDescent="0.2">
      <c r="G471" s="73"/>
      <c r="J471" s="73"/>
      <c r="L471" s="73"/>
      <c r="O471" s="73"/>
    </row>
    <row r="472" spans="7:15" x14ac:dyDescent="0.2">
      <c r="G472" s="73"/>
      <c r="J472" s="73"/>
      <c r="L472" s="73"/>
      <c r="O472" s="73"/>
    </row>
    <row r="473" spans="7:15" x14ac:dyDescent="0.2">
      <c r="G473" s="73"/>
      <c r="J473" s="73"/>
      <c r="L473" s="73"/>
      <c r="O473" s="73"/>
    </row>
    <row r="474" spans="7:15" x14ac:dyDescent="0.2">
      <c r="G474" s="73"/>
      <c r="J474" s="73"/>
      <c r="L474" s="73"/>
      <c r="O474" s="73"/>
    </row>
    <row r="475" spans="7:15" x14ac:dyDescent="0.2">
      <c r="G475" s="73"/>
      <c r="J475" s="73"/>
      <c r="L475" s="73"/>
      <c r="O475" s="73"/>
    </row>
    <row r="476" spans="7:15" x14ac:dyDescent="0.2">
      <c r="G476" s="73"/>
      <c r="J476" s="73"/>
      <c r="L476" s="73"/>
      <c r="O476" s="73"/>
    </row>
    <row r="477" spans="7:15" x14ac:dyDescent="0.2">
      <c r="G477" s="73"/>
      <c r="J477" s="73"/>
      <c r="L477" s="73"/>
      <c r="O477" s="73"/>
    </row>
    <row r="478" spans="7:15" x14ac:dyDescent="0.2">
      <c r="G478" s="73"/>
      <c r="J478" s="73"/>
      <c r="L478" s="73"/>
      <c r="O478" s="73"/>
    </row>
    <row r="479" spans="7:15" x14ac:dyDescent="0.2">
      <c r="G479" s="73"/>
      <c r="J479" s="73"/>
      <c r="L479" s="73"/>
      <c r="O479" s="73"/>
    </row>
    <row r="480" spans="7:15" x14ac:dyDescent="0.2">
      <c r="G480" s="73"/>
      <c r="J480" s="73"/>
      <c r="L480" s="73"/>
      <c r="O480" s="73"/>
    </row>
    <row r="481" spans="7:15" x14ac:dyDescent="0.2">
      <c r="G481" s="73"/>
      <c r="J481" s="73"/>
      <c r="L481" s="73"/>
      <c r="O481" s="73"/>
    </row>
    <row r="482" spans="7:15" x14ac:dyDescent="0.2">
      <c r="G482" s="73"/>
      <c r="J482" s="73"/>
      <c r="L482" s="73"/>
      <c r="O482" s="73"/>
    </row>
    <row r="483" spans="7:15" x14ac:dyDescent="0.2">
      <c r="G483" s="73"/>
      <c r="J483" s="73"/>
      <c r="L483" s="73"/>
      <c r="O483" s="73"/>
    </row>
    <row r="484" spans="7:15" x14ac:dyDescent="0.2">
      <c r="G484" s="73"/>
      <c r="J484" s="73"/>
      <c r="L484" s="73"/>
      <c r="O484" s="73"/>
    </row>
    <row r="485" spans="7:15" x14ac:dyDescent="0.2">
      <c r="G485" s="73"/>
      <c r="J485" s="73"/>
      <c r="L485" s="73"/>
      <c r="O485" s="73"/>
    </row>
    <row r="486" spans="7:15" x14ac:dyDescent="0.2">
      <c r="G486" s="73"/>
      <c r="J486" s="73"/>
      <c r="L486" s="73"/>
      <c r="O486" s="73"/>
    </row>
    <row r="487" spans="7:15" x14ac:dyDescent="0.2">
      <c r="G487" s="73"/>
      <c r="J487" s="73"/>
      <c r="L487" s="73"/>
      <c r="O487" s="73"/>
    </row>
    <row r="488" spans="7:15" x14ac:dyDescent="0.2">
      <c r="G488" s="73"/>
      <c r="J488" s="73"/>
      <c r="L488" s="73"/>
      <c r="O488" s="73"/>
    </row>
    <row r="489" spans="7:15" x14ac:dyDescent="0.2">
      <c r="G489" s="73"/>
      <c r="J489" s="73"/>
      <c r="L489" s="73"/>
      <c r="O489" s="73"/>
    </row>
    <row r="490" spans="7:15" x14ac:dyDescent="0.2">
      <c r="G490" s="73"/>
      <c r="J490" s="73"/>
      <c r="L490" s="73"/>
      <c r="O490" s="73"/>
    </row>
    <row r="491" spans="7:15" x14ac:dyDescent="0.2">
      <c r="G491" s="73"/>
      <c r="J491" s="73"/>
      <c r="L491" s="73"/>
      <c r="O491" s="73"/>
    </row>
    <row r="492" spans="7:15" x14ac:dyDescent="0.2">
      <c r="G492" s="73"/>
      <c r="J492" s="73"/>
      <c r="L492" s="73"/>
      <c r="O492" s="73"/>
    </row>
    <row r="493" spans="7:15" x14ac:dyDescent="0.2">
      <c r="G493" s="73"/>
      <c r="J493" s="73"/>
      <c r="L493" s="73"/>
      <c r="O493" s="73"/>
    </row>
    <row r="494" spans="7:15" x14ac:dyDescent="0.2">
      <c r="G494" s="73"/>
      <c r="J494" s="73"/>
      <c r="L494" s="73"/>
      <c r="O494" s="73"/>
    </row>
    <row r="495" spans="7:15" x14ac:dyDescent="0.2">
      <c r="G495" s="73"/>
      <c r="J495" s="73"/>
      <c r="L495" s="73"/>
      <c r="O495" s="73"/>
    </row>
    <row r="496" spans="7:15" x14ac:dyDescent="0.2">
      <c r="G496" s="73"/>
      <c r="J496" s="73"/>
      <c r="L496" s="73"/>
      <c r="O496" s="73"/>
    </row>
    <row r="497" spans="7:15" x14ac:dyDescent="0.2">
      <c r="G497" s="73"/>
      <c r="J497" s="73"/>
      <c r="L497" s="73"/>
      <c r="O497" s="73"/>
    </row>
    <row r="498" spans="7:15" x14ac:dyDescent="0.2">
      <c r="G498" s="73"/>
      <c r="J498" s="73"/>
      <c r="L498" s="73"/>
      <c r="O498" s="73"/>
    </row>
    <row r="499" spans="7:15" x14ac:dyDescent="0.2">
      <c r="G499" s="73"/>
      <c r="J499" s="73"/>
      <c r="L499" s="73"/>
      <c r="O499" s="73"/>
    </row>
    <row r="500" spans="7:15" x14ac:dyDescent="0.2">
      <c r="G500" s="73"/>
      <c r="J500" s="73"/>
      <c r="L500" s="73"/>
      <c r="O500" s="73"/>
    </row>
    <row r="501" spans="7:15" x14ac:dyDescent="0.2">
      <c r="G501" s="73"/>
      <c r="J501" s="73"/>
      <c r="L501" s="73"/>
      <c r="O501" s="73"/>
    </row>
    <row r="502" spans="7:15" x14ac:dyDescent="0.2">
      <c r="G502" s="73"/>
      <c r="J502" s="73"/>
      <c r="L502" s="73"/>
      <c r="O502" s="73"/>
    </row>
    <row r="503" spans="7:15" x14ac:dyDescent="0.2">
      <c r="G503" s="73"/>
      <c r="J503" s="73"/>
      <c r="L503" s="73"/>
      <c r="O503" s="73"/>
    </row>
    <row r="504" spans="7:15" x14ac:dyDescent="0.2">
      <c r="G504" s="73"/>
      <c r="J504" s="73"/>
      <c r="L504" s="73"/>
      <c r="O504" s="73"/>
    </row>
    <row r="505" spans="7:15" x14ac:dyDescent="0.2">
      <c r="G505" s="73"/>
      <c r="J505" s="73"/>
      <c r="L505" s="73"/>
      <c r="O505" s="73"/>
    </row>
    <row r="506" spans="7:15" x14ac:dyDescent="0.2">
      <c r="G506" s="73"/>
      <c r="J506" s="73"/>
      <c r="L506" s="73"/>
      <c r="O506" s="73"/>
    </row>
    <row r="507" spans="7:15" x14ac:dyDescent="0.2">
      <c r="G507" s="73"/>
      <c r="J507" s="73"/>
      <c r="L507" s="73"/>
      <c r="O507" s="73"/>
    </row>
    <row r="508" spans="7:15" x14ac:dyDescent="0.2">
      <c r="G508" s="73"/>
      <c r="J508" s="73"/>
      <c r="L508" s="73"/>
      <c r="O508" s="73"/>
    </row>
    <row r="509" spans="7:15" x14ac:dyDescent="0.2">
      <c r="G509" s="73"/>
      <c r="J509" s="73"/>
      <c r="L509" s="73"/>
      <c r="O509" s="73"/>
    </row>
    <row r="510" spans="7:15" x14ac:dyDescent="0.2">
      <c r="G510" s="73"/>
      <c r="J510" s="73"/>
      <c r="L510" s="73"/>
      <c r="O510" s="73"/>
    </row>
    <row r="511" spans="7:15" x14ac:dyDescent="0.2">
      <c r="G511" s="73"/>
      <c r="J511" s="73"/>
      <c r="L511" s="73"/>
      <c r="O511" s="73"/>
    </row>
    <row r="512" spans="7:15" x14ac:dyDescent="0.2">
      <c r="G512" s="73"/>
      <c r="J512" s="73"/>
      <c r="L512" s="73"/>
      <c r="O512" s="73"/>
    </row>
    <row r="513" spans="7:15" x14ac:dyDescent="0.2">
      <c r="G513" s="73"/>
      <c r="J513" s="73"/>
      <c r="L513" s="73"/>
      <c r="O513" s="73"/>
    </row>
    <row r="514" spans="7:15" x14ac:dyDescent="0.2">
      <c r="G514" s="73"/>
      <c r="J514" s="73"/>
      <c r="L514" s="73"/>
      <c r="O514" s="73"/>
    </row>
    <row r="515" spans="7:15" x14ac:dyDescent="0.2">
      <c r="G515" s="73"/>
      <c r="J515" s="73"/>
      <c r="L515" s="73"/>
      <c r="O515" s="73"/>
    </row>
    <row r="516" spans="7:15" x14ac:dyDescent="0.2">
      <c r="G516" s="73"/>
      <c r="J516" s="73"/>
      <c r="L516" s="73"/>
      <c r="O516" s="73"/>
    </row>
    <row r="517" spans="7:15" x14ac:dyDescent="0.2">
      <c r="G517" s="73"/>
      <c r="J517" s="73"/>
      <c r="L517" s="73"/>
      <c r="O517" s="73"/>
    </row>
    <row r="518" spans="7:15" x14ac:dyDescent="0.2">
      <c r="G518" s="73"/>
      <c r="J518" s="73"/>
      <c r="L518" s="73"/>
      <c r="O518" s="73"/>
    </row>
    <row r="519" spans="7:15" x14ac:dyDescent="0.2">
      <c r="G519" s="73"/>
      <c r="J519" s="73"/>
      <c r="L519" s="73"/>
      <c r="O519" s="73"/>
    </row>
    <row r="520" spans="7:15" x14ac:dyDescent="0.2">
      <c r="G520" s="73"/>
      <c r="J520" s="73"/>
      <c r="L520" s="73"/>
      <c r="O520" s="73"/>
    </row>
    <row r="521" spans="7:15" x14ac:dyDescent="0.2">
      <c r="G521" s="73"/>
      <c r="J521" s="73"/>
      <c r="L521" s="73"/>
      <c r="O521" s="73"/>
    </row>
    <row r="522" spans="7:15" x14ac:dyDescent="0.2">
      <c r="G522" s="73"/>
      <c r="J522" s="73"/>
      <c r="L522" s="73"/>
      <c r="O522" s="73"/>
    </row>
    <row r="523" spans="7:15" x14ac:dyDescent="0.2">
      <c r="G523" s="73"/>
      <c r="J523" s="73"/>
      <c r="L523" s="73"/>
      <c r="O523" s="73"/>
    </row>
    <row r="524" spans="7:15" x14ac:dyDescent="0.2">
      <c r="G524" s="73"/>
      <c r="J524" s="73"/>
      <c r="L524" s="73"/>
      <c r="O524" s="73"/>
    </row>
    <row r="525" spans="7:15" x14ac:dyDescent="0.2">
      <c r="G525" s="73"/>
      <c r="J525" s="73"/>
      <c r="L525" s="73"/>
      <c r="O525" s="73"/>
    </row>
    <row r="526" spans="7:15" x14ac:dyDescent="0.2">
      <c r="G526" s="73"/>
      <c r="J526" s="73"/>
      <c r="L526" s="73"/>
      <c r="O526" s="73"/>
    </row>
    <row r="527" spans="7:15" x14ac:dyDescent="0.2">
      <c r="G527" s="73"/>
      <c r="J527" s="73"/>
      <c r="L527" s="73"/>
      <c r="O527" s="73"/>
    </row>
    <row r="528" spans="7:15" x14ac:dyDescent="0.2">
      <c r="G528" s="73"/>
      <c r="J528" s="73"/>
      <c r="L528" s="73"/>
      <c r="O528" s="73"/>
    </row>
    <row r="529" spans="7:15" x14ac:dyDescent="0.2">
      <c r="G529" s="73"/>
      <c r="J529" s="73"/>
      <c r="L529" s="73"/>
      <c r="O529" s="73"/>
    </row>
    <row r="530" spans="7:15" x14ac:dyDescent="0.2">
      <c r="G530" s="73"/>
      <c r="J530" s="73"/>
      <c r="L530" s="73"/>
      <c r="O530" s="73"/>
    </row>
    <row r="531" spans="7:15" x14ac:dyDescent="0.2">
      <c r="G531" s="73"/>
      <c r="J531" s="73"/>
      <c r="L531" s="73"/>
      <c r="O531" s="73"/>
    </row>
    <row r="532" spans="7:15" x14ac:dyDescent="0.2">
      <c r="G532" s="73"/>
      <c r="J532" s="73"/>
      <c r="L532" s="73"/>
      <c r="O532" s="73"/>
    </row>
    <row r="533" spans="7:15" x14ac:dyDescent="0.2">
      <c r="G533" s="73"/>
      <c r="J533" s="73"/>
      <c r="L533" s="73"/>
      <c r="O533" s="73"/>
    </row>
    <row r="534" spans="7:15" x14ac:dyDescent="0.2">
      <c r="G534" s="73"/>
      <c r="J534" s="73"/>
      <c r="L534" s="73"/>
      <c r="O534" s="73"/>
    </row>
    <row r="535" spans="7:15" x14ac:dyDescent="0.2">
      <c r="G535" s="73"/>
      <c r="J535" s="73"/>
      <c r="L535" s="73"/>
      <c r="O535" s="73"/>
    </row>
    <row r="536" spans="7:15" x14ac:dyDescent="0.2">
      <c r="G536" s="73"/>
      <c r="J536" s="73"/>
      <c r="L536" s="73"/>
      <c r="O536" s="73"/>
    </row>
    <row r="537" spans="7:15" x14ac:dyDescent="0.2">
      <c r="G537" s="73"/>
      <c r="J537" s="73"/>
      <c r="L537" s="73"/>
      <c r="O537" s="73"/>
    </row>
    <row r="538" spans="7:15" x14ac:dyDescent="0.2">
      <c r="G538" s="73"/>
      <c r="J538" s="73"/>
      <c r="L538" s="73"/>
      <c r="O538" s="73"/>
    </row>
    <row r="539" spans="7:15" x14ac:dyDescent="0.2">
      <c r="G539" s="73"/>
      <c r="J539" s="73"/>
      <c r="L539" s="73"/>
      <c r="O539" s="73"/>
    </row>
    <row r="540" spans="7:15" x14ac:dyDescent="0.2">
      <c r="G540" s="73"/>
      <c r="J540" s="73"/>
      <c r="L540" s="73"/>
      <c r="O540" s="73"/>
    </row>
    <row r="541" spans="7:15" x14ac:dyDescent="0.2">
      <c r="G541" s="73"/>
      <c r="J541" s="73"/>
      <c r="L541" s="73"/>
      <c r="O541" s="73"/>
    </row>
    <row r="542" spans="7:15" x14ac:dyDescent="0.2">
      <c r="G542" s="73"/>
      <c r="J542" s="73"/>
      <c r="L542" s="73"/>
      <c r="O542" s="73"/>
    </row>
    <row r="543" spans="7:15" x14ac:dyDescent="0.2">
      <c r="G543" s="73"/>
      <c r="J543" s="73"/>
      <c r="L543" s="73"/>
      <c r="O543" s="73"/>
    </row>
    <row r="544" spans="7:15" x14ac:dyDescent="0.2">
      <c r="G544" s="73"/>
      <c r="J544" s="73"/>
      <c r="L544" s="73"/>
      <c r="O544" s="73"/>
    </row>
    <row r="545" spans="7:15" x14ac:dyDescent="0.2">
      <c r="G545" s="73"/>
      <c r="J545" s="73"/>
      <c r="L545" s="73"/>
      <c r="O545" s="73"/>
    </row>
    <row r="546" spans="7:15" x14ac:dyDescent="0.2">
      <c r="G546" s="73"/>
      <c r="J546" s="73"/>
      <c r="L546" s="73"/>
      <c r="O546" s="73"/>
    </row>
    <row r="547" spans="7:15" x14ac:dyDescent="0.2">
      <c r="G547" s="73"/>
      <c r="J547" s="73"/>
      <c r="L547" s="73"/>
      <c r="O547" s="73"/>
    </row>
    <row r="548" spans="7:15" x14ac:dyDescent="0.2">
      <c r="G548" s="73"/>
      <c r="J548" s="73"/>
      <c r="L548" s="73"/>
      <c r="O548" s="73"/>
    </row>
    <row r="549" spans="7:15" x14ac:dyDescent="0.2">
      <c r="G549" s="73"/>
      <c r="J549" s="73"/>
      <c r="L549" s="73"/>
      <c r="O549" s="73"/>
    </row>
    <row r="550" spans="7:15" x14ac:dyDescent="0.2">
      <c r="G550" s="73"/>
      <c r="J550" s="73"/>
      <c r="L550" s="73"/>
      <c r="O550" s="73"/>
    </row>
    <row r="551" spans="7:15" x14ac:dyDescent="0.2">
      <c r="G551" s="73"/>
      <c r="J551" s="73"/>
      <c r="L551" s="73"/>
      <c r="O551" s="73"/>
    </row>
    <row r="552" spans="7:15" x14ac:dyDescent="0.2">
      <c r="G552" s="73"/>
      <c r="J552" s="73"/>
      <c r="L552" s="73"/>
      <c r="O552" s="73"/>
    </row>
    <row r="553" spans="7:15" x14ac:dyDescent="0.2">
      <c r="G553" s="73"/>
      <c r="J553" s="73"/>
      <c r="L553" s="73"/>
      <c r="O553" s="73"/>
    </row>
    <row r="554" spans="7:15" x14ac:dyDescent="0.2">
      <c r="G554" s="73"/>
      <c r="J554" s="73"/>
      <c r="L554" s="73"/>
      <c r="O554" s="73"/>
    </row>
    <row r="555" spans="7:15" x14ac:dyDescent="0.2">
      <c r="G555" s="73"/>
      <c r="J555" s="73"/>
      <c r="L555" s="73"/>
      <c r="O555" s="73"/>
    </row>
    <row r="556" spans="7:15" x14ac:dyDescent="0.2">
      <c r="G556" s="73"/>
      <c r="J556" s="73"/>
      <c r="L556" s="73"/>
      <c r="O556" s="73"/>
    </row>
    <row r="557" spans="7:15" x14ac:dyDescent="0.2">
      <c r="G557" s="73"/>
      <c r="J557" s="73"/>
      <c r="L557" s="73"/>
      <c r="O557" s="73"/>
    </row>
  </sheetData>
  <sheetProtection password="FFFD" sheet="1" objects="1" scenarios="1" selectLockedCells="1"/>
  <mergeCells count="187">
    <mergeCell ref="C86:F86"/>
    <mergeCell ref="H86:I86"/>
    <mergeCell ref="J86:Q86"/>
    <mergeCell ref="E9:F9"/>
    <mergeCell ref="J9:Q9"/>
    <mergeCell ref="E10:F10"/>
    <mergeCell ref="J10:Q10"/>
    <mergeCell ref="H68:I68"/>
    <mergeCell ref="H69:I69"/>
    <mergeCell ref="H70:I70"/>
    <mergeCell ref="H71:I71"/>
    <mergeCell ref="H76:I76"/>
    <mergeCell ref="E11:F11"/>
    <mergeCell ref="J11:Q11"/>
    <mergeCell ref="E12:F13"/>
    <mergeCell ref="J12:Q12"/>
    <mergeCell ref="J13:Q13"/>
    <mergeCell ref="J28:Q28"/>
    <mergeCell ref="J38:Q38"/>
    <mergeCell ref="E46:F46"/>
    <mergeCell ref="J46:Q46"/>
    <mergeCell ref="E48:F49"/>
    <mergeCell ref="J48:Q48"/>
    <mergeCell ref="C58:F58"/>
    <mergeCell ref="H58:I58"/>
    <mergeCell ref="J58:Q58"/>
    <mergeCell ref="C68:F68"/>
    <mergeCell ref="C4:I4"/>
    <mergeCell ref="J4:Q4"/>
    <mergeCell ref="D5:I5"/>
    <mergeCell ref="J5:K5"/>
    <mergeCell ref="L5:Q5"/>
    <mergeCell ref="D6:I6"/>
    <mergeCell ref="J6:K6"/>
    <mergeCell ref="L6:Q6"/>
    <mergeCell ref="D7:I7"/>
    <mergeCell ref="J7:K7"/>
    <mergeCell ref="L7:Q7"/>
    <mergeCell ref="C63:F63"/>
    <mergeCell ref="H63:I63"/>
    <mergeCell ref="J63:Q63"/>
    <mergeCell ref="C64:F64"/>
    <mergeCell ref="H64:I64"/>
    <mergeCell ref="J64:Q64"/>
    <mergeCell ref="C61:F61"/>
    <mergeCell ref="H61:I61"/>
    <mergeCell ref="J61:Q61"/>
    <mergeCell ref="C62:F62"/>
    <mergeCell ref="U17:W17"/>
    <mergeCell ref="E18:F18"/>
    <mergeCell ref="J18:Q18"/>
    <mergeCell ref="U18:W18"/>
    <mergeCell ref="E19:F24"/>
    <mergeCell ref="J19:Q19"/>
    <mergeCell ref="J20:Q20"/>
    <mergeCell ref="U20:W20"/>
    <mergeCell ref="J21:Q21"/>
    <mergeCell ref="U21:W21"/>
    <mergeCell ref="E14:F17"/>
    <mergeCell ref="J14:Q14"/>
    <mergeCell ref="J15:Q15"/>
    <mergeCell ref="J16:Q16"/>
    <mergeCell ref="J17:Q17"/>
    <mergeCell ref="U28:W29"/>
    <mergeCell ref="J29:Q29"/>
    <mergeCell ref="J30:Q30"/>
    <mergeCell ref="U30:W30"/>
    <mergeCell ref="E31:F31"/>
    <mergeCell ref="J31:Q31"/>
    <mergeCell ref="U31:W31"/>
    <mergeCell ref="J22:Q22"/>
    <mergeCell ref="U22:W24"/>
    <mergeCell ref="J23:Q23"/>
    <mergeCell ref="J24:Q24"/>
    <mergeCell ref="E25:F30"/>
    <mergeCell ref="J25:Q25"/>
    <mergeCell ref="U25:W26"/>
    <mergeCell ref="J26:Q26"/>
    <mergeCell ref="J27:Q27"/>
    <mergeCell ref="U27:W27"/>
    <mergeCell ref="U38:W39"/>
    <mergeCell ref="J39:Q39"/>
    <mergeCell ref="J40:Q40"/>
    <mergeCell ref="U40:W41"/>
    <mergeCell ref="J41:Q41"/>
    <mergeCell ref="E32:F43"/>
    <mergeCell ref="J32:Q32"/>
    <mergeCell ref="U32:W33"/>
    <mergeCell ref="J33:Q33"/>
    <mergeCell ref="J34:Q34"/>
    <mergeCell ref="U34:W35"/>
    <mergeCell ref="J35:Q35"/>
    <mergeCell ref="J36:Q36"/>
    <mergeCell ref="U36:W37"/>
    <mergeCell ref="J37:Q37"/>
    <mergeCell ref="U55:W55"/>
    <mergeCell ref="P56:R56"/>
    <mergeCell ref="B56:C56"/>
    <mergeCell ref="U46:W46"/>
    <mergeCell ref="E47:F47"/>
    <mergeCell ref="J47:Q47"/>
    <mergeCell ref="U47:W47"/>
    <mergeCell ref="J42:Q42"/>
    <mergeCell ref="U42:W43"/>
    <mergeCell ref="J43:Q43"/>
    <mergeCell ref="E44:F45"/>
    <mergeCell ref="J44:Q44"/>
    <mergeCell ref="J45:Q45"/>
    <mergeCell ref="U45:W45"/>
    <mergeCell ref="U58:W58"/>
    <mergeCell ref="C59:F59"/>
    <mergeCell ref="H59:I59"/>
    <mergeCell ref="J59:Q59"/>
    <mergeCell ref="C60:F60"/>
    <mergeCell ref="H60:I60"/>
    <mergeCell ref="J60:Q60"/>
    <mergeCell ref="U48:W48"/>
    <mergeCell ref="J49:Q49"/>
    <mergeCell ref="U49:W50"/>
    <mergeCell ref="E50:F52"/>
    <mergeCell ref="J50:Q50"/>
    <mergeCell ref="J51:Q51"/>
    <mergeCell ref="U51:W52"/>
    <mergeCell ref="J52:Q52"/>
    <mergeCell ref="C57:F57"/>
    <mergeCell ref="H57:I57"/>
    <mergeCell ref="J57:Q57"/>
    <mergeCell ref="E53:F55"/>
    <mergeCell ref="J53:Q53"/>
    <mergeCell ref="U53:W53"/>
    <mergeCell ref="J54:Q54"/>
    <mergeCell ref="U54:W54"/>
    <mergeCell ref="J55:Q55"/>
    <mergeCell ref="H62:I62"/>
    <mergeCell ref="J62:Q62"/>
    <mergeCell ref="C67:F67"/>
    <mergeCell ref="H67:I67"/>
    <mergeCell ref="J67:Q67"/>
    <mergeCell ref="J68:Q68"/>
    <mergeCell ref="J69:Q69"/>
    <mergeCell ref="C65:F65"/>
    <mergeCell ref="H65:I65"/>
    <mergeCell ref="J65:Q65"/>
    <mergeCell ref="C66:F66"/>
    <mergeCell ref="H66:I66"/>
    <mergeCell ref="J66:Q66"/>
    <mergeCell ref="H73:I73"/>
    <mergeCell ref="J73:Q73"/>
    <mergeCell ref="H74:I74"/>
    <mergeCell ref="J74:Q74"/>
    <mergeCell ref="H75:I75"/>
    <mergeCell ref="J75:Q75"/>
    <mergeCell ref="C70:F70"/>
    <mergeCell ref="J70:Q70"/>
    <mergeCell ref="C71:F71"/>
    <mergeCell ref="J71:Q71"/>
    <mergeCell ref="C72:F72"/>
    <mergeCell ref="H72:I72"/>
    <mergeCell ref="J72:Q72"/>
    <mergeCell ref="C73:F73"/>
    <mergeCell ref="C84:F84"/>
    <mergeCell ref="H84:I84"/>
    <mergeCell ref="J84:Q84"/>
    <mergeCell ref="C85:F85"/>
    <mergeCell ref="H85:I85"/>
    <mergeCell ref="J85:Q85"/>
    <mergeCell ref="C82:F82"/>
    <mergeCell ref="H82:I82"/>
    <mergeCell ref="J82:Q82"/>
    <mergeCell ref="C83:F83"/>
    <mergeCell ref="H83:I83"/>
    <mergeCell ref="J83:Q83"/>
    <mergeCell ref="C79:F79"/>
    <mergeCell ref="H79:I79"/>
    <mergeCell ref="J79:Q79"/>
    <mergeCell ref="C80:F80"/>
    <mergeCell ref="J80:Q80"/>
    <mergeCell ref="C81:F81"/>
    <mergeCell ref="H81:I81"/>
    <mergeCell ref="J81:Q81"/>
    <mergeCell ref="J76:Q76"/>
    <mergeCell ref="H77:I77"/>
    <mergeCell ref="J77:Q77"/>
    <mergeCell ref="C78:F78"/>
    <mergeCell ref="H78:I78"/>
    <mergeCell ref="J78:Q78"/>
    <mergeCell ref="H80:I80"/>
  </mergeCells>
  <conditionalFormatting sqref="I10">
    <cfRule type="cellIs" dxfId="23" priority="8" stopIfTrue="1" operator="notBetween">
      <formula>0</formula>
      <formula>999999999</formula>
    </cfRule>
  </conditionalFormatting>
  <conditionalFormatting sqref="I12:I17">
    <cfRule type="cellIs" dxfId="22" priority="30" stopIfTrue="1" operator="notBetween">
      <formula>0</formula>
      <formula>999999999</formula>
    </cfRule>
  </conditionalFormatting>
  <conditionalFormatting sqref="I19:J30">
    <cfRule type="cellIs" dxfId="21" priority="23" stopIfTrue="1" operator="notBetween">
      <formula>0</formula>
      <formula>999999999</formula>
    </cfRule>
  </conditionalFormatting>
  <conditionalFormatting sqref="J10:J17">
    <cfRule type="cellIs" dxfId="20" priority="27" stopIfTrue="1" operator="notBetween">
      <formula>0</formula>
      <formula>999999999</formula>
    </cfRule>
  </conditionalFormatting>
  <conditionalFormatting sqref="J32:J45">
    <cfRule type="cellIs" dxfId="19" priority="19" stopIfTrue="1" operator="notBetween">
      <formula>0</formula>
      <formula>999999999</formula>
    </cfRule>
  </conditionalFormatting>
  <conditionalFormatting sqref="J47:J55">
    <cfRule type="cellIs" dxfId="18" priority="14" stopIfTrue="1" operator="notBetween">
      <formula>0</formula>
      <formula>999999999</formula>
    </cfRule>
  </conditionalFormatting>
  <conditionalFormatting sqref="J58:J78">
    <cfRule type="cellIs" dxfId="17" priority="1" stopIfTrue="1" operator="notBetween">
      <formula>0</formula>
      <formula>999999999</formula>
    </cfRule>
  </conditionalFormatting>
  <conditionalFormatting sqref="J80:J86">
    <cfRule type="cellIs" dxfId="16" priority="2" stopIfTrue="1" operator="notBetween">
      <formula>0</formula>
      <formula>999999999</formula>
    </cfRule>
  </conditionalFormatting>
  <pageMargins left="0.7" right="0.7" top="0.78740157499999996" bottom="0.78740157499999996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W557"/>
  <sheetViews>
    <sheetView topLeftCell="A63" zoomScale="80" zoomScaleNormal="80" workbookViewId="0">
      <selection activeCell="J77" sqref="J77:Q77"/>
    </sheetView>
  </sheetViews>
  <sheetFormatPr baseColWidth="10" defaultColWidth="11.42578125" defaultRowHeight="12.75" x14ac:dyDescent="0.2"/>
  <cols>
    <col min="1" max="2" width="3.7109375" style="71" customWidth="1"/>
    <col min="3" max="3" width="58.7109375" style="71" customWidth="1"/>
    <col min="4" max="4" width="14" style="72" customWidth="1"/>
    <col min="5" max="5" width="7.28515625" style="73" customWidth="1"/>
    <col min="6" max="6" width="17.5703125" style="73" customWidth="1"/>
    <col min="7" max="7" width="3.5703125" style="80" customWidth="1"/>
    <col min="8" max="8" width="11.42578125" style="73" customWidth="1"/>
    <col min="9" max="9" width="6.5703125" style="73" customWidth="1"/>
    <col min="10" max="10" width="21.5703125" style="80" customWidth="1"/>
    <col min="11" max="11" width="6.42578125" style="73" customWidth="1"/>
    <col min="12" max="12" width="2.28515625" style="80" customWidth="1"/>
    <col min="13" max="13" width="11.28515625" style="73" customWidth="1"/>
    <col min="14" max="14" width="7.28515625" style="73" customWidth="1"/>
    <col min="15" max="15" width="1.42578125" style="80" customWidth="1"/>
    <col min="16" max="16" width="11.5703125" style="73" customWidth="1"/>
    <col min="17" max="17" width="6.7109375" style="73" customWidth="1"/>
    <col min="18" max="18" width="3.7109375" style="71" customWidth="1"/>
    <col min="19" max="19" width="1.7109375" style="71" customWidth="1"/>
    <col min="20" max="20" width="3.7109375" style="71" customWidth="1"/>
    <col min="21" max="22" width="40.7109375" style="71" customWidth="1"/>
    <col min="23" max="23" width="48.28515625" style="71" customWidth="1"/>
    <col min="24" max="24" width="3.7109375" style="71" customWidth="1"/>
    <col min="25" max="16384" width="11.42578125" style="71"/>
  </cols>
  <sheetData>
    <row r="1" spans="1:23" ht="13.15" hidden="1" customHeight="1" x14ac:dyDescent="0.2">
      <c r="G1" s="73"/>
      <c r="J1" s="73"/>
      <c r="L1" s="73"/>
      <c r="O1" s="73"/>
    </row>
    <row r="2" spans="1:23" x14ac:dyDescent="0.2">
      <c r="A2" s="113"/>
      <c r="B2" s="113"/>
      <c r="C2" s="113"/>
      <c r="D2" s="113"/>
      <c r="E2" s="113"/>
      <c r="F2" s="113"/>
      <c r="G2" s="113"/>
      <c r="H2" s="113"/>
      <c r="I2" s="113"/>
      <c r="J2" s="113"/>
      <c r="K2" s="113"/>
      <c r="L2" s="113"/>
      <c r="M2" s="113"/>
      <c r="N2" s="113"/>
      <c r="O2" s="113"/>
      <c r="P2" s="113"/>
      <c r="Q2" s="113"/>
      <c r="R2" s="113"/>
      <c r="S2" s="113"/>
      <c r="T2" s="113"/>
      <c r="U2" s="74"/>
    </row>
    <row r="3" spans="1:23" ht="13.15" customHeight="1" x14ac:dyDescent="0.2">
      <c r="B3" s="81"/>
      <c r="C3" s="116"/>
      <c r="D3" s="117"/>
      <c r="E3" s="118"/>
      <c r="F3" s="118"/>
      <c r="G3" s="118"/>
      <c r="H3" s="118"/>
      <c r="I3" s="118"/>
      <c r="J3" s="118"/>
      <c r="K3" s="118"/>
      <c r="L3" s="118"/>
      <c r="M3" s="118"/>
      <c r="N3" s="118"/>
      <c r="O3" s="118"/>
      <c r="P3" s="118"/>
      <c r="Q3" s="118"/>
      <c r="R3" s="119"/>
    </row>
    <row r="4" spans="1:23" ht="13.15" customHeight="1" x14ac:dyDescent="0.2">
      <c r="B4" s="82"/>
      <c r="C4" s="266" t="s">
        <v>109</v>
      </c>
      <c r="D4" s="266"/>
      <c r="E4" s="266"/>
      <c r="F4" s="266"/>
      <c r="G4" s="266"/>
      <c r="H4" s="266"/>
      <c r="I4" s="266"/>
      <c r="J4" s="266" t="s">
        <v>119</v>
      </c>
      <c r="K4" s="266"/>
      <c r="L4" s="266"/>
      <c r="M4" s="266"/>
      <c r="N4" s="266"/>
      <c r="O4" s="266"/>
      <c r="P4" s="266"/>
      <c r="Q4" s="266"/>
      <c r="R4" s="131"/>
    </row>
    <row r="5" spans="1:23" s="113" customFormat="1" ht="23.25" customHeight="1" x14ac:dyDescent="0.2">
      <c r="B5" s="82"/>
      <c r="C5" s="135" t="s">
        <v>110</v>
      </c>
      <c r="D5" s="247">
        <v>44562</v>
      </c>
      <c r="E5" s="247"/>
      <c r="F5" s="247"/>
      <c r="G5" s="247"/>
      <c r="H5" s="247"/>
      <c r="I5" s="247"/>
      <c r="J5" s="272" t="s">
        <v>17</v>
      </c>
      <c r="K5" s="272"/>
      <c r="L5" s="273">
        <f>IF('Overview IB'!D11="","",'Overview IB'!D11)</f>
        <v>44562</v>
      </c>
      <c r="M5" s="273"/>
      <c r="N5" s="273"/>
      <c r="O5" s="273"/>
      <c r="P5" s="273"/>
      <c r="Q5" s="273"/>
      <c r="R5" s="115"/>
    </row>
    <row r="6" spans="1:23" s="113" customFormat="1" ht="18.75" customHeight="1" x14ac:dyDescent="0.2">
      <c r="B6" s="82"/>
      <c r="C6" s="135" t="s">
        <v>111</v>
      </c>
      <c r="D6" s="247">
        <v>45107</v>
      </c>
      <c r="E6" s="247"/>
      <c r="F6" s="247"/>
      <c r="G6" s="247"/>
      <c r="H6" s="247"/>
      <c r="I6" s="247"/>
      <c r="J6" s="272" t="s">
        <v>18</v>
      </c>
      <c r="K6" s="272"/>
      <c r="L6" s="273">
        <f>IF('Overview IB'!D12="","",'Overview IB'!D12)</f>
        <v>45291</v>
      </c>
      <c r="M6" s="273"/>
      <c r="N6" s="273"/>
      <c r="O6" s="273"/>
      <c r="P6" s="273"/>
      <c r="Q6" s="273"/>
      <c r="R6" s="115"/>
    </row>
    <row r="7" spans="1:23" s="113" customFormat="1" ht="18.75" customHeight="1" x14ac:dyDescent="0.2">
      <c r="B7" s="82"/>
      <c r="C7" s="136" t="s">
        <v>36</v>
      </c>
      <c r="D7" s="275">
        <f>IF(OR(D5="",L7="befüllt sich automatisch"),0,((D6-D5)/30)/L7)</f>
        <v>0.74759945130315508</v>
      </c>
      <c r="E7" s="275"/>
      <c r="F7" s="275"/>
      <c r="G7" s="275"/>
      <c r="H7" s="275"/>
      <c r="I7" s="275"/>
      <c r="J7" s="272" t="s">
        <v>72</v>
      </c>
      <c r="K7" s="272"/>
      <c r="L7" s="274">
        <f>IF(IF(OR(L6="",L5=""),"",(L6-L5)/30)="","befüllt sich automatisch",IF(OR(L6="",L5=""),"",(L6-L5)/30))</f>
        <v>24.3</v>
      </c>
      <c r="M7" s="274"/>
      <c r="N7" s="274"/>
      <c r="O7" s="274"/>
      <c r="P7" s="274"/>
      <c r="Q7" s="274"/>
      <c r="R7" s="115"/>
    </row>
    <row r="8" spans="1:23" x14ac:dyDescent="0.2">
      <c r="A8" s="74"/>
      <c r="B8" s="82"/>
      <c r="C8" s="83"/>
      <c r="D8" s="83"/>
      <c r="E8" s="83"/>
      <c r="F8" s="83"/>
      <c r="G8" s="83"/>
      <c r="H8" s="83"/>
      <c r="I8" s="83"/>
      <c r="J8" s="83"/>
      <c r="K8" s="83"/>
      <c r="L8" s="83"/>
      <c r="M8" s="83"/>
      <c r="N8" s="83"/>
      <c r="O8" s="83"/>
      <c r="P8" s="83"/>
      <c r="Q8" s="83"/>
      <c r="R8" s="84"/>
      <c r="S8" s="74"/>
      <c r="T8" s="74"/>
      <c r="U8" s="74"/>
    </row>
    <row r="9" spans="1:23" s="74" customFormat="1" ht="37.15" customHeight="1" x14ac:dyDescent="0.2">
      <c r="B9" s="82"/>
      <c r="C9" s="104" t="s">
        <v>42</v>
      </c>
      <c r="D9" s="88" t="s">
        <v>86</v>
      </c>
      <c r="E9" s="240"/>
      <c r="F9" s="241"/>
      <c r="G9" s="37"/>
      <c r="H9" s="104" t="s">
        <v>37</v>
      </c>
      <c r="I9" s="39" t="s">
        <v>11</v>
      </c>
      <c r="J9" s="282" t="s">
        <v>74</v>
      </c>
      <c r="K9" s="282"/>
      <c r="L9" s="282"/>
      <c r="M9" s="282"/>
      <c r="N9" s="282"/>
      <c r="O9" s="282"/>
      <c r="P9" s="282"/>
      <c r="Q9" s="282"/>
      <c r="R9" s="85"/>
      <c r="U9" s="75"/>
      <c r="V9" s="75"/>
      <c r="W9" s="75"/>
    </row>
    <row r="10" spans="1:23" s="74" customFormat="1" ht="13.15" customHeight="1" x14ac:dyDescent="0.2">
      <c r="B10" s="82"/>
      <c r="C10" s="89" t="s">
        <v>121</v>
      </c>
      <c r="D10" s="146">
        <f>'Overview IB'!D16</f>
        <v>818</v>
      </c>
      <c r="E10" s="255" t="str">
        <f>IF('Overview IB'!E16 &gt; 0, 'Overview IB'!E16, "")</f>
        <v/>
      </c>
      <c r="F10" s="292"/>
      <c r="G10" s="40"/>
      <c r="H10" s="102">
        <v>1045</v>
      </c>
      <c r="I10" s="134">
        <f>IF(H10=0,0,H10/D10)</f>
        <v>1.2775061124694376</v>
      </c>
      <c r="J10" s="248" t="s">
        <v>173</v>
      </c>
      <c r="K10" s="248"/>
      <c r="L10" s="248"/>
      <c r="M10" s="248"/>
      <c r="N10" s="248"/>
      <c r="O10" s="248"/>
      <c r="P10" s="248"/>
      <c r="Q10" s="248"/>
      <c r="R10" s="85"/>
      <c r="U10" s="75"/>
      <c r="V10" s="75"/>
      <c r="W10" s="75"/>
    </row>
    <row r="11" spans="1:23" s="74" customFormat="1" ht="28.5" customHeight="1" x14ac:dyDescent="0.2">
      <c r="B11" s="82"/>
      <c r="C11" s="8" t="s">
        <v>87</v>
      </c>
      <c r="D11" s="88" t="s">
        <v>86</v>
      </c>
      <c r="E11" s="195" t="s">
        <v>91</v>
      </c>
      <c r="F11" s="194"/>
      <c r="G11" s="37"/>
      <c r="H11" s="38"/>
      <c r="I11" s="39"/>
      <c r="J11" s="299"/>
      <c r="K11" s="299"/>
      <c r="L11" s="299"/>
      <c r="M11" s="299"/>
      <c r="N11" s="299"/>
      <c r="O11" s="299"/>
      <c r="P11" s="299"/>
      <c r="Q11" s="299"/>
      <c r="R11" s="85"/>
      <c r="U11" s="75"/>
      <c r="V11" s="75"/>
      <c r="W11" s="75"/>
    </row>
    <row r="12" spans="1:23" ht="15" x14ac:dyDescent="0.2">
      <c r="B12" s="36"/>
      <c r="C12" s="90" t="s">
        <v>67</v>
      </c>
      <c r="D12" s="146">
        <f>'Overview IB'!D18</f>
        <v>38</v>
      </c>
      <c r="E12" s="252" t="str">
        <f>IF('Overview IB'!E18 &gt; 0, 'Overview IB'!E18, "")</f>
        <v>Elterninfo parallel zum TRT Programm</v>
      </c>
      <c r="F12" s="289"/>
      <c r="G12" s="40"/>
      <c r="H12" s="102">
        <v>41</v>
      </c>
      <c r="I12" s="166">
        <f>IF(H12=0,0,H12/D12)</f>
        <v>1.0789473684210527</v>
      </c>
      <c r="J12" s="248" t="s">
        <v>174</v>
      </c>
      <c r="K12" s="248"/>
      <c r="L12" s="248"/>
      <c r="M12" s="248"/>
      <c r="N12" s="248"/>
      <c r="O12" s="248"/>
      <c r="P12" s="248"/>
      <c r="Q12" s="248"/>
      <c r="R12" s="86"/>
      <c r="U12" s="105"/>
      <c r="V12" s="105"/>
      <c r="W12" s="105"/>
    </row>
    <row r="13" spans="1:23" ht="20.65" customHeight="1" x14ac:dyDescent="0.2">
      <c r="B13" s="36"/>
      <c r="C13" s="91" t="s">
        <v>122</v>
      </c>
      <c r="D13" s="146">
        <f>'Overview IB'!D19</f>
        <v>190</v>
      </c>
      <c r="E13" s="253"/>
      <c r="F13" s="291"/>
      <c r="G13" s="40"/>
      <c r="H13" s="102">
        <v>214</v>
      </c>
      <c r="I13" s="167">
        <f t="shared" ref="I13:I17" si="0">IF(H13=0,0,H13/D13)</f>
        <v>1.1263157894736842</v>
      </c>
      <c r="J13" s="248" t="s">
        <v>175</v>
      </c>
      <c r="K13" s="248"/>
      <c r="L13" s="248"/>
      <c r="M13" s="248"/>
      <c r="N13" s="248"/>
      <c r="O13" s="248"/>
      <c r="P13" s="248"/>
      <c r="Q13" s="248"/>
      <c r="R13" s="86"/>
      <c r="U13" s="105"/>
      <c r="V13" s="105"/>
      <c r="W13" s="105"/>
    </row>
    <row r="14" spans="1:23" ht="15" x14ac:dyDescent="0.2">
      <c r="B14" s="36"/>
      <c r="C14" s="90" t="s">
        <v>68</v>
      </c>
      <c r="D14" s="146">
        <f>'Overview IB'!D20</f>
        <v>10</v>
      </c>
      <c r="E14" s="252" t="str">
        <f>IF('Overview IB'!E20 &gt; 0, 'Overview IB'!E20, "")</f>
        <v>a) Traumapädagogische Seminare für Lehrkräfte
b) Aus- und Fortbildung von mutterprachlichen TRT TrainerInnen</v>
      </c>
      <c r="F14" s="289"/>
      <c r="G14" s="40"/>
      <c r="H14" s="102">
        <v>22</v>
      </c>
      <c r="I14" s="166">
        <f t="shared" si="0"/>
        <v>2.2000000000000002</v>
      </c>
      <c r="J14" s="248" t="s">
        <v>149</v>
      </c>
      <c r="K14" s="248"/>
      <c r="L14" s="248"/>
      <c r="M14" s="248"/>
      <c r="N14" s="248"/>
      <c r="O14" s="248"/>
      <c r="P14" s="248"/>
      <c r="Q14" s="248"/>
      <c r="R14" s="86"/>
      <c r="U14" s="105"/>
      <c r="V14" s="105"/>
      <c r="W14" s="105"/>
    </row>
    <row r="15" spans="1:23" ht="15" x14ac:dyDescent="0.2">
      <c r="B15" s="36"/>
      <c r="C15" s="92" t="s">
        <v>65</v>
      </c>
      <c r="D15" s="146">
        <f>'Overview IB'!D21</f>
        <v>0</v>
      </c>
      <c r="E15" s="253"/>
      <c r="F15" s="290"/>
      <c r="G15" s="40"/>
      <c r="H15" s="102"/>
      <c r="I15" s="167">
        <f t="shared" si="0"/>
        <v>0</v>
      </c>
      <c r="J15" s="248"/>
      <c r="K15" s="248"/>
      <c r="L15" s="248"/>
      <c r="M15" s="248"/>
      <c r="N15" s="248"/>
      <c r="O15" s="248"/>
      <c r="P15" s="248"/>
      <c r="Q15" s="248"/>
      <c r="R15" s="86"/>
      <c r="U15" s="105"/>
      <c r="V15" s="105"/>
      <c r="W15" s="105"/>
    </row>
    <row r="16" spans="1:23" ht="15" x14ac:dyDescent="0.2">
      <c r="B16" s="36"/>
      <c r="C16" s="92" t="s">
        <v>66</v>
      </c>
      <c r="D16" s="146">
        <f>'Overview IB'!D22</f>
        <v>162</v>
      </c>
      <c r="E16" s="253"/>
      <c r="F16" s="290"/>
      <c r="G16" s="40"/>
      <c r="H16" s="102">
        <v>268</v>
      </c>
      <c r="I16" s="167">
        <f t="shared" si="0"/>
        <v>1.654320987654321</v>
      </c>
      <c r="J16" s="248" t="s">
        <v>176</v>
      </c>
      <c r="K16" s="248"/>
      <c r="L16" s="248"/>
      <c r="M16" s="248"/>
      <c r="N16" s="248"/>
      <c r="O16" s="248"/>
      <c r="P16" s="248"/>
      <c r="Q16" s="248"/>
      <c r="R16" s="86"/>
      <c r="U16" s="105"/>
      <c r="V16" s="105"/>
      <c r="W16" s="105"/>
    </row>
    <row r="17" spans="2:23" ht="15" x14ac:dyDescent="0.2">
      <c r="B17" s="36"/>
      <c r="C17" s="92" t="s">
        <v>70</v>
      </c>
      <c r="D17" s="146">
        <f>'Overview IB'!D23</f>
        <v>60</v>
      </c>
      <c r="E17" s="254"/>
      <c r="F17" s="291"/>
      <c r="G17" s="40"/>
      <c r="H17" s="102">
        <v>291</v>
      </c>
      <c r="I17" s="167">
        <f t="shared" si="0"/>
        <v>4.8499999999999996</v>
      </c>
      <c r="J17" s="248" t="s">
        <v>177</v>
      </c>
      <c r="K17" s="248"/>
      <c r="L17" s="248"/>
      <c r="M17" s="248"/>
      <c r="N17" s="248"/>
      <c r="O17" s="248"/>
      <c r="P17" s="248"/>
      <c r="Q17" s="248"/>
      <c r="R17" s="86"/>
      <c r="U17" s="277"/>
      <c r="V17" s="277"/>
      <c r="W17" s="277"/>
    </row>
    <row r="18" spans="2:23" ht="26.1" customHeight="1" x14ac:dyDescent="0.2">
      <c r="B18" s="36"/>
      <c r="C18" s="8" t="s">
        <v>55</v>
      </c>
      <c r="D18" s="88" t="s">
        <v>86</v>
      </c>
      <c r="E18" s="195" t="s">
        <v>91</v>
      </c>
      <c r="F18" s="194"/>
      <c r="G18" s="42"/>
      <c r="H18" s="104" t="s">
        <v>37</v>
      </c>
      <c r="I18" s="109" t="s">
        <v>11</v>
      </c>
      <c r="J18" s="282" t="s">
        <v>74</v>
      </c>
      <c r="K18" s="282"/>
      <c r="L18" s="282"/>
      <c r="M18" s="282"/>
      <c r="N18" s="282"/>
      <c r="O18" s="282"/>
      <c r="P18" s="282"/>
      <c r="Q18" s="282"/>
      <c r="R18" s="86"/>
      <c r="U18" s="281"/>
      <c r="V18" s="281"/>
      <c r="W18" s="281"/>
    </row>
    <row r="19" spans="2:23" ht="15" x14ac:dyDescent="0.2">
      <c r="B19" s="36"/>
      <c r="C19" s="90" t="s">
        <v>83</v>
      </c>
      <c r="D19" s="146">
        <f>'Overview IB'!D25</f>
        <v>100</v>
      </c>
      <c r="E19" s="252" t="str">
        <f>IF('Overview IB'!E25 &gt; 0, 'Overview IB'!E25, "")</f>
        <v>Begleitgespräche zum Traumaprogramm</v>
      </c>
      <c r="F19" s="289"/>
      <c r="G19" s="43"/>
      <c r="H19" s="111">
        <v>70</v>
      </c>
      <c r="I19" s="166">
        <f>IF(H19=0,0,H19/D19)</f>
        <v>0.7</v>
      </c>
      <c r="J19" s="248"/>
      <c r="K19" s="248"/>
      <c r="L19" s="248"/>
      <c r="M19" s="248"/>
      <c r="N19" s="248"/>
      <c r="O19" s="248"/>
      <c r="P19" s="248"/>
      <c r="Q19" s="248"/>
      <c r="R19" s="86"/>
      <c r="U19" s="108"/>
      <c r="V19" s="108"/>
      <c r="W19" s="108"/>
    </row>
    <row r="20" spans="2:23" ht="30" x14ac:dyDescent="0.2">
      <c r="B20" s="36"/>
      <c r="C20" s="91" t="s">
        <v>57</v>
      </c>
      <c r="D20" s="146">
        <f>'Overview IB'!D26</f>
        <v>50</v>
      </c>
      <c r="E20" s="253"/>
      <c r="F20" s="290"/>
      <c r="G20" s="43"/>
      <c r="H20" s="111">
        <v>50</v>
      </c>
      <c r="I20" s="167">
        <f t="shared" ref="I20:I30" si="1">IF(H20=0,0,H20/D20)</f>
        <v>1</v>
      </c>
      <c r="J20" s="248"/>
      <c r="K20" s="248"/>
      <c r="L20" s="248"/>
      <c r="M20" s="248"/>
      <c r="N20" s="248"/>
      <c r="O20" s="248"/>
      <c r="P20" s="248"/>
      <c r="Q20" s="248"/>
      <c r="R20" s="86"/>
      <c r="U20" s="281"/>
      <c r="V20" s="281"/>
      <c r="W20" s="281"/>
    </row>
    <row r="21" spans="2:23" ht="15" x14ac:dyDescent="0.2">
      <c r="B21" s="36"/>
      <c r="C21" s="92" t="s">
        <v>71</v>
      </c>
      <c r="D21" s="146">
        <f>'Overview IB'!D27</f>
        <v>100</v>
      </c>
      <c r="E21" s="253"/>
      <c r="F21" s="290"/>
      <c r="G21" s="43"/>
      <c r="H21" s="111">
        <v>50</v>
      </c>
      <c r="I21" s="167">
        <f t="shared" si="1"/>
        <v>0.5</v>
      </c>
      <c r="J21" s="248"/>
      <c r="K21" s="248"/>
      <c r="L21" s="248"/>
      <c r="M21" s="248"/>
      <c r="N21" s="248"/>
      <c r="O21" s="248"/>
      <c r="P21" s="248"/>
      <c r="Q21" s="248"/>
      <c r="R21" s="86"/>
      <c r="U21" s="281"/>
      <c r="V21" s="281"/>
      <c r="W21" s="281"/>
    </row>
    <row r="22" spans="2:23" ht="30" x14ac:dyDescent="0.2">
      <c r="B22" s="36"/>
      <c r="C22" s="90" t="s">
        <v>84</v>
      </c>
      <c r="D22" s="146">
        <f>'Overview IB'!D28</f>
        <v>60</v>
      </c>
      <c r="E22" s="253"/>
      <c r="F22" s="290"/>
      <c r="G22" s="43"/>
      <c r="H22" s="111">
        <v>59</v>
      </c>
      <c r="I22" s="166">
        <f t="shared" si="1"/>
        <v>0.98333333333333328</v>
      </c>
      <c r="J22" s="248" t="s">
        <v>178</v>
      </c>
      <c r="K22" s="248"/>
      <c r="L22" s="248"/>
      <c r="M22" s="248"/>
      <c r="N22" s="248"/>
      <c r="O22" s="248"/>
      <c r="P22" s="248"/>
      <c r="Q22" s="248"/>
      <c r="R22" s="86"/>
      <c r="U22" s="281"/>
      <c r="V22" s="281"/>
      <c r="W22" s="281"/>
    </row>
    <row r="23" spans="2:23" ht="30" x14ac:dyDescent="0.2">
      <c r="B23" s="36"/>
      <c r="C23" s="92" t="s">
        <v>58</v>
      </c>
      <c r="D23" s="146">
        <f>'Overview IB'!D29</f>
        <v>426</v>
      </c>
      <c r="E23" s="253"/>
      <c r="F23" s="290"/>
      <c r="G23" s="43"/>
      <c r="H23" s="111">
        <v>513</v>
      </c>
      <c r="I23" s="167">
        <f t="shared" si="1"/>
        <v>1.204225352112676</v>
      </c>
      <c r="J23" s="248" t="s">
        <v>179</v>
      </c>
      <c r="K23" s="248"/>
      <c r="L23" s="248"/>
      <c r="M23" s="248"/>
      <c r="N23" s="248"/>
      <c r="O23" s="248"/>
      <c r="P23" s="248"/>
      <c r="Q23" s="248"/>
      <c r="R23" s="86"/>
      <c r="U23" s="281"/>
      <c r="V23" s="281"/>
      <c r="W23" s="281"/>
    </row>
    <row r="24" spans="2:23" ht="15" x14ac:dyDescent="0.2">
      <c r="B24" s="36"/>
      <c r="C24" s="92" t="s">
        <v>56</v>
      </c>
      <c r="D24" s="146">
        <f>'Overview IB'!D30</f>
        <v>960</v>
      </c>
      <c r="E24" s="254"/>
      <c r="F24" s="291"/>
      <c r="G24" s="40"/>
      <c r="H24" s="47">
        <v>1080</v>
      </c>
      <c r="I24" s="167">
        <f t="shared" si="1"/>
        <v>1.125</v>
      </c>
      <c r="J24" s="248" t="s">
        <v>180</v>
      </c>
      <c r="K24" s="248"/>
      <c r="L24" s="248"/>
      <c r="M24" s="248"/>
      <c r="N24" s="248"/>
      <c r="O24" s="248"/>
      <c r="P24" s="248"/>
      <c r="Q24" s="248"/>
      <c r="R24" s="86"/>
      <c r="U24" s="281"/>
      <c r="V24" s="281"/>
      <c r="W24" s="281"/>
    </row>
    <row r="25" spans="2:23" ht="17.649999999999999" customHeight="1" x14ac:dyDescent="0.2">
      <c r="B25" s="36"/>
      <c r="C25" s="90" t="s">
        <v>59</v>
      </c>
      <c r="D25" s="146">
        <f>'Overview IB'!D31</f>
        <v>10</v>
      </c>
      <c r="E25" s="267" t="str">
        <f>IF('Overview IB'!E31 &gt; 0, 'Overview IB'!E31, "")</f>
        <v>TRT Family</v>
      </c>
      <c r="F25" s="293"/>
      <c r="G25" s="43"/>
      <c r="H25" s="111">
        <v>8</v>
      </c>
      <c r="I25" s="166">
        <f t="shared" si="1"/>
        <v>0.8</v>
      </c>
      <c r="J25" s="248" t="s">
        <v>181</v>
      </c>
      <c r="K25" s="248"/>
      <c r="L25" s="248"/>
      <c r="M25" s="248"/>
      <c r="N25" s="248"/>
      <c r="O25" s="248"/>
      <c r="P25" s="248"/>
      <c r="Q25" s="248"/>
      <c r="R25" s="86"/>
      <c r="U25" s="281"/>
      <c r="V25" s="281"/>
      <c r="W25" s="281"/>
    </row>
    <row r="26" spans="2:23" ht="15" x14ac:dyDescent="0.2">
      <c r="B26" s="36"/>
      <c r="C26" s="91" t="s">
        <v>61</v>
      </c>
      <c r="D26" s="146">
        <f>'Overview IB'!D32</f>
        <v>30</v>
      </c>
      <c r="E26" s="268"/>
      <c r="F26" s="294"/>
      <c r="G26" s="40"/>
      <c r="H26" s="47">
        <v>50</v>
      </c>
      <c r="I26" s="167">
        <f t="shared" si="1"/>
        <v>1.6666666666666667</v>
      </c>
      <c r="J26" s="248" t="s">
        <v>182</v>
      </c>
      <c r="K26" s="248"/>
      <c r="L26" s="248"/>
      <c r="M26" s="248"/>
      <c r="N26" s="248"/>
      <c r="O26" s="248"/>
      <c r="P26" s="248"/>
      <c r="Q26" s="248"/>
      <c r="R26" s="86"/>
      <c r="U26" s="281"/>
      <c r="V26" s="281"/>
      <c r="W26" s="281"/>
    </row>
    <row r="27" spans="2:23" ht="15" x14ac:dyDescent="0.2">
      <c r="B27" s="36"/>
      <c r="C27" s="91" t="s">
        <v>60</v>
      </c>
      <c r="D27" s="146">
        <f>'Overview IB'!D33</f>
        <v>120</v>
      </c>
      <c r="E27" s="268"/>
      <c r="F27" s="294"/>
      <c r="G27" s="43"/>
      <c r="H27" s="165">
        <v>178</v>
      </c>
      <c r="I27" s="167">
        <f t="shared" si="1"/>
        <v>1.4833333333333334</v>
      </c>
      <c r="J27" s="248"/>
      <c r="K27" s="248"/>
      <c r="L27" s="248"/>
      <c r="M27" s="248"/>
      <c r="N27" s="248"/>
      <c r="O27" s="248"/>
      <c r="P27" s="248"/>
      <c r="Q27" s="248"/>
      <c r="R27" s="86"/>
      <c r="U27" s="281"/>
      <c r="V27" s="281"/>
      <c r="W27" s="281"/>
    </row>
    <row r="28" spans="2:23" ht="15" x14ac:dyDescent="0.2">
      <c r="B28" s="36"/>
      <c r="C28" s="93" t="s">
        <v>14</v>
      </c>
      <c r="D28" s="146">
        <f>'Overview IB'!D34</f>
        <v>48</v>
      </c>
      <c r="E28" s="268"/>
      <c r="F28" s="294"/>
      <c r="G28" s="43"/>
      <c r="H28" s="111">
        <v>89</v>
      </c>
      <c r="I28" s="167">
        <f t="shared" si="1"/>
        <v>1.8541666666666667</v>
      </c>
      <c r="J28" s="248"/>
      <c r="K28" s="248"/>
      <c r="L28" s="248"/>
      <c r="M28" s="248"/>
      <c r="N28" s="248"/>
      <c r="O28" s="248"/>
      <c r="P28" s="248"/>
      <c r="Q28" s="248"/>
      <c r="R28" s="86"/>
      <c r="U28" s="281"/>
      <c r="V28" s="281"/>
      <c r="W28" s="281"/>
    </row>
    <row r="29" spans="2:23" ht="15" x14ac:dyDescent="0.2">
      <c r="B29" s="36"/>
      <c r="C29" s="92" t="s">
        <v>75</v>
      </c>
      <c r="D29" s="146">
        <f>'Overview IB'!D35</f>
        <v>6</v>
      </c>
      <c r="E29" s="268"/>
      <c r="F29" s="294"/>
      <c r="G29" s="40"/>
      <c r="H29" s="47">
        <v>13</v>
      </c>
      <c r="I29" s="167">
        <f t="shared" si="1"/>
        <v>2.1666666666666665</v>
      </c>
      <c r="J29" s="248"/>
      <c r="K29" s="248"/>
      <c r="L29" s="248"/>
      <c r="M29" s="248"/>
      <c r="N29" s="248"/>
      <c r="O29" s="248"/>
      <c r="P29" s="248"/>
      <c r="Q29" s="248"/>
      <c r="R29" s="86"/>
      <c r="U29" s="281"/>
      <c r="V29" s="281"/>
      <c r="W29" s="281"/>
    </row>
    <row r="30" spans="2:23" ht="15" x14ac:dyDescent="0.2">
      <c r="B30" s="36"/>
      <c r="C30" s="92" t="s">
        <v>76</v>
      </c>
      <c r="D30" s="146">
        <f>'Overview IB'!D36</f>
        <v>0</v>
      </c>
      <c r="E30" s="269"/>
      <c r="F30" s="295"/>
      <c r="G30" s="43"/>
      <c r="H30" s="165">
        <v>0</v>
      </c>
      <c r="I30" s="167">
        <f t="shared" si="1"/>
        <v>0</v>
      </c>
      <c r="J30" s="248"/>
      <c r="K30" s="248"/>
      <c r="L30" s="248"/>
      <c r="M30" s="248"/>
      <c r="N30" s="248"/>
      <c r="O30" s="248"/>
      <c r="P30" s="248"/>
      <c r="Q30" s="248"/>
      <c r="R30" s="86"/>
      <c r="U30" s="281"/>
      <c r="V30" s="281"/>
      <c r="W30" s="281"/>
    </row>
    <row r="31" spans="2:23" ht="26.1" customHeight="1" x14ac:dyDescent="0.2">
      <c r="B31" s="36"/>
      <c r="C31" s="8" t="s">
        <v>62</v>
      </c>
      <c r="D31" s="88" t="s">
        <v>86</v>
      </c>
      <c r="E31" s="195" t="s">
        <v>91</v>
      </c>
      <c r="F31" s="194"/>
      <c r="G31" s="42"/>
      <c r="H31" s="104" t="s">
        <v>37</v>
      </c>
      <c r="I31" s="109" t="s">
        <v>11</v>
      </c>
      <c r="J31" s="282" t="s">
        <v>74</v>
      </c>
      <c r="K31" s="282"/>
      <c r="L31" s="282"/>
      <c r="M31" s="282"/>
      <c r="N31" s="282"/>
      <c r="O31" s="282"/>
      <c r="P31" s="282"/>
      <c r="Q31" s="282"/>
      <c r="R31" s="86"/>
      <c r="U31" s="283"/>
      <c r="V31" s="283"/>
      <c r="W31" s="283"/>
    </row>
    <row r="32" spans="2:23" ht="13.15" customHeight="1" x14ac:dyDescent="0.2">
      <c r="B32" s="36"/>
      <c r="C32" s="90" t="s">
        <v>79</v>
      </c>
      <c r="D32" s="146">
        <f>'Overview IB'!D38</f>
        <v>0</v>
      </c>
      <c r="E32" s="252" t="str">
        <f>IF('Overview IB'!E38 &gt; 0, 'Overview IB'!E38, "")</f>
        <v/>
      </c>
      <c r="F32" s="289"/>
      <c r="G32" s="44"/>
      <c r="H32" s="45">
        <f>SUM(H33:H37)</f>
        <v>0</v>
      </c>
      <c r="I32" s="46">
        <f>IF(H32=0,0,H32/D32)</f>
        <v>0</v>
      </c>
      <c r="J32" s="248"/>
      <c r="K32" s="248"/>
      <c r="L32" s="248"/>
      <c r="M32" s="248"/>
      <c r="N32" s="248"/>
      <c r="O32" s="248"/>
      <c r="P32" s="248"/>
      <c r="Q32" s="248"/>
      <c r="R32" s="86"/>
      <c r="U32" s="277"/>
      <c r="V32" s="277"/>
      <c r="W32" s="277"/>
    </row>
    <row r="33" spans="2:23" ht="15" x14ac:dyDescent="0.2">
      <c r="B33" s="36"/>
      <c r="C33" s="92" t="s">
        <v>47</v>
      </c>
      <c r="D33" s="146">
        <f>'Overview IB'!D39</f>
        <v>0</v>
      </c>
      <c r="E33" s="253"/>
      <c r="F33" s="290"/>
      <c r="G33" s="44"/>
      <c r="H33" s="111"/>
      <c r="I33" s="48">
        <f t="shared" ref="I33:I45" si="2">IF(H33=0,0,H33/D33)</f>
        <v>0</v>
      </c>
      <c r="J33" s="248"/>
      <c r="K33" s="248"/>
      <c r="L33" s="248"/>
      <c r="M33" s="248"/>
      <c r="N33" s="248"/>
      <c r="O33" s="248"/>
      <c r="P33" s="248"/>
      <c r="Q33" s="248"/>
      <c r="R33" s="86"/>
      <c r="U33" s="277"/>
      <c r="V33" s="277"/>
      <c r="W33" s="277"/>
    </row>
    <row r="34" spans="2:23" ht="15" x14ac:dyDescent="0.2">
      <c r="B34" s="36"/>
      <c r="C34" s="92" t="s">
        <v>48</v>
      </c>
      <c r="D34" s="146">
        <f>'Overview IB'!D40</f>
        <v>0</v>
      </c>
      <c r="E34" s="253"/>
      <c r="F34" s="290"/>
      <c r="G34" s="41"/>
      <c r="H34" s="47"/>
      <c r="I34" s="48">
        <f t="shared" si="2"/>
        <v>0</v>
      </c>
      <c r="J34" s="248"/>
      <c r="K34" s="248"/>
      <c r="L34" s="248"/>
      <c r="M34" s="248"/>
      <c r="N34" s="248"/>
      <c r="O34" s="248"/>
      <c r="P34" s="248"/>
      <c r="Q34" s="248"/>
      <c r="R34" s="86"/>
      <c r="U34" s="277"/>
      <c r="V34" s="277"/>
      <c r="W34" s="277"/>
    </row>
    <row r="35" spans="2:23" ht="15" x14ac:dyDescent="0.2">
      <c r="B35" s="36"/>
      <c r="C35" s="92" t="s">
        <v>49</v>
      </c>
      <c r="D35" s="146">
        <f>'Overview IB'!D41</f>
        <v>0</v>
      </c>
      <c r="E35" s="253"/>
      <c r="F35" s="290"/>
      <c r="G35" s="41"/>
      <c r="H35" s="47"/>
      <c r="I35" s="48">
        <f t="shared" si="2"/>
        <v>0</v>
      </c>
      <c r="J35" s="248"/>
      <c r="K35" s="248"/>
      <c r="L35" s="248"/>
      <c r="M35" s="248"/>
      <c r="N35" s="248"/>
      <c r="O35" s="248"/>
      <c r="P35" s="248"/>
      <c r="Q35" s="248"/>
      <c r="R35" s="86"/>
      <c r="U35" s="277"/>
      <c r="V35" s="277"/>
      <c r="W35" s="277"/>
    </row>
    <row r="36" spans="2:23" ht="15" x14ac:dyDescent="0.2">
      <c r="B36" s="36"/>
      <c r="C36" s="92" t="s">
        <v>50</v>
      </c>
      <c r="D36" s="146">
        <f>'Overview IB'!D42</f>
        <v>0</v>
      </c>
      <c r="E36" s="253"/>
      <c r="F36" s="290"/>
      <c r="G36" s="41"/>
      <c r="H36" s="47"/>
      <c r="I36" s="48">
        <f t="shared" si="2"/>
        <v>0</v>
      </c>
      <c r="J36" s="248"/>
      <c r="K36" s="248"/>
      <c r="L36" s="248"/>
      <c r="M36" s="248"/>
      <c r="N36" s="248"/>
      <c r="O36" s="248"/>
      <c r="P36" s="248"/>
      <c r="Q36" s="248"/>
      <c r="R36" s="86"/>
      <c r="U36" s="277"/>
      <c r="V36" s="277"/>
      <c r="W36" s="277"/>
    </row>
    <row r="37" spans="2:23" ht="15" x14ac:dyDescent="0.2">
      <c r="B37" s="36"/>
      <c r="C37" s="92" t="s">
        <v>51</v>
      </c>
      <c r="D37" s="146">
        <f>'Overview IB'!D43</f>
        <v>0</v>
      </c>
      <c r="E37" s="253"/>
      <c r="F37" s="290"/>
      <c r="G37" s="41"/>
      <c r="H37" s="47"/>
      <c r="I37" s="48">
        <f t="shared" si="2"/>
        <v>0</v>
      </c>
      <c r="J37" s="248"/>
      <c r="K37" s="248"/>
      <c r="L37" s="248"/>
      <c r="M37" s="248"/>
      <c r="N37" s="248"/>
      <c r="O37" s="248"/>
      <c r="P37" s="248"/>
      <c r="Q37" s="248"/>
      <c r="R37" s="86"/>
      <c r="U37" s="277"/>
      <c r="V37" s="277"/>
      <c r="W37" s="277"/>
    </row>
    <row r="38" spans="2:23" ht="15" x14ac:dyDescent="0.2">
      <c r="B38" s="36"/>
      <c r="C38" s="90" t="s">
        <v>80</v>
      </c>
      <c r="D38" s="146">
        <f>'Overview IB'!D44</f>
        <v>0</v>
      </c>
      <c r="E38" s="253"/>
      <c r="F38" s="290"/>
      <c r="G38" s="41"/>
      <c r="H38" s="47"/>
      <c r="I38" s="46">
        <f t="shared" si="2"/>
        <v>0</v>
      </c>
      <c r="J38" s="248"/>
      <c r="K38" s="248"/>
      <c r="L38" s="248"/>
      <c r="M38" s="248"/>
      <c r="N38" s="248"/>
      <c r="O38" s="248"/>
      <c r="P38" s="248"/>
      <c r="Q38" s="248"/>
      <c r="R38" s="86"/>
      <c r="U38" s="277"/>
      <c r="V38" s="277"/>
      <c r="W38" s="277"/>
    </row>
    <row r="39" spans="2:23" ht="15" x14ac:dyDescent="0.2">
      <c r="B39" s="36"/>
      <c r="C39" s="90" t="s">
        <v>81</v>
      </c>
      <c r="D39" s="146">
        <f>'Overview IB'!D45</f>
        <v>0</v>
      </c>
      <c r="E39" s="253"/>
      <c r="F39" s="290"/>
      <c r="G39" s="41"/>
      <c r="H39" s="47"/>
      <c r="I39" s="46">
        <f t="shared" si="2"/>
        <v>0</v>
      </c>
      <c r="J39" s="248"/>
      <c r="K39" s="248"/>
      <c r="L39" s="248"/>
      <c r="M39" s="248"/>
      <c r="N39" s="248"/>
      <c r="O39" s="248"/>
      <c r="P39" s="248"/>
      <c r="Q39" s="248"/>
      <c r="R39" s="86"/>
      <c r="U39" s="277"/>
      <c r="V39" s="277"/>
      <c r="W39" s="277"/>
    </row>
    <row r="40" spans="2:23" ht="15" x14ac:dyDescent="0.2">
      <c r="B40" s="36"/>
      <c r="C40" s="90" t="s">
        <v>30</v>
      </c>
      <c r="D40" s="146">
        <f>'Overview IB'!D46</f>
        <v>0</v>
      </c>
      <c r="E40" s="253"/>
      <c r="F40" s="290"/>
      <c r="G40" s="41"/>
      <c r="H40" s="47"/>
      <c r="I40" s="46">
        <f t="shared" si="2"/>
        <v>0</v>
      </c>
      <c r="J40" s="248"/>
      <c r="K40" s="248"/>
      <c r="L40" s="248"/>
      <c r="M40" s="248"/>
      <c r="N40" s="248"/>
      <c r="O40" s="248"/>
      <c r="P40" s="248"/>
      <c r="Q40" s="248"/>
      <c r="R40" s="86"/>
      <c r="U40" s="277"/>
      <c r="V40" s="277"/>
      <c r="W40" s="277"/>
    </row>
    <row r="41" spans="2:23" ht="30" x14ac:dyDescent="0.2">
      <c r="B41" s="36"/>
      <c r="C41" s="90" t="s">
        <v>126</v>
      </c>
      <c r="D41" s="146">
        <f>'Overview IB'!D47</f>
        <v>0</v>
      </c>
      <c r="E41" s="253"/>
      <c r="F41" s="290"/>
      <c r="G41" s="41"/>
      <c r="H41" s="47"/>
      <c r="I41" s="46">
        <f t="shared" si="2"/>
        <v>0</v>
      </c>
      <c r="J41" s="248"/>
      <c r="K41" s="248"/>
      <c r="L41" s="248"/>
      <c r="M41" s="248"/>
      <c r="N41" s="248"/>
      <c r="O41" s="248"/>
      <c r="P41" s="248"/>
      <c r="Q41" s="248"/>
      <c r="R41" s="86"/>
      <c r="U41" s="277"/>
      <c r="V41" s="277"/>
      <c r="W41" s="277"/>
    </row>
    <row r="42" spans="2:23" ht="30" x14ac:dyDescent="0.2">
      <c r="B42" s="36"/>
      <c r="C42" s="92" t="s">
        <v>52</v>
      </c>
      <c r="D42" s="146">
        <f>'Overview IB'!D48</f>
        <v>0</v>
      </c>
      <c r="E42" s="253"/>
      <c r="F42" s="290"/>
      <c r="G42" s="41"/>
      <c r="H42" s="47"/>
      <c r="I42" s="48">
        <f t="shared" si="2"/>
        <v>0</v>
      </c>
      <c r="J42" s="248"/>
      <c r="K42" s="248"/>
      <c r="L42" s="248"/>
      <c r="M42" s="248"/>
      <c r="N42" s="248"/>
      <c r="O42" s="248"/>
      <c r="P42" s="248"/>
      <c r="Q42" s="248"/>
      <c r="R42" s="86"/>
      <c r="U42" s="277"/>
      <c r="V42" s="277"/>
      <c r="W42" s="277"/>
    </row>
    <row r="43" spans="2:23" ht="15" x14ac:dyDescent="0.2">
      <c r="B43" s="36"/>
      <c r="C43" s="92" t="s">
        <v>69</v>
      </c>
      <c r="D43" s="146">
        <f>'Overview IB'!D49</f>
        <v>0</v>
      </c>
      <c r="E43" s="254"/>
      <c r="F43" s="291"/>
      <c r="G43" s="41"/>
      <c r="H43" s="47"/>
      <c r="I43" s="48">
        <f t="shared" si="2"/>
        <v>0</v>
      </c>
      <c r="J43" s="248"/>
      <c r="K43" s="248"/>
      <c r="L43" s="248"/>
      <c r="M43" s="248"/>
      <c r="N43" s="248"/>
      <c r="O43" s="248"/>
      <c r="P43" s="248"/>
      <c r="Q43" s="248"/>
      <c r="R43" s="86"/>
      <c r="U43" s="277"/>
      <c r="V43" s="277"/>
      <c r="W43" s="277"/>
    </row>
    <row r="44" spans="2:23" ht="15" x14ac:dyDescent="0.2">
      <c r="B44" s="36"/>
      <c r="C44" s="90" t="s">
        <v>53</v>
      </c>
      <c r="D44" s="146">
        <f>'Overview IB'!D50</f>
        <v>0</v>
      </c>
      <c r="E44" s="252" t="str">
        <f>IF('Overview IB'!E50 &gt; 0, 'Overview IB'!E50, "")</f>
        <v/>
      </c>
      <c r="F44" s="289"/>
      <c r="G44" s="41"/>
      <c r="H44" s="47"/>
      <c r="I44" s="46">
        <f t="shared" si="2"/>
        <v>0</v>
      </c>
      <c r="J44" s="248"/>
      <c r="K44" s="248"/>
      <c r="L44" s="248"/>
      <c r="M44" s="248"/>
      <c r="N44" s="248"/>
      <c r="O44" s="248"/>
      <c r="P44" s="248"/>
      <c r="Q44" s="248"/>
      <c r="R44" s="86"/>
      <c r="U44" s="105"/>
      <c r="V44" s="105"/>
      <c r="W44" s="105"/>
    </row>
    <row r="45" spans="2:23" ht="19.149999999999999" customHeight="1" x14ac:dyDescent="0.2">
      <c r="B45" s="36"/>
      <c r="C45" s="92" t="s">
        <v>97</v>
      </c>
      <c r="D45" s="146">
        <f>'Overview IB'!D51</f>
        <v>0</v>
      </c>
      <c r="E45" s="253"/>
      <c r="F45" s="291"/>
      <c r="G45" s="41"/>
      <c r="H45" s="47"/>
      <c r="I45" s="48">
        <f t="shared" si="2"/>
        <v>0</v>
      </c>
      <c r="J45" s="248"/>
      <c r="K45" s="248"/>
      <c r="L45" s="248"/>
      <c r="M45" s="248"/>
      <c r="N45" s="248"/>
      <c r="O45" s="248"/>
      <c r="P45" s="248"/>
      <c r="Q45" s="248"/>
      <c r="R45" s="86"/>
      <c r="U45" s="277"/>
      <c r="V45" s="277"/>
      <c r="W45" s="277"/>
    </row>
    <row r="46" spans="2:23" ht="26.1" customHeight="1" x14ac:dyDescent="0.2">
      <c r="B46" s="36"/>
      <c r="C46" s="8" t="s">
        <v>64</v>
      </c>
      <c r="D46" s="88" t="s">
        <v>86</v>
      </c>
      <c r="E46" s="195" t="s">
        <v>91</v>
      </c>
      <c r="F46" s="194"/>
      <c r="G46" s="42"/>
      <c r="H46" s="104" t="s">
        <v>37</v>
      </c>
      <c r="I46" s="109" t="s">
        <v>11</v>
      </c>
      <c r="J46" s="270" t="s">
        <v>74</v>
      </c>
      <c r="K46" s="271"/>
      <c r="L46" s="271"/>
      <c r="M46" s="271"/>
      <c r="N46" s="271"/>
      <c r="O46" s="271"/>
      <c r="P46" s="271"/>
      <c r="Q46" s="271"/>
      <c r="R46" s="86"/>
      <c r="U46" s="281"/>
      <c r="V46" s="281"/>
      <c r="W46" s="281"/>
    </row>
    <row r="47" spans="2:23" ht="14.65" customHeight="1" x14ac:dyDescent="0.2">
      <c r="B47" s="36"/>
      <c r="C47" s="90" t="s">
        <v>54</v>
      </c>
      <c r="D47" s="146">
        <f>'Overview IB'!D53</f>
        <v>0</v>
      </c>
      <c r="E47" s="255" t="str">
        <f>IF('Overview IB'!E53 &gt; 0, 'Overview IB'!E53, "")</f>
        <v/>
      </c>
      <c r="F47" s="292"/>
      <c r="G47" s="43"/>
      <c r="H47" s="111"/>
      <c r="I47" s="46">
        <f>IF(H47=0,0,H47/D47)</f>
        <v>0</v>
      </c>
      <c r="J47" s="278"/>
      <c r="K47" s="279"/>
      <c r="L47" s="279"/>
      <c r="M47" s="279"/>
      <c r="N47" s="279"/>
      <c r="O47" s="279"/>
      <c r="P47" s="279"/>
      <c r="Q47" s="279"/>
      <c r="R47" s="86"/>
      <c r="U47" s="281"/>
      <c r="V47" s="281"/>
      <c r="W47" s="281"/>
    </row>
    <row r="48" spans="2:23" ht="15" x14ac:dyDescent="0.2">
      <c r="B48" s="36"/>
      <c r="C48" s="89" t="s">
        <v>82</v>
      </c>
      <c r="D48" s="146">
        <f>'Overview IB'!D54</f>
        <v>0</v>
      </c>
      <c r="E48" s="252" t="str">
        <f>IF('Overview IB'!E54 &gt; 0, 'Overview IB'!E54, "")</f>
        <v/>
      </c>
      <c r="F48" s="289"/>
      <c r="G48" s="43"/>
      <c r="H48" s="47"/>
      <c r="I48" s="46">
        <f t="shared" ref="I48:I55" si="3">IF(H48=0,0,H48/D48)</f>
        <v>0</v>
      </c>
      <c r="J48" s="248"/>
      <c r="K48" s="248"/>
      <c r="L48" s="248"/>
      <c r="M48" s="248"/>
      <c r="N48" s="248"/>
      <c r="O48" s="248"/>
      <c r="P48" s="248"/>
      <c r="Q48" s="248"/>
      <c r="R48" s="86"/>
      <c r="U48" s="281"/>
      <c r="V48" s="281"/>
      <c r="W48" s="281"/>
    </row>
    <row r="49" spans="2:23" ht="13.15" customHeight="1" x14ac:dyDescent="0.2">
      <c r="B49" s="36"/>
      <c r="C49" s="92" t="s">
        <v>77</v>
      </c>
      <c r="D49" s="146">
        <f>'Overview IB'!D55</f>
        <v>0</v>
      </c>
      <c r="E49" s="254"/>
      <c r="F49" s="291"/>
      <c r="G49" s="43"/>
      <c r="H49" s="47"/>
      <c r="I49" s="48">
        <f t="shared" si="3"/>
        <v>0</v>
      </c>
      <c r="J49" s="248"/>
      <c r="K49" s="248"/>
      <c r="L49" s="248"/>
      <c r="M49" s="248"/>
      <c r="N49" s="248"/>
      <c r="O49" s="248"/>
      <c r="P49" s="248"/>
      <c r="Q49" s="248"/>
      <c r="R49" s="86"/>
      <c r="U49" s="277"/>
      <c r="V49" s="277"/>
      <c r="W49" s="277"/>
    </row>
    <row r="50" spans="2:23" ht="14.65" customHeight="1" x14ac:dyDescent="0.2">
      <c r="B50" s="36"/>
      <c r="C50" s="89" t="s">
        <v>63</v>
      </c>
      <c r="D50" s="146">
        <f>'Overview IB'!D56</f>
        <v>0</v>
      </c>
      <c r="E50" s="252" t="str">
        <f>IF('Overview IB'!E56 &gt; 0, 'Overview IB'!E56, "")</f>
        <v/>
      </c>
      <c r="F50" s="289"/>
      <c r="G50" s="43"/>
      <c r="H50" s="47"/>
      <c r="I50" s="46">
        <f t="shared" si="3"/>
        <v>0</v>
      </c>
      <c r="J50" s="248"/>
      <c r="K50" s="248"/>
      <c r="L50" s="248"/>
      <c r="M50" s="248"/>
      <c r="N50" s="248"/>
      <c r="O50" s="248"/>
      <c r="P50" s="248"/>
      <c r="Q50" s="248"/>
      <c r="R50" s="86"/>
      <c r="U50" s="277"/>
      <c r="V50" s="277"/>
      <c r="W50" s="277"/>
    </row>
    <row r="51" spans="2:23" ht="13.15" customHeight="1" x14ac:dyDescent="0.2">
      <c r="B51" s="36"/>
      <c r="C51" s="92" t="s">
        <v>123</v>
      </c>
      <c r="D51" s="146">
        <f>'Overview IB'!D57</f>
        <v>0</v>
      </c>
      <c r="E51" s="253"/>
      <c r="F51" s="290"/>
      <c r="G51" s="43"/>
      <c r="H51" s="47"/>
      <c r="I51" s="48">
        <f t="shared" si="3"/>
        <v>0</v>
      </c>
      <c r="J51" s="248"/>
      <c r="K51" s="248"/>
      <c r="L51" s="248"/>
      <c r="M51" s="248"/>
      <c r="N51" s="248"/>
      <c r="O51" s="248"/>
      <c r="P51" s="248"/>
      <c r="Q51" s="248"/>
      <c r="R51" s="86"/>
      <c r="U51" s="277"/>
      <c r="V51" s="277"/>
      <c r="W51" s="277"/>
    </row>
    <row r="52" spans="2:23" ht="14.65" customHeight="1" x14ac:dyDescent="0.2">
      <c r="B52" s="36"/>
      <c r="C52" s="92" t="s">
        <v>78</v>
      </c>
      <c r="D52" s="146">
        <f>'Overview IB'!D58</f>
        <v>0</v>
      </c>
      <c r="E52" s="254"/>
      <c r="F52" s="291"/>
      <c r="G52" s="43"/>
      <c r="H52" s="47"/>
      <c r="I52" s="48">
        <f t="shared" si="3"/>
        <v>0</v>
      </c>
      <c r="J52" s="248"/>
      <c r="K52" s="248"/>
      <c r="L52" s="248"/>
      <c r="M52" s="248"/>
      <c r="N52" s="248"/>
      <c r="O52" s="248"/>
      <c r="P52" s="248"/>
      <c r="Q52" s="248"/>
      <c r="R52" s="86"/>
      <c r="U52" s="277"/>
      <c r="V52" s="277"/>
      <c r="W52" s="277"/>
    </row>
    <row r="53" spans="2:23" ht="13.15" customHeight="1" x14ac:dyDescent="0.2">
      <c r="B53" s="36"/>
      <c r="C53" s="94" t="s">
        <v>88</v>
      </c>
      <c r="D53" s="146">
        <f>'Overview IB'!D59</f>
        <v>1000</v>
      </c>
      <c r="E53" s="252" t="str">
        <f>IF('Overview IB'!E59 &gt; 0, 'Overview IB'!E59, "")</f>
        <v/>
      </c>
      <c r="F53" s="289"/>
      <c r="G53" s="43"/>
      <c r="H53" s="47">
        <v>700</v>
      </c>
      <c r="I53" s="46">
        <f t="shared" si="3"/>
        <v>0.7</v>
      </c>
      <c r="J53" s="248"/>
      <c r="K53" s="248"/>
      <c r="L53" s="248"/>
      <c r="M53" s="248"/>
      <c r="N53" s="248"/>
      <c r="O53" s="248"/>
      <c r="P53" s="248"/>
      <c r="Q53" s="248"/>
      <c r="R53" s="86"/>
      <c r="U53" s="277"/>
      <c r="V53" s="277"/>
      <c r="W53" s="277"/>
    </row>
    <row r="54" spans="2:23" ht="15" x14ac:dyDescent="0.2">
      <c r="B54" s="36"/>
      <c r="C54" s="103" t="s">
        <v>89</v>
      </c>
      <c r="D54" s="146">
        <f>'Overview IB'!D60</f>
        <v>1000</v>
      </c>
      <c r="E54" s="253"/>
      <c r="F54" s="290"/>
      <c r="G54" s="43"/>
      <c r="H54" s="47">
        <v>700</v>
      </c>
      <c r="I54" s="48">
        <f t="shared" si="3"/>
        <v>0.7</v>
      </c>
      <c r="J54" s="248"/>
      <c r="K54" s="248"/>
      <c r="L54" s="248"/>
      <c r="M54" s="248"/>
      <c r="N54" s="248"/>
      <c r="O54" s="248"/>
      <c r="P54" s="248"/>
      <c r="Q54" s="248"/>
      <c r="R54" s="86"/>
      <c r="U54" s="277"/>
      <c r="V54" s="277"/>
      <c r="W54" s="277"/>
    </row>
    <row r="55" spans="2:23" ht="15" x14ac:dyDescent="0.2">
      <c r="B55" s="36"/>
      <c r="C55" s="103" t="s">
        <v>90</v>
      </c>
      <c r="D55" s="146">
        <f>'Overview IB'!D61</f>
        <v>0</v>
      </c>
      <c r="E55" s="254"/>
      <c r="F55" s="291"/>
      <c r="G55" s="43"/>
      <c r="H55" s="47"/>
      <c r="I55" s="48">
        <f t="shared" si="3"/>
        <v>0</v>
      </c>
      <c r="J55" s="248"/>
      <c r="K55" s="248"/>
      <c r="L55" s="248"/>
      <c r="M55" s="248"/>
      <c r="N55" s="248"/>
      <c r="O55" s="248"/>
      <c r="P55" s="248"/>
      <c r="Q55" s="248"/>
      <c r="R55" s="86"/>
      <c r="U55" s="280"/>
      <c r="V55" s="280"/>
      <c r="W55" s="280"/>
    </row>
    <row r="56" spans="2:23" x14ac:dyDescent="0.2">
      <c r="B56" s="36"/>
      <c r="C56" s="296"/>
      <c r="D56" s="296"/>
      <c r="E56" s="49"/>
      <c r="F56" s="50"/>
      <c r="G56" s="50"/>
      <c r="H56" s="66"/>
      <c r="I56" s="51"/>
      <c r="J56" s="52"/>
      <c r="K56" s="52"/>
      <c r="L56" s="52"/>
      <c r="M56" s="106"/>
      <c r="N56" s="52"/>
      <c r="O56" s="52"/>
      <c r="P56" s="106"/>
      <c r="Q56" s="297"/>
      <c r="R56" s="298"/>
      <c r="U56" s="105"/>
      <c r="V56" s="105"/>
      <c r="W56" s="105"/>
    </row>
    <row r="57" spans="2:23" ht="27.6" customHeight="1" x14ac:dyDescent="0.2">
      <c r="B57" s="36"/>
      <c r="C57" s="184" t="s">
        <v>38</v>
      </c>
      <c r="D57" s="185"/>
      <c r="E57" s="185"/>
      <c r="F57" s="185"/>
      <c r="G57" s="37"/>
      <c r="H57" s="262" t="s">
        <v>37</v>
      </c>
      <c r="I57" s="263"/>
      <c r="J57" s="270" t="s">
        <v>74</v>
      </c>
      <c r="K57" s="271"/>
      <c r="L57" s="271"/>
      <c r="M57" s="271"/>
      <c r="N57" s="271"/>
      <c r="O57" s="271"/>
      <c r="P57" s="271"/>
      <c r="Q57" s="271"/>
      <c r="R57" s="86"/>
      <c r="U57" s="105"/>
      <c r="V57" s="105"/>
      <c r="W57" s="105"/>
    </row>
    <row r="58" spans="2:23" ht="13.15" customHeight="1" x14ac:dyDescent="0.2">
      <c r="B58" s="36"/>
      <c r="C58" s="181" t="s">
        <v>125</v>
      </c>
      <c r="D58" s="182"/>
      <c r="E58" s="182"/>
      <c r="F58" s="182"/>
      <c r="G58" s="37"/>
      <c r="H58" s="249">
        <v>30</v>
      </c>
      <c r="I58" s="250"/>
      <c r="J58" s="278" t="s">
        <v>172</v>
      </c>
      <c r="K58" s="279"/>
      <c r="L58" s="279"/>
      <c r="M58" s="279"/>
      <c r="N58" s="279"/>
      <c r="O58" s="279"/>
      <c r="P58" s="279"/>
      <c r="Q58" s="279"/>
      <c r="R58" s="86"/>
      <c r="U58" s="277"/>
      <c r="V58" s="277"/>
      <c r="W58" s="277"/>
    </row>
    <row r="59" spans="2:23" ht="15" x14ac:dyDescent="0.2">
      <c r="B59" s="36"/>
      <c r="C59" s="190" t="s">
        <v>44</v>
      </c>
      <c r="D59" s="191"/>
      <c r="E59" s="191"/>
      <c r="F59" s="191"/>
      <c r="G59" s="37"/>
      <c r="H59" s="249"/>
      <c r="I59" s="250"/>
      <c r="J59" s="248"/>
      <c r="K59" s="248"/>
      <c r="L59" s="248"/>
      <c r="M59" s="248"/>
      <c r="N59" s="248"/>
      <c r="O59" s="248"/>
      <c r="P59" s="248"/>
      <c r="Q59" s="248"/>
      <c r="R59" s="86"/>
      <c r="U59" s="105"/>
      <c r="V59" s="105"/>
      <c r="W59" s="105"/>
    </row>
    <row r="60" spans="2:23" ht="15" x14ac:dyDescent="0.2">
      <c r="B60" s="36"/>
      <c r="C60" s="190" t="s">
        <v>43</v>
      </c>
      <c r="D60" s="191"/>
      <c r="E60" s="191"/>
      <c r="F60" s="191"/>
      <c r="G60" s="37"/>
      <c r="H60" s="249">
        <v>317</v>
      </c>
      <c r="I60" s="250"/>
      <c r="J60" s="248" t="s">
        <v>183</v>
      </c>
      <c r="K60" s="248"/>
      <c r="L60" s="248"/>
      <c r="M60" s="248"/>
      <c r="N60" s="248"/>
      <c r="O60" s="248"/>
      <c r="P60" s="248"/>
      <c r="Q60" s="248"/>
      <c r="R60" s="86"/>
      <c r="U60" s="105"/>
      <c r="V60" s="105"/>
      <c r="W60" s="105"/>
    </row>
    <row r="61" spans="2:23" ht="15" x14ac:dyDescent="0.2">
      <c r="B61" s="36"/>
      <c r="C61" s="190" t="s">
        <v>128</v>
      </c>
      <c r="D61" s="191"/>
      <c r="E61" s="191"/>
      <c r="F61" s="191"/>
      <c r="G61" s="37"/>
      <c r="H61" s="260">
        <v>396</v>
      </c>
      <c r="I61" s="250"/>
      <c r="J61" s="257" t="s">
        <v>184</v>
      </c>
      <c r="K61" s="258"/>
      <c r="L61" s="258"/>
      <c r="M61" s="258"/>
      <c r="N61" s="258"/>
      <c r="O61" s="258"/>
      <c r="P61" s="258"/>
      <c r="Q61" s="259"/>
      <c r="R61" s="86"/>
      <c r="U61" s="105"/>
      <c r="V61" s="105"/>
      <c r="W61" s="105"/>
    </row>
    <row r="62" spans="2:23" ht="13.15" customHeight="1" x14ac:dyDescent="0.2">
      <c r="B62" s="36"/>
      <c r="C62" s="190" t="s">
        <v>108</v>
      </c>
      <c r="D62" s="191"/>
      <c r="E62" s="191"/>
      <c r="F62" s="191"/>
      <c r="G62" s="37"/>
      <c r="H62" s="249">
        <v>0</v>
      </c>
      <c r="I62" s="250"/>
      <c r="J62" s="248" t="s">
        <v>185</v>
      </c>
      <c r="K62" s="248"/>
      <c r="L62" s="248"/>
      <c r="M62" s="248"/>
      <c r="N62" s="248"/>
      <c r="O62" s="248"/>
      <c r="P62" s="248"/>
      <c r="Q62" s="248"/>
      <c r="R62" s="86"/>
      <c r="U62" s="105"/>
      <c r="V62" s="105"/>
      <c r="W62" s="105"/>
    </row>
    <row r="63" spans="2:23" ht="15" x14ac:dyDescent="0.2">
      <c r="B63" s="36"/>
      <c r="C63" s="190" t="s">
        <v>107</v>
      </c>
      <c r="D63" s="191"/>
      <c r="E63" s="191"/>
      <c r="F63" s="191"/>
      <c r="G63" s="37"/>
      <c r="H63" s="249">
        <v>0</v>
      </c>
      <c r="I63" s="250"/>
      <c r="J63" s="248" t="s">
        <v>186</v>
      </c>
      <c r="K63" s="248"/>
      <c r="L63" s="248"/>
      <c r="M63" s="248"/>
      <c r="N63" s="248"/>
      <c r="O63" s="248"/>
      <c r="P63" s="248"/>
      <c r="Q63" s="248"/>
      <c r="R63" s="86"/>
      <c r="U63" s="105"/>
      <c r="V63" s="105"/>
      <c r="W63" s="105"/>
    </row>
    <row r="64" spans="2:23" ht="15" x14ac:dyDescent="0.2">
      <c r="B64" s="36"/>
      <c r="C64" s="190" t="s">
        <v>45</v>
      </c>
      <c r="D64" s="191"/>
      <c r="E64" s="191"/>
      <c r="F64" s="191"/>
      <c r="G64" s="37"/>
      <c r="H64" s="249">
        <v>268</v>
      </c>
      <c r="I64" s="250"/>
      <c r="J64" s="248" t="s">
        <v>148</v>
      </c>
      <c r="K64" s="248"/>
      <c r="L64" s="248"/>
      <c r="M64" s="248"/>
      <c r="N64" s="248"/>
      <c r="O64" s="248"/>
      <c r="P64" s="248"/>
      <c r="Q64" s="248"/>
      <c r="R64" s="86"/>
      <c r="U64" s="105"/>
      <c r="V64" s="105"/>
      <c r="W64" s="105"/>
    </row>
    <row r="65" spans="2:23" ht="14.65" customHeight="1" x14ac:dyDescent="0.2">
      <c r="B65" s="36"/>
      <c r="C65" s="190" t="s">
        <v>73</v>
      </c>
      <c r="D65" s="191"/>
      <c r="E65" s="191"/>
      <c r="F65" s="191"/>
      <c r="G65" s="37"/>
      <c r="H65" s="249">
        <v>34</v>
      </c>
      <c r="I65" s="250"/>
      <c r="J65" s="248" t="s">
        <v>187</v>
      </c>
      <c r="K65" s="248"/>
      <c r="L65" s="248"/>
      <c r="M65" s="248"/>
      <c r="N65" s="248"/>
      <c r="O65" s="248"/>
      <c r="P65" s="248"/>
      <c r="Q65" s="248"/>
      <c r="R65" s="86"/>
      <c r="U65" s="105"/>
      <c r="V65" s="105"/>
      <c r="W65" s="105"/>
    </row>
    <row r="66" spans="2:23" ht="15" x14ac:dyDescent="0.2">
      <c r="B66" s="36"/>
      <c r="C66" s="181" t="s">
        <v>117</v>
      </c>
      <c r="D66" s="182"/>
      <c r="E66" s="182"/>
      <c r="F66" s="182"/>
      <c r="G66" s="37"/>
      <c r="H66" s="249"/>
      <c r="I66" s="250"/>
      <c r="J66" s="248"/>
      <c r="K66" s="248"/>
      <c r="L66" s="248"/>
      <c r="M66" s="248"/>
      <c r="N66" s="248"/>
      <c r="O66" s="248"/>
      <c r="P66" s="248"/>
      <c r="Q66" s="248"/>
      <c r="R66" s="86"/>
      <c r="U66" s="105"/>
      <c r="V66" s="105"/>
      <c r="W66" s="105"/>
    </row>
    <row r="67" spans="2:23" ht="15" x14ac:dyDescent="0.2">
      <c r="B67" s="36"/>
      <c r="C67" s="187" t="s">
        <v>103</v>
      </c>
      <c r="D67" s="188"/>
      <c r="E67" s="188"/>
      <c r="F67" s="188"/>
      <c r="G67" s="37"/>
      <c r="H67" s="249">
        <v>255</v>
      </c>
      <c r="I67" s="250"/>
      <c r="J67" s="248" t="s">
        <v>150</v>
      </c>
      <c r="K67" s="248"/>
      <c r="L67" s="248"/>
      <c r="M67" s="248"/>
      <c r="N67" s="248"/>
      <c r="O67" s="248"/>
      <c r="P67" s="248"/>
      <c r="Q67" s="248"/>
      <c r="R67" s="86"/>
      <c r="U67" s="105"/>
      <c r="V67" s="105"/>
      <c r="W67" s="105"/>
    </row>
    <row r="68" spans="2:23" ht="13.15" customHeight="1" x14ac:dyDescent="0.2">
      <c r="B68" s="36"/>
      <c r="C68" s="187" t="s">
        <v>104</v>
      </c>
      <c r="D68" s="188"/>
      <c r="E68" s="188"/>
      <c r="F68" s="188"/>
      <c r="G68" s="37"/>
      <c r="H68" s="249">
        <v>246</v>
      </c>
      <c r="I68" s="250"/>
      <c r="J68" s="248" t="s">
        <v>150</v>
      </c>
      <c r="K68" s="248"/>
      <c r="L68" s="248"/>
      <c r="M68" s="248"/>
      <c r="N68" s="248"/>
      <c r="O68" s="248"/>
      <c r="P68" s="248"/>
      <c r="Q68" s="248"/>
      <c r="R68" s="86"/>
      <c r="U68" s="105"/>
      <c r="V68" s="105"/>
      <c r="W68" s="105"/>
    </row>
    <row r="69" spans="2:23" ht="15" x14ac:dyDescent="0.2">
      <c r="B69" s="36"/>
      <c r="C69" s="155" t="s">
        <v>105</v>
      </c>
      <c r="D69" s="156"/>
      <c r="E69" s="156"/>
      <c r="F69" s="156"/>
      <c r="G69" s="37"/>
      <c r="H69" s="260">
        <v>19</v>
      </c>
      <c r="I69" s="250"/>
      <c r="J69" s="248" t="s">
        <v>150</v>
      </c>
      <c r="K69" s="248"/>
      <c r="L69" s="248"/>
      <c r="M69" s="248"/>
      <c r="N69" s="248"/>
      <c r="O69" s="248"/>
      <c r="P69" s="248"/>
      <c r="Q69" s="248"/>
      <c r="R69" s="86"/>
      <c r="U69" s="105"/>
      <c r="V69" s="105"/>
      <c r="W69" s="105"/>
    </row>
    <row r="70" spans="2:23" ht="15" x14ac:dyDescent="0.2">
      <c r="B70" s="36"/>
      <c r="C70" s="187" t="s">
        <v>98</v>
      </c>
      <c r="D70" s="188"/>
      <c r="E70" s="188"/>
      <c r="F70" s="188"/>
      <c r="G70" s="37"/>
      <c r="H70" s="260">
        <v>95</v>
      </c>
      <c r="I70" s="250"/>
      <c r="J70" s="248" t="s">
        <v>150</v>
      </c>
      <c r="K70" s="248"/>
      <c r="L70" s="248"/>
      <c r="M70" s="248"/>
      <c r="N70" s="248"/>
      <c r="O70" s="248"/>
      <c r="P70" s="248"/>
      <c r="Q70" s="248"/>
      <c r="R70" s="86"/>
      <c r="U70" s="105"/>
      <c r="V70" s="105"/>
      <c r="W70" s="105"/>
    </row>
    <row r="71" spans="2:23" ht="15" x14ac:dyDescent="0.2">
      <c r="B71" s="36"/>
      <c r="C71" s="181" t="s">
        <v>118</v>
      </c>
      <c r="D71" s="182"/>
      <c r="E71" s="182"/>
      <c r="F71" s="182"/>
      <c r="G71" s="37"/>
      <c r="H71" s="260"/>
      <c r="I71" s="250"/>
      <c r="J71" s="248"/>
      <c r="K71" s="248"/>
      <c r="L71" s="248"/>
      <c r="M71" s="248"/>
      <c r="N71" s="248"/>
      <c r="O71" s="248"/>
      <c r="P71" s="248"/>
      <c r="Q71" s="248"/>
      <c r="R71" s="86"/>
      <c r="U71" s="105"/>
      <c r="V71" s="105"/>
      <c r="W71" s="105"/>
    </row>
    <row r="72" spans="2:23" ht="15" x14ac:dyDescent="0.2">
      <c r="B72" s="36"/>
      <c r="C72" s="187" t="s">
        <v>40</v>
      </c>
      <c r="D72" s="188"/>
      <c r="E72" s="188"/>
      <c r="F72" s="188"/>
      <c r="G72" s="37"/>
      <c r="H72" s="260">
        <v>418</v>
      </c>
      <c r="I72" s="250"/>
      <c r="J72" s="248" t="s">
        <v>188</v>
      </c>
      <c r="K72" s="248"/>
      <c r="L72" s="248"/>
      <c r="M72" s="248"/>
      <c r="N72" s="248"/>
      <c r="O72" s="248"/>
      <c r="P72" s="248"/>
      <c r="Q72" s="248"/>
      <c r="R72" s="86"/>
      <c r="U72" s="105"/>
      <c r="V72" s="105"/>
      <c r="W72" s="105"/>
    </row>
    <row r="73" spans="2:23" ht="14.65" customHeight="1" x14ac:dyDescent="0.2">
      <c r="B73" s="36"/>
      <c r="C73" s="187" t="s">
        <v>41</v>
      </c>
      <c r="D73" s="188"/>
      <c r="E73" s="188"/>
      <c r="F73" s="188"/>
      <c r="G73" s="37"/>
      <c r="H73" s="249">
        <v>382</v>
      </c>
      <c r="I73" s="250"/>
      <c r="J73" s="248" t="s">
        <v>189</v>
      </c>
      <c r="K73" s="248"/>
      <c r="L73" s="248"/>
      <c r="M73" s="248"/>
      <c r="N73" s="248"/>
      <c r="O73" s="248"/>
      <c r="P73" s="248"/>
      <c r="Q73" s="248"/>
      <c r="R73" s="86"/>
      <c r="U73" s="105"/>
      <c r="V73" s="105"/>
      <c r="W73" s="105"/>
    </row>
    <row r="74" spans="2:23" ht="13.15" customHeight="1" x14ac:dyDescent="0.2">
      <c r="B74" s="36"/>
      <c r="C74" s="155" t="s">
        <v>99</v>
      </c>
      <c r="D74" s="156"/>
      <c r="E74" s="156"/>
      <c r="F74" s="156"/>
      <c r="G74" s="37"/>
      <c r="H74" s="249"/>
      <c r="I74" s="250"/>
      <c r="J74" s="248"/>
      <c r="K74" s="248"/>
      <c r="L74" s="248"/>
      <c r="M74" s="248"/>
      <c r="N74" s="248"/>
      <c r="O74" s="248"/>
      <c r="P74" s="248"/>
      <c r="Q74" s="248"/>
      <c r="R74" s="86"/>
      <c r="U74" s="105"/>
      <c r="V74" s="105"/>
      <c r="W74" s="105"/>
    </row>
    <row r="75" spans="2:23" ht="15" x14ac:dyDescent="0.2">
      <c r="B75" s="36"/>
      <c r="C75" s="155" t="s">
        <v>100</v>
      </c>
      <c r="D75" s="156"/>
      <c r="E75" s="156"/>
      <c r="F75" s="156"/>
      <c r="G75" s="37"/>
      <c r="H75" s="249"/>
      <c r="I75" s="250"/>
      <c r="J75" s="248"/>
      <c r="K75" s="248"/>
      <c r="L75" s="248"/>
      <c r="M75" s="248"/>
      <c r="N75" s="248"/>
      <c r="O75" s="248"/>
      <c r="P75" s="248"/>
      <c r="Q75" s="248"/>
      <c r="R75" s="86"/>
      <c r="U75" s="105"/>
      <c r="V75" s="105"/>
      <c r="W75" s="105"/>
    </row>
    <row r="76" spans="2:23" ht="13.15" customHeight="1" x14ac:dyDescent="0.2">
      <c r="B76" s="36"/>
      <c r="C76" s="155" t="s">
        <v>101</v>
      </c>
      <c r="D76" s="156"/>
      <c r="E76" s="156"/>
      <c r="F76" s="156"/>
      <c r="G76" s="37"/>
      <c r="H76" s="249"/>
      <c r="I76" s="250"/>
      <c r="J76" s="248"/>
      <c r="K76" s="248"/>
      <c r="L76" s="248"/>
      <c r="M76" s="248"/>
      <c r="N76" s="248"/>
      <c r="O76" s="248"/>
      <c r="P76" s="248"/>
      <c r="Q76" s="248"/>
      <c r="R76" s="86"/>
      <c r="U76" s="105"/>
      <c r="V76" s="105"/>
      <c r="W76" s="105"/>
    </row>
    <row r="77" spans="2:23" ht="15" x14ac:dyDescent="0.2">
      <c r="B77" s="36"/>
      <c r="C77" s="155" t="s">
        <v>102</v>
      </c>
      <c r="D77" s="156"/>
      <c r="E77" s="156"/>
      <c r="F77" s="156"/>
      <c r="G77" s="37"/>
      <c r="H77" s="260">
        <v>245</v>
      </c>
      <c r="I77" s="250"/>
      <c r="J77" s="248"/>
      <c r="K77" s="248"/>
      <c r="L77" s="248"/>
      <c r="M77" s="248"/>
      <c r="N77" s="248"/>
      <c r="O77" s="248"/>
      <c r="P77" s="248"/>
      <c r="Q77" s="248"/>
      <c r="R77" s="86"/>
      <c r="U77" s="105"/>
      <c r="V77" s="105"/>
      <c r="W77" s="105"/>
    </row>
    <row r="78" spans="2:23" ht="26.1" customHeight="1" x14ac:dyDescent="0.2">
      <c r="B78" s="36"/>
      <c r="C78" s="181" t="s">
        <v>39</v>
      </c>
      <c r="D78" s="182"/>
      <c r="E78" s="182"/>
      <c r="F78" s="182"/>
      <c r="G78" s="37"/>
      <c r="H78" s="249"/>
      <c r="I78" s="250"/>
      <c r="J78" s="248"/>
      <c r="K78" s="248"/>
      <c r="L78" s="248"/>
      <c r="M78" s="248"/>
      <c r="N78" s="248"/>
      <c r="O78" s="248"/>
      <c r="P78" s="248"/>
      <c r="Q78" s="248"/>
      <c r="R78" s="86"/>
      <c r="U78" s="105"/>
      <c r="V78" s="105"/>
      <c r="W78" s="105"/>
    </row>
    <row r="79" spans="2:23" ht="14.45" customHeight="1" x14ac:dyDescent="0.2">
      <c r="B79" s="36"/>
      <c r="C79" s="184" t="s">
        <v>46</v>
      </c>
      <c r="D79" s="185"/>
      <c r="E79" s="185"/>
      <c r="F79" s="185"/>
      <c r="G79" s="37"/>
      <c r="H79" s="262" t="s">
        <v>37</v>
      </c>
      <c r="I79" s="263"/>
      <c r="J79" s="270" t="s">
        <v>74</v>
      </c>
      <c r="K79" s="271"/>
      <c r="L79" s="271"/>
      <c r="M79" s="271"/>
      <c r="N79" s="271"/>
      <c r="O79" s="271"/>
      <c r="P79" s="271"/>
      <c r="Q79" s="271"/>
      <c r="R79" s="86"/>
      <c r="U79" s="105"/>
      <c r="V79" s="105"/>
      <c r="W79" s="105"/>
    </row>
    <row r="80" spans="2:23" ht="14.45" customHeight="1" x14ac:dyDescent="0.2">
      <c r="B80" s="36"/>
      <c r="C80" s="181" t="s">
        <v>106</v>
      </c>
      <c r="D80" s="182"/>
      <c r="E80" s="182"/>
      <c r="F80" s="182"/>
      <c r="G80" s="37"/>
      <c r="H80" s="249"/>
      <c r="I80" s="250"/>
      <c r="J80" s="248"/>
      <c r="K80" s="248"/>
      <c r="L80" s="248"/>
      <c r="M80" s="248"/>
      <c r="N80" s="248"/>
      <c r="O80" s="248"/>
      <c r="P80" s="248"/>
      <c r="Q80" s="248"/>
      <c r="R80" s="86"/>
      <c r="U80" s="105"/>
      <c r="V80" s="105"/>
      <c r="W80" s="105"/>
    </row>
    <row r="81" spans="2:23" ht="27.6" customHeight="1" x14ac:dyDescent="0.2">
      <c r="B81" s="36"/>
      <c r="C81" s="181" t="s">
        <v>96</v>
      </c>
      <c r="D81" s="182"/>
      <c r="E81" s="182" t="s">
        <v>85</v>
      </c>
      <c r="F81" s="182" t="s">
        <v>85</v>
      </c>
      <c r="G81" s="37"/>
      <c r="H81" s="260"/>
      <c r="I81" s="250"/>
      <c r="J81" s="248"/>
      <c r="K81" s="248"/>
      <c r="L81" s="248"/>
      <c r="M81" s="248"/>
      <c r="N81" s="248"/>
      <c r="O81" s="248"/>
      <c r="P81" s="248"/>
      <c r="Q81" s="248"/>
      <c r="R81" s="86"/>
      <c r="U81" s="105"/>
      <c r="V81" s="105"/>
      <c r="W81" s="105"/>
    </row>
    <row r="82" spans="2:23" ht="14.45" customHeight="1" x14ac:dyDescent="0.2">
      <c r="B82" s="36"/>
      <c r="C82" s="181" t="s">
        <v>93</v>
      </c>
      <c r="D82" s="182"/>
      <c r="E82" s="182" t="s">
        <v>85</v>
      </c>
      <c r="F82" s="182" t="s">
        <v>85</v>
      </c>
      <c r="G82" s="37"/>
      <c r="H82" s="249"/>
      <c r="I82" s="250"/>
      <c r="J82" s="248"/>
      <c r="K82" s="248"/>
      <c r="L82" s="248"/>
      <c r="M82" s="248"/>
      <c r="N82" s="248"/>
      <c r="O82" s="248"/>
      <c r="P82" s="248"/>
      <c r="Q82" s="248"/>
      <c r="R82" s="86"/>
      <c r="U82" s="105"/>
      <c r="V82" s="105"/>
      <c r="W82" s="105"/>
    </row>
    <row r="83" spans="2:23" s="76" customFormat="1" ht="14.65" customHeight="1" x14ac:dyDescent="0.2">
      <c r="B83" s="36"/>
      <c r="C83" s="181" t="s">
        <v>92</v>
      </c>
      <c r="D83" s="182"/>
      <c r="E83" s="182"/>
      <c r="F83" s="182"/>
      <c r="G83" s="37"/>
      <c r="H83" s="249"/>
      <c r="I83" s="250"/>
      <c r="J83" s="248"/>
      <c r="K83" s="248"/>
      <c r="L83" s="248"/>
      <c r="M83" s="248"/>
      <c r="N83" s="248"/>
      <c r="O83" s="248"/>
      <c r="P83" s="248"/>
      <c r="Q83" s="248"/>
      <c r="R83" s="86"/>
    </row>
    <row r="84" spans="2:23" s="76" customFormat="1" ht="14.65" customHeight="1" x14ac:dyDescent="0.2">
      <c r="B84" s="36"/>
      <c r="C84" s="181" t="s">
        <v>127</v>
      </c>
      <c r="D84" s="182"/>
      <c r="E84" s="182"/>
      <c r="F84" s="182"/>
      <c r="G84" s="37"/>
      <c r="H84" s="249"/>
      <c r="I84" s="250"/>
      <c r="J84" s="248"/>
      <c r="K84" s="248"/>
      <c r="L84" s="248"/>
      <c r="M84" s="248"/>
      <c r="N84" s="248"/>
      <c r="O84" s="248"/>
      <c r="P84" s="248"/>
      <c r="Q84" s="248"/>
      <c r="R84" s="85"/>
      <c r="S84" s="71"/>
      <c r="T84" s="71"/>
      <c r="U84" s="107"/>
    </row>
    <row r="85" spans="2:23" s="76" customFormat="1" ht="14.65" customHeight="1" x14ac:dyDescent="0.2">
      <c r="B85" s="36"/>
      <c r="C85" s="181" t="s">
        <v>95</v>
      </c>
      <c r="D85" s="182"/>
      <c r="E85" s="182" t="s">
        <v>85</v>
      </c>
      <c r="F85" s="182" t="s">
        <v>85</v>
      </c>
      <c r="G85" s="37"/>
      <c r="H85" s="249"/>
      <c r="I85" s="250"/>
      <c r="J85" s="248"/>
      <c r="K85" s="248"/>
      <c r="L85" s="248"/>
      <c r="M85" s="248"/>
      <c r="N85" s="248"/>
      <c r="O85" s="248"/>
      <c r="P85" s="248"/>
      <c r="Q85" s="248"/>
      <c r="R85" s="86"/>
      <c r="S85" s="107"/>
      <c r="T85" s="107"/>
      <c r="U85" s="107"/>
    </row>
    <row r="86" spans="2:23" s="76" customFormat="1" ht="15" x14ac:dyDescent="0.2">
      <c r="B86" s="36"/>
      <c r="C86" s="181" t="s">
        <v>94</v>
      </c>
      <c r="D86" s="182"/>
      <c r="E86" s="182" t="s">
        <v>85</v>
      </c>
      <c r="F86" s="182" t="s">
        <v>85</v>
      </c>
      <c r="G86" s="37"/>
      <c r="H86" s="249"/>
      <c r="I86" s="250"/>
      <c r="J86" s="248"/>
      <c r="K86" s="248"/>
      <c r="L86" s="248"/>
      <c r="M86" s="248"/>
      <c r="N86" s="248"/>
      <c r="O86" s="248"/>
      <c r="P86" s="248"/>
      <c r="Q86" s="248"/>
      <c r="R86" s="86"/>
      <c r="S86" s="107"/>
      <c r="T86" s="107"/>
      <c r="U86" s="107"/>
    </row>
    <row r="87" spans="2:23" s="76" customFormat="1" x14ac:dyDescent="0.2">
      <c r="B87" s="101"/>
      <c r="C87" s="53"/>
      <c r="D87" s="54"/>
      <c r="E87" s="55"/>
      <c r="F87" s="53"/>
      <c r="G87" s="53"/>
      <c r="H87" s="53"/>
      <c r="I87" s="53"/>
      <c r="J87" s="53"/>
      <c r="K87" s="54"/>
      <c r="L87" s="54"/>
      <c r="M87" s="54"/>
      <c r="N87" s="54"/>
      <c r="O87" s="54"/>
      <c r="P87" s="54"/>
      <c r="Q87" s="54"/>
      <c r="R87" s="87"/>
      <c r="S87" s="107"/>
      <c r="T87" s="107"/>
      <c r="U87" s="107"/>
    </row>
    <row r="88" spans="2:23" s="76" customFormat="1" x14ac:dyDescent="0.2">
      <c r="D88" s="107"/>
      <c r="E88" s="77"/>
      <c r="F88" s="77"/>
      <c r="G88" s="77"/>
      <c r="H88" s="77"/>
      <c r="I88" s="77"/>
      <c r="J88" s="77"/>
      <c r="K88" s="107"/>
      <c r="L88" s="107"/>
      <c r="M88" s="107"/>
      <c r="N88" s="107"/>
      <c r="O88" s="107"/>
      <c r="P88" s="107"/>
      <c r="Q88" s="107"/>
      <c r="R88" s="107"/>
      <c r="S88" s="107"/>
      <c r="T88" s="107"/>
      <c r="U88" s="107"/>
    </row>
    <row r="89" spans="2:23" s="76" customFormat="1" x14ac:dyDescent="0.2">
      <c r="D89" s="107"/>
      <c r="E89" s="78"/>
      <c r="F89" s="78"/>
      <c r="G89" s="78"/>
      <c r="H89" s="78"/>
      <c r="I89" s="107"/>
      <c r="J89" s="107"/>
      <c r="K89" s="107"/>
      <c r="L89" s="107"/>
      <c r="M89" s="107"/>
      <c r="N89" s="107"/>
      <c r="O89" s="107"/>
      <c r="P89" s="107"/>
      <c r="Q89" s="107"/>
      <c r="R89" s="107"/>
      <c r="S89" s="107"/>
      <c r="T89" s="107"/>
      <c r="U89" s="107"/>
    </row>
    <row r="90" spans="2:23" s="76" customFormat="1" x14ac:dyDescent="0.2">
      <c r="D90" s="107"/>
      <c r="E90" s="79"/>
      <c r="F90" s="79"/>
      <c r="G90" s="79"/>
      <c r="H90" s="79"/>
      <c r="I90" s="107"/>
      <c r="J90" s="107"/>
      <c r="K90" s="107"/>
      <c r="L90" s="107"/>
      <c r="M90" s="107"/>
      <c r="N90" s="107"/>
      <c r="O90" s="107"/>
      <c r="P90" s="107"/>
      <c r="R90" s="107"/>
      <c r="S90" s="107"/>
      <c r="T90" s="107"/>
      <c r="U90" s="107"/>
    </row>
    <row r="91" spans="2:23" s="76" customFormat="1" x14ac:dyDescent="0.2">
      <c r="D91" s="107"/>
      <c r="E91" s="79"/>
      <c r="F91" s="79"/>
      <c r="G91" s="79"/>
      <c r="H91" s="79"/>
      <c r="I91" s="107"/>
      <c r="J91" s="107"/>
      <c r="K91" s="107"/>
      <c r="L91" s="107"/>
      <c r="M91" s="107"/>
      <c r="N91" s="107"/>
      <c r="O91" s="107"/>
      <c r="P91" s="107"/>
      <c r="Q91" s="107"/>
      <c r="R91" s="107"/>
      <c r="S91" s="107"/>
      <c r="T91" s="107"/>
      <c r="U91" s="107"/>
    </row>
    <row r="92" spans="2:23" s="76" customFormat="1" x14ac:dyDescent="0.2">
      <c r="D92" s="107"/>
      <c r="E92" s="79"/>
      <c r="F92" s="79"/>
      <c r="G92" s="79"/>
      <c r="H92" s="79"/>
      <c r="I92" s="107"/>
      <c r="J92" s="107"/>
      <c r="K92" s="107"/>
      <c r="L92" s="107"/>
      <c r="M92" s="107"/>
      <c r="N92" s="107"/>
      <c r="O92" s="107"/>
      <c r="P92" s="107"/>
      <c r="Q92" s="107"/>
      <c r="R92" s="107"/>
      <c r="S92" s="107"/>
      <c r="T92" s="107"/>
      <c r="U92" s="107"/>
    </row>
    <row r="93" spans="2:23" x14ac:dyDescent="0.2">
      <c r="C93" s="76"/>
      <c r="D93" s="107"/>
      <c r="E93" s="77"/>
      <c r="F93" s="77"/>
      <c r="G93" s="77"/>
      <c r="H93" s="77"/>
      <c r="I93" s="107"/>
      <c r="J93" s="107"/>
      <c r="K93" s="107"/>
      <c r="L93" s="107"/>
      <c r="M93" s="107"/>
      <c r="N93" s="107"/>
      <c r="O93" s="107"/>
      <c r="P93" s="107"/>
      <c r="Q93" s="107"/>
      <c r="R93" s="107"/>
      <c r="S93" s="107"/>
      <c r="T93" s="107"/>
      <c r="U93" s="107"/>
    </row>
    <row r="94" spans="2:23" x14ac:dyDescent="0.2">
      <c r="G94" s="73"/>
      <c r="I94" s="107"/>
      <c r="J94" s="107"/>
      <c r="K94" s="107"/>
      <c r="L94" s="107"/>
      <c r="M94" s="107"/>
      <c r="N94" s="107"/>
      <c r="O94" s="107"/>
      <c r="P94" s="107"/>
      <c r="Q94" s="107"/>
      <c r="R94" s="107"/>
      <c r="S94" s="107"/>
      <c r="T94" s="107"/>
      <c r="U94" s="107"/>
    </row>
    <row r="95" spans="2:23" x14ac:dyDescent="0.2">
      <c r="G95" s="73"/>
      <c r="I95" s="107"/>
      <c r="J95" s="107"/>
      <c r="K95" s="107"/>
      <c r="L95" s="107"/>
      <c r="M95" s="107"/>
      <c r="N95" s="107"/>
      <c r="O95" s="107"/>
      <c r="P95" s="107"/>
      <c r="Q95" s="107"/>
      <c r="R95" s="107"/>
      <c r="S95" s="107"/>
      <c r="T95" s="107"/>
      <c r="U95" s="107"/>
    </row>
    <row r="96" spans="2:23" x14ac:dyDescent="0.2">
      <c r="G96" s="73"/>
      <c r="I96" s="107"/>
      <c r="J96" s="107"/>
      <c r="K96" s="107"/>
      <c r="L96" s="107"/>
      <c r="M96" s="107"/>
      <c r="N96" s="107"/>
      <c r="O96" s="107"/>
      <c r="P96" s="107"/>
      <c r="Q96" s="107"/>
      <c r="R96" s="107"/>
      <c r="S96" s="107"/>
      <c r="T96" s="107"/>
      <c r="U96" s="107"/>
    </row>
    <row r="97" spans="7:21" x14ac:dyDescent="0.2">
      <c r="G97" s="73"/>
      <c r="I97" s="107"/>
      <c r="J97" s="107"/>
      <c r="K97" s="107"/>
      <c r="L97" s="107"/>
      <c r="M97" s="107"/>
      <c r="N97" s="107"/>
      <c r="O97" s="107"/>
      <c r="P97" s="107"/>
      <c r="Q97" s="107"/>
      <c r="R97" s="107"/>
      <c r="S97" s="107"/>
      <c r="T97" s="107"/>
      <c r="U97" s="107"/>
    </row>
    <row r="98" spans="7:21" x14ac:dyDescent="0.2">
      <c r="G98" s="73"/>
      <c r="I98" s="107"/>
      <c r="J98" s="107"/>
      <c r="K98" s="107"/>
      <c r="L98" s="107"/>
      <c r="M98" s="107"/>
      <c r="N98" s="107"/>
      <c r="O98" s="107"/>
      <c r="P98" s="107"/>
      <c r="Q98" s="107"/>
      <c r="R98" s="107"/>
      <c r="S98" s="107"/>
      <c r="T98" s="107"/>
      <c r="U98" s="107"/>
    </row>
    <row r="99" spans="7:21" x14ac:dyDescent="0.2">
      <c r="G99" s="73"/>
      <c r="I99" s="107"/>
      <c r="J99" s="107"/>
      <c r="K99" s="107"/>
      <c r="L99" s="107"/>
      <c r="M99" s="107"/>
      <c r="N99" s="107"/>
      <c r="O99" s="107"/>
      <c r="P99" s="107"/>
      <c r="Q99" s="107"/>
      <c r="R99" s="107"/>
      <c r="S99" s="107"/>
      <c r="T99" s="107"/>
      <c r="U99" s="107"/>
    </row>
    <row r="100" spans="7:21" x14ac:dyDescent="0.2">
      <c r="G100" s="73"/>
      <c r="I100" s="107"/>
      <c r="J100" s="107"/>
      <c r="K100" s="107"/>
      <c r="L100" s="107"/>
      <c r="M100" s="107"/>
      <c r="N100" s="107"/>
      <c r="O100" s="107"/>
      <c r="P100" s="107"/>
      <c r="Q100" s="107"/>
      <c r="R100" s="107"/>
      <c r="S100" s="107"/>
      <c r="T100" s="107"/>
      <c r="U100" s="107"/>
    </row>
    <row r="101" spans="7:21" x14ac:dyDescent="0.2">
      <c r="G101" s="73"/>
      <c r="I101" s="107"/>
      <c r="J101" s="107"/>
      <c r="K101" s="107"/>
      <c r="L101" s="107"/>
      <c r="M101" s="107"/>
      <c r="N101" s="107"/>
      <c r="O101" s="107"/>
      <c r="P101" s="107"/>
      <c r="Q101" s="107"/>
      <c r="R101" s="107"/>
      <c r="S101" s="107"/>
      <c r="T101" s="107"/>
      <c r="U101" s="107"/>
    </row>
    <row r="102" spans="7:21" x14ac:dyDescent="0.2">
      <c r="G102" s="73"/>
      <c r="I102" s="107"/>
      <c r="J102" s="107"/>
      <c r="K102" s="107"/>
      <c r="L102" s="107"/>
      <c r="M102" s="107"/>
      <c r="N102" s="107"/>
      <c r="O102" s="107"/>
      <c r="P102" s="107"/>
      <c r="Q102" s="107"/>
      <c r="R102" s="107"/>
      <c r="S102" s="107"/>
      <c r="T102" s="107"/>
      <c r="U102" s="107"/>
    </row>
    <row r="103" spans="7:21" x14ac:dyDescent="0.2">
      <c r="G103" s="73"/>
      <c r="I103" s="107"/>
      <c r="J103" s="107"/>
      <c r="K103" s="107"/>
      <c r="L103" s="107"/>
      <c r="M103" s="107"/>
      <c r="N103" s="107"/>
      <c r="O103" s="107"/>
      <c r="P103" s="107"/>
      <c r="Q103" s="107"/>
      <c r="R103" s="107"/>
      <c r="S103" s="107"/>
      <c r="T103" s="107"/>
      <c r="U103" s="107"/>
    </row>
    <row r="104" spans="7:21" x14ac:dyDescent="0.2">
      <c r="G104" s="73"/>
      <c r="I104" s="107"/>
      <c r="J104" s="107"/>
      <c r="K104" s="107"/>
      <c r="L104" s="107"/>
      <c r="M104" s="107"/>
      <c r="N104" s="107"/>
      <c r="O104" s="107"/>
      <c r="P104" s="107"/>
      <c r="Q104" s="107"/>
      <c r="R104" s="107"/>
      <c r="S104" s="107"/>
      <c r="T104" s="107"/>
      <c r="U104" s="107"/>
    </row>
    <row r="105" spans="7:21" x14ac:dyDescent="0.2">
      <c r="G105" s="73"/>
      <c r="J105" s="73"/>
      <c r="L105" s="73"/>
      <c r="O105" s="73"/>
    </row>
    <row r="106" spans="7:21" x14ac:dyDescent="0.2">
      <c r="G106" s="73"/>
      <c r="J106" s="73"/>
      <c r="L106" s="73"/>
      <c r="O106" s="73"/>
    </row>
    <row r="107" spans="7:21" x14ac:dyDescent="0.2">
      <c r="G107" s="73"/>
      <c r="J107" s="73"/>
      <c r="L107" s="73"/>
      <c r="O107" s="73"/>
    </row>
    <row r="108" spans="7:21" x14ac:dyDescent="0.2">
      <c r="G108" s="73"/>
      <c r="J108" s="73"/>
      <c r="L108" s="73"/>
      <c r="O108" s="73"/>
    </row>
    <row r="109" spans="7:21" x14ac:dyDescent="0.2">
      <c r="G109" s="73"/>
      <c r="J109" s="73"/>
      <c r="L109" s="73"/>
      <c r="O109" s="73"/>
    </row>
    <row r="110" spans="7:21" x14ac:dyDescent="0.2">
      <c r="G110" s="73"/>
      <c r="J110" s="73"/>
      <c r="L110" s="73"/>
      <c r="O110" s="73"/>
    </row>
    <row r="111" spans="7:21" x14ac:dyDescent="0.2">
      <c r="G111" s="73"/>
      <c r="J111" s="73"/>
      <c r="L111" s="73"/>
      <c r="O111" s="73"/>
    </row>
    <row r="112" spans="7:21" x14ac:dyDescent="0.2">
      <c r="G112" s="73"/>
      <c r="J112" s="73"/>
      <c r="L112" s="73"/>
      <c r="O112" s="73"/>
    </row>
    <row r="113" spans="7:15" x14ac:dyDescent="0.2">
      <c r="G113" s="73"/>
      <c r="J113" s="73"/>
      <c r="L113" s="73"/>
      <c r="O113" s="73"/>
    </row>
    <row r="114" spans="7:15" x14ac:dyDescent="0.2">
      <c r="G114" s="73"/>
      <c r="J114" s="73"/>
      <c r="L114" s="73"/>
      <c r="O114" s="73"/>
    </row>
    <row r="115" spans="7:15" x14ac:dyDescent="0.2">
      <c r="G115" s="73"/>
      <c r="J115" s="73"/>
      <c r="L115" s="73"/>
      <c r="O115" s="73"/>
    </row>
    <row r="116" spans="7:15" x14ac:dyDescent="0.2">
      <c r="G116" s="73"/>
      <c r="J116" s="73"/>
      <c r="L116" s="73"/>
      <c r="O116" s="73"/>
    </row>
    <row r="117" spans="7:15" x14ac:dyDescent="0.2">
      <c r="G117" s="73"/>
      <c r="J117" s="73"/>
      <c r="L117" s="73"/>
      <c r="O117" s="73"/>
    </row>
    <row r="118" spans="7:15" x14ac:dyDescent="0.2">
      <c r="G118" s="73"/>
      <c r="J118" s="73"/>
      <c r="L118" s="73"/>
      <c r="O118" s="73"/>
    </row>
    <row r="119" spans="7:15" x14ac:dyDescent="0.2">
      <c r="G119" s="73"/>
      <c r="J119" s="73"/>
      <c r="L119" s="73"/>
      <c r="O119" s="73"/>
    </row>
    <row r="120" spans="7:15" x14ac:dyDescent="0.2">
      <c r="G120" s="73"/>
      <c r="J120" s="73"/>
      <c r="L120" s="73"/>
      <c r="O120" s="73"/>
    </row>
    <row r="121" spans="7:15" x14ac:dyDescent="0.2">
      <c r="G121" s="73"/>
      <c r="J121" s="73"/>
      <c r="L121" s="73"/>
      <c r="O121" s="73"/>
    </row>
    <row r="122" spans="7:15" x14ac:dyDescent="0.2">
      <c r="G122" s="73"/>
      <c r="J122" s="73"/>
      <c r="L122" s="73"/>
      <c r="O122" s="73"/>
    </row>
    <row r="123" spans="7:15" x14ac:dyDescent="0.2">
      <c r="G123" s="73"/>
      <c r="J123" s="73"/>
      <c r="L123" s="73"/>
      <c r="O123" s="73"/>
    </row>
    <row r="124" spans="7:15" x14ac:dyDescent="0.2">
      <c r="G124" s="73"/>
      <c r="J124" s="73"/>
      <c r="L124" s="73"/>
      <c r="O124" s="73"/>
    </row>
    <row r="125" spans="7:15" x14ac:dyDescent="0.2">
      <c r="G125" s="73"/>
      <c r="J125" s="73"/>
      <c r="L125" s="73"/>
      <c r="O125" s="73"/>
    </row>
    <row r="126" spans="7:15" x14ac:dyDescent="0.2">
      <c r="G126" s="73"/>
      <c r="J126" s="73"/>
      <c r="L126" s="73"/>
      <c r="O126" s="73"/>
    </row>
    <row r="127" spans="7:15" x14ac:dyDescent="0.2">
      <c r="G127" s="73"/>
      <c r="J127" s="73"/>
      <c r="L127" s="73"/>
      <c r="O127" s="73"/>
    </row>
    <row r="128" spans="7:15" x14ac:dyDescent="0.2">
      <c r="G128" s="73"/>
      <c r="J128" s="73"/>
      <c r="L128" s="73"/>
      <c r="O128" s="73"/>
    </row>
    <row r="129" spans="7:15" x14ac:dyDescent="0.2">
      <c r="G129" s="73"/>
      <c r="J129" s="73"/>
      <c r="L129" s="73"/>
      <c r="O129" s="73"/>
    </row>
    <row r="130" spans="7:15" x14ac:dyDescent="0.2">
      <c r="G130" s="73"/>
      <c r="J130" s="73"/>
      <c r="L130" s="73"/>
      <c r="O130" s="73"/>
    </row>
    <row r="131" spans="7:15" x14ac:dyDescent="0.2">
      <c r="G131" s="73"/>
      <c r="J131" s="73"/>
      <c r="L131" s="73"/>
      <c r="O131" s="73"/>
    </row>
    <row r="132" spans="7:15" x14ac:dyDescent="0.2">
      <c r="G132" s="73"/>
      <c r="J132" s="73"/>
      <c r="L132" s="73"/>
      <c r="O132" s="73"/>
    </row>
    <row r="133" spans="7:15" x14ac:dyDescent="0.2">
      <c r="G133" s="73"/>
      <c r="J133" s="73"/>
      <c r="L133" s="73"/>
      <c r="O133" s="73"/>
    </row>
    <row r="134" spans="7:15" x14ac:dyDescent="0.2">
      <c r="G134" s="73"/>
      <c r="J134" s="73"/>
      <c r="L134" s="73"/>
      <c r="O134" s="73"/>
    </row>
    <row r="135" spans="7:15" x14ac:dyDescent="0.2">
      <c r="G135" s="73"/>
      <c r="J135" s="73"/>
      <c r="L135" s="73"/>
      <c r="O135" s="73"/>
    </row>
    <row r="136" spans="7:15" x14ac:dyDescent="0.2">
      <c r="G136" s="73"/>
      <c r="J136" s="73"/>
      <c r="L136" s="73"/>
      <c r="O136" s="73"/>
    </row>
    <row r="137" spans="7:15" x14ac:dyDescent="0.2">
      <c r="G137" s="73"/>
      <c r="J137" s="73"/>
      <c r="L137" s="73"/>
      <c r="O137" s="73"/>
    </row>
    <row r="138" spans="7:15" x14ac:dyDescent="0.2">
      <c r="G138" s="73"/>
      <c r="J138" s="73"/>
      <c r="L138" s="73"/>
      <c r="O138" s="73"/>
    </row>
    <row r="139" spans="7:15" x14ac:dyDescent="0.2">
      <c r="G139" s="73"/>
      <c r="J139" s="73"/>
      <c r="L139" s="73"/>
      <c r="O139" s="73"/>
    </row>
    <row r="140" spans="7:15" x14ac:dyDescent="0.2">
      <c r="G140" s="73"/>
      <c r="J140" s="73"/>
      <c r="L140" s="73"/>
      <c r="O140" s="73"/>
    </row>
    <row r="141" spans="7:15" x14ac:dyDescent="0.2">
      <c r="G141" s="73"/>
      <c r="J141" s="73"/>
      <c r="L141" s="73"/>
      <c r="O141" s="73"/>
    </row>
    <row r="142" spans="7:15" x14ac:dyDescent="0.2">
      <c r="G142" s="73"/>
      <c r="J142" s="73"/>
      <c r="L142" s="73"/>
      <c r="O142" s="73"/>
    </row>
    <row r="143" spans="7:15" x14ac:dyDescent="0.2">
      <c r="G143" s="73"/>
      <c r="J143" s="73"/>
      <c r="L143" s="73"/>
      <c r="O143" s="73"/>
    </row>
    <row r="144" spans="7:15" x14ac:dyDescent="0.2">
      <c r="G144" s="73"/>
      <c r="J144" s="73"/>
      <c r="L144" s="73"/>
      <c r="O144" s="73"/>
    </row>
    <row r="145" spans="7:15" x14ac:dyDescent="0.2">
      <c r="G145" s="73"/>
      <c r="J145" s="73"/>
      <c r="L145" s="73"/>
      <c r="O145" s="73"/>
    </row>
    <row r="146" spans="7:15" x14ac:dyDescent="0.2">
      <c r="G146" s="73"/>
      <c r="J146" s="73"/>
      <c r="L146" s="73"/>
      <c r="O146" s="73"/>
    </row>
    <row r="147" spans="7:15" x14ac:dyDescent="0.2">
      <c r="G147" s="73"/>
      <c r="J147" s="73"/>
      <c r="L147" s="73"/>
      <c r="O147" s="73"/>
    </row>
    <row r="148" spans="7:15" x14ac:dyDescent="0.2">
      <c r="G148" s="73"/>
      <c r="J148" s="73"/>
      <c r="L148" s="73"/>
      <c r="O148" s="73"/>
    </row>
    <row r="149" spans="7:15" x14ac:dyDescent="0.2">
      <c r="G149" s="73"/>
      <c r="J149" s="73"/>
      <c r="L149" s="73"/>
      <c r="O149" s="73"/>
    </row>
    <row r="150" spans="7:15" x14ac:dyDescent="0.2">
      <c r="G150" s="73"/>
      <c r="J150" s="73"/>
      <c r="L150" s="73"/>
      <c r="O150" s="73"/>
    </row>
    <row r="151" spans="7:15" x14ac:dyDescent="0.2">
      <c r="G151" s="73"/>
      <c r="J151" s="73"/>
      <c r="L151" s="73"/>
      <c r="O151" s="73"/>
    </row>
    <row r="152" spans="7:15" x14ac:dyDescent="0.2">
      <c r="G152" s="73"/>
      <c r="J152" s="73"/>
      <c r="L152" s="73"/>
      <c r="O152" s="73"/>
    </row>
    <row r="153" spans="7:15" x14ac:dyDescent="0.2">
      <c r="G153" s="73"/>
      <c r="J153" s="73"/>
      <c r="L153" s="73"/>
      <c r="O153" s="73"/>
    </row>
    <row r="154" spans="7:15" x14ac:dyDescent="0.2">
      <c r="G154" s="73"/>
      <c r="J154" s="73"/>
      <c r="L154" s="73"/>
      <c r="O154" s="73"/>
    </row>
    <row r="155" spans="7:15" x14ac:dyDescent="0.2">
      <c r="G155" s="73"/>
      <c r="J155" s="73"/>
      <c r="L155" s="73"/>
      <c r="O155" s="73"/>
    </row>
    <row r="156" spans="7:15" x14ac:dyDescent="0.2">
      <c r="G156" s="73"/>
      <c r="J156" s="73"/>
      <c r="L156" s="73"/>
      <c r="O156" s="73"/>
    </row>
    <row r="157" spans="7:15" x14ac:dyDescent="0.2">
      <c r="G157" s="73"/>
      <c r="J157" s="73"/>
      <c r="L157" s="73"/>
      <c r="O157" s="73"/>
    </row>
    <row r="158" spans="7:15" x14ac:dyDescent="0.2">
      <c r="G158" s="73"/>
      <c r="J158" s="73"/>
      <c r="L158" s="73"/>
      <c r="O158" s="73"/>
    </row>
    <row r="159" spans="7:15" x14ac:dyDescent="0.2">
      <c r="G159" s="73"/>
      <c r="J159" s="73"/>
      <c r="L159" s="73"/>
      <c r="O159" s="73"/>
    </row>
    <row r="160" spans="7:15" x14ac:dyDescent="0.2">
      <c r="G160" s="73"/>
      <c r="J160" s="73"/>
      <c r="L160" s="73"/>
      <c r="O160" s="73"/>
    </row>
    <row r="161" spans="7:15" x14ac:dyDescent="0.2">
      <c r="G161" s="73"/>
      <c r="J161" s="73"/>
      <c r="L161" s="73"/>
      <c r="O161" s="73"/>
    </row>
    <row r="162" spans="7:15" x14ac:dyDescent="0.2">
      <c r="G162" s="73"/>
      <c r="J162" s="73"/>
      <c r="L162" s="73"/>
      <c r="O162" s="73"/>
    </row>
    <row r="163" spans="7:15" x14ac:dyDescent="0.2">
      <c r="G163" s="73"/>
      <c r="J163" s="73"/>
      <c r="L163" s="73"/>
      <c r="O163" s="73"/>
    </row>
    <row r="164" spans="7:15" x14ac:dyDescent="0.2">
      <c r="G164" s="73"/>
      <c r="J164" s="73"/>
      <c r="L164" s="73"/>
      <c r="O164" s="73"/>
    </row>
    <row r="165" spans="7:15" x14ac:dyDescent="0.2">
      <c r="G165" s="73"/>
      <c r="J165" s="73"/>
      <c r="L165" s="73"/>
      <c r="O165" s="73"/>
    </row>
    <row r="166" spans="7:15" x14ac:dyDescent="0.2">
      <c r="G166" s="73"/>
      <c r="J166" s="73"/>
      <c r="L166" s="73"/>
      <c r="O166" s="73"/>
    </row>
    <row r="167" spans="7:15" x14ac:dyDescent="0.2">
      <c r="G167" s="73"/>
      <c r="J167" s="73"/>
      <c r="L167" s="73"/>
      <c r="O167" s="73"/>
    </row>
    <row r="168" spans="7:15" x14ac:dyDescent="0.2">
      <c r="G168" s="73"/>
      <c r="J168" s="73"/>
      <c r="L168" s="73"/>
      <c r="O168" s="73"/>
    </row>
    <row r="169" spans="7:15" x14ac:dyDescent="0.2">
      <c r="G169" s="73"/>
      <c r="J169" s="73"/>
      <c r="L169" s="73"/>
      <c r="O169" s="73"/>
    </row>
    <row r="170" spans="7:15" x14ac:dyDescent="0.2">
      <c r="G170" s="73"/>
      <c r="J170" s="73"/>
      <c r="L170" s="73"/>
      <c r="O170" s="73"/>
    </row>
    <row r="171" spans="7:15" x14ac:dyDescent="0.2">
      <c r="G171" s="73"/>
      <c r="J171" s="73"/>
      <c r="L171" s="73"/>
      <c r="O171" s="73"/>
    </row>
    <row r="172" spans="7:15" x14ac:dyDescent="0.2">
      <c r="G172" s="73"/>
      <c r="J172" s="73"/>
      <c r="L172" s="73"/>
      <c r="O172" s="73"/>
    </row>
    <row r="173" spans="7:15" x14ac:dyDescent="0.2">
      <c r="G173" s="73"/>
      <c r="J173" s="73"/>
      <c r="L173" s="73"/>
      <c r="O173" s="73"/>
    </row>
    <row r="174" spans="7:15" x14ac:dyDescent="0.2">
      <c r="G174" s="73"/>
      <c r="J174" s="73"/>
      <c r="L174" s="73"/>
      <c r="O174" s="73"/>
    </row>
    <row r="175" spans="7:15" x14ac:dyDescent="0.2">
      <c r="G175" s="73"/>
      <c r="J175" s="73"/>
      <c r="L175" s="73"/>
      <c r="O175" s="73"/>
    </row>
    <row r="176" spans="7:15" x14ac:dyDescent="0.2">
      <c r="G176" s="73"/>
      <c r="J176" s="73"/>
      <c r="L176" s="73"/>
      <c r="O176" s="73"/>
    </row>
    <row r="177" spans="7:15" x14ac:dyDescent="0.2">
      <c r="G177" s="73"/>
      <c r="J177" s="73"/>
      <c r="L177" s="73"/>
      <c r="O177" s="73"/>
    </row>
    <row r="178" spans="7:15" x14ac:dyDescent="0.2">
      <c r="G178" s="73"/>
      <c r="J178" s="73"/>
      <c r="L178" s="73"/>
      <c r="O178" s="73"/>
    </row>
    <row r="179" spans="7:15" x14ac:dyDescent="0.2">
      <c r="G179" s="73"/>
      <c r="J179" s="73"/>
      <c r="L179" s="73"/>
      <c r="O179" s="73"/>
    </row>
    <row r="180" spans="7:15" x14ac:dyDescent="0.2">
      <c r="G180" s="73"/>
      <c r="J180" s="73"/>
      <c r="L180" s="73"/>
      <c r="O180" s="73"/>
    </row>
    <row r="181" spans="7:15" x14ac:dyDescent="0.2">
      <c r="G181" s="73"/>
      <c r="J181" s="73"/>
      <c r="L181" s="73"/>
      <c r="O181" s="73"/>
    </row>
    <row r="182" spans="7:15" x14ac:dyDescent="0.2">
      <c r="G182" s="73"/>
      <c r="J182" s="73"/>
      <c r="L182" s="73"/>
      <c r="O182" s="73"/>
    </row>
    <row r="183" spans="7:15" x14ac:dyDescent="0.2">
      <c r="G183" s="73"/>
      <c r="J183" s="73"/>
      <c r="L183" s="73"/>
      <c r="O183" s="73"/>
    </row>
    <row r="184" spans="7:15" x14ac:dyDescent="0.2">
      <c r="G184" s="73"/>
      <c r="J184" s="73"/>
      <c r="L184" s="73"/>
      <c r="O184" s="73"/>
    </row>
    <row r="185" spans="7:15" x14ac:dyDescent="0.2">
      <c r="G185" s="73"/>
      <c r="J185" s="73"/>
      <c r="L185" s="73"/>
      <c r="O185" s="73"/>
    </row>
    <row r="186" spans="7:15" x14ac:dyDescent="0.2">
      <c r="G186" s="73"/>
      <c r="J186" s="73"/>
      <c r="L186" s="73"/>
      <c r="O186" s="73"/>
    </row>
    <row r="187" spans="7:15" x14ac:dyDescent="0.2">
      <c r="G187" s="73"/>
      <c r="J187" s="73"/>
      <c r="L187" s="73"/>
      <c r="O187" s="73"/>
    </row>
    <row r="188" spans="7:15" x14ac:dyDescent="0.2">
      <c r="G188" s="73"/>
      <c r="J188" s="73"/>
      <c r="L188" s="73"/>
      <c r="O188" s="73"/>
    </row>
    <row r="189" spans="7:15" x14ac:dyDescent="0.2">
      <c r="G189" s="73"/>
      <c r="J189" s="73"/>
      <c r="L189" s="73"/>
      <c r="O189" s="73"/>
    </row>
    <row r="190" spans="7:15" x14ac:dyDescent="0.2">
      <c r="G190" s="73"/>
      <c r="J190" s="73"/>
      <c r="L190" s="73"/>
      <c r="O190" s="73"/>
    </row>
    <row r="191" spans="7:15" x14ac:dyDescent="0.2">
      <c r="G191" s="73"/>
      <c r="J191" s="73"/>
      <c r="L191" s="73"/>
      <c r="O191" s="73"/>
    </row>
    <row r="192" spans="7:15" x14ac:dyDescent="0.2">
      <c r="G192" s="73"/>
      <c r="J192" s="73"/>
      <c r="L192" s="73"/>
      <c r="O192" s="73"/>
    </row>
    <row r="193" spans="7:15" x14ac:dyDescent="0.2">
      <c r="G193" s="73"/>
      <c r="J193" s="73"/>
      <c r="L193" s="73"/>
      <c r="O193" s="73"/>
    </row>
    <row r="194" spans="7:15" x14ac:dyDescent="0.2">
      <c r="G194" s="73"/>
      <c r="J194" s="73"/>
      <c r="L194" s="73"/>
      <c r="O194" s="73"/>
    </row>
    <row r="195" spans="7:15" x14ac:dyDescent="0.2">
      <c r="G195" s="73"/>
      <c r="J195" s="73"/>
      <c r="L195" s="73"/>
      <c r="O195" s="73"/>
    </row>
    <row r="196" spans="7:15" x14ac:dyDescent="0.2">
      <c r="G196" s="73"/>
      <c r="J196" s="73"/>
      <c r="L196" s="73"/>
      <c r="O196" s="73"/>
    </row>
    <row r="197" spans="7:15" x14ac:dyDescent="0.2">
      <c r="G197" s="73"/>
      <c r="J197" s="73"/>
      <c r="L197" s="73"/>
      <c r="O197" s="73"/>
    </row>
    <row r="198" spans="7:15" x14ac:dyDescent="0.2">
      <c r="G198" s="73"/>
      <c r="J198" s="73"/>
      <c r="L198" s="73"/>
      <c r="O198" s="73"/>
    </row>
    <row r="199" spans="7:15" x14ac:dyDescent="0.2">
      <c r="G199" s="73"/>
      <c r="J199" s="73"/>
      <c r="L199" s="73"/>
      <c r="O199" s="73"/>
    </row>
    <row r="200" spans="7:15" x14ac:dyDescent="0.2">
      <c r="G200" s="73"/>
      <c r="J200" s="73"/>
      <c r="L200" s="73"/>
      <c r="O200" s="73"/>
    </row>
    <row r="201" spans="7:15" x14ac:dyDescent="0.2">
      <c r="G201" s="73"/>
      <c r="J201" s="73"/>
      <c r="L201" s="73"/>
      <c r="O201" s="73"/>
    </row>
    <row r="202" spans="7:15" x14ac:dyDescent="0.2">
      <c r="G202" s="73"/>
      <c r="J202" s="73"/>
      <c r="L202" s="73"/>
      <c r="O202" s="73"/>
    </row>
    <row r="203" spans="7:15" x14ac:dyDescent="0.2">
      <c r="G203" s="73"/>
      <c r="J203" s="73"/>
      <c r="L203" s="73"/>
      <c r="O203" s="73"/>
    </row>
    <row r="204" spans="7:15" x14ac:dyDescent="0.2">
      <c r="G204" s="73"/>
      <c r="J204" s="73"/>
      <c r="L204" s="73"/>
      <c r="O204" s="73"/>
    </row>
    <row r="205" spans="7:15" x14ac:dyDescent="0.2">
      <c r="G205" s="73"/>
      <c r="J205" s="73"/>
      <c r="L205" s="73"/>
      <c r="O205" s="73"/>
    </row>
    <row r="206" spans="7:15" x14ac:dyDescent="0.2">
      <c r="G206" s="73"/>
      <c r="J206" s="73"/>
      <c r="L206" s="73"/>
      <c r="O206" s="73"/>
    </row>
    <row r="207" spans="7:15" x14ac:dyDescent="0.2">
      <c r="G207" s="73"/>
      <c r="J207" s="73"/>
      <c r="L207" s="73"/>
      <c r="O207" s="73"/>
    </row>
    <row r="208" spans="7:15" x14ac:dyDescent="0.2">
      <c r="G208" s="73"/>
      <c r="J208" s="73"/>
      <c r="L208" s="73"/>
      <c r="O208" s="73"/>
    </row>
    <row r="209" spans="7:15" x14ac:dyDescent="0.2">
      <c r="G209" s="73"/>
      <c r="J209" s="73"/>
      <c r="L209" s="73"/>
      <c r="O209" s="73"/>
    </row>
    <row r="210" spans="7:15" x14ac:dyDescent="0.2">
      <c r="G210" s="73"/>
      <c r="J210" s="73"/>
      <c r="L210" s="73"/>
      <c r="O210" s="73"/>
    </row>
    <row r="211" spans="7:15" x14ac:dyDescent="0.2">
      <c r="G211" s="73"/>
      <c r="J211" s="73"/>
      <c r="L211" s="73"/>
      <c r="O211" s="73"/>
    </row>
    <row r="212" spans="7:15" x14ac:dyDescent="0.2">
      <c r="G212" s="73"/>
      <c r="J212" s="73"/>
      <c r="L212" s="73"/>
      <c r="O212" s="73"/>
    </row>
    <row r="213" spans="7:15" x14ac:dyDescent="0.2">
      <c r="G213" s="73"/>
      <c r="J213" s="73"/>
      <c r="L213" s="73"/>
      <c r="O213" s="73"/>
    </row>
    <row r="214" spans="7:15" x14ac:dyDescent="0.2">
      <c r="G214" s="73"/>
      <c r="J214" s="73"/>
      <c r="L214" s="73"/>
      <c r="O214" s="73"/>
    </row>
    <row r="215" spans="7:15" x14ac:dyDescent="0.2">
      <c r="G215" s="73"/>
      <c r="J215" s="73"/>
      <c r="L215" s="73"/>
      <c r="O215" s="73"/>
    </row>
    <row r="216" spans="7:15" x14ac:dyDescent="0.2">
      <c r="G216" s="73"/>
      <c r="J216" s="73"/>
      <c r="L216" s="73"/>
      <c r="O216" s="73"/>
    </row>
    <row r="217" spans="7:15" x14ac:dyDescent="0.2">
      <c r="G217" s="73"/>
      <c r="J217" s="73"/>
      <c r="L217" s="73"/>
      <c r="O217" s="73"/>
    </row>
    <row r="218" spans="7:15" x14ac:dyDescent="0.2">
      <c r="G218" s="73"/>
      <c r="J218" s="73"/>
      <c r="L218" s="73"/>
      <c r="O218" s="73"/>
    </row>
    <row r="219" spans="7:15" x14ac:dyDescent="0.2">
      <c r="G219" s="73"/>
      <c r="J219" s="73"/>
      <c r="L219" s="73"/>
      <c r="O219" s="73"/>
    </row>
    <row r="220" spans="7:15" x14ac:dyDescent="0.2">
      <c r="G220" s="73"/>
      <c r="J220" s="73"/>
      <c r="L220" s="73"/>
      <c r="O220" s="73"/>
    </row>
    <row r="221" spans="7:15" x14ac:dyDescent="0.2">
      <c r="G221" s="73"/>
      <c r="J221" s="73"/>
      <c r="L221" s="73"/>
      <c r="O221" s="73"/>
    </row>
    <row r="222" spans="7:15" x14ac:dyDescent="0.2">
      <c r="G222" s="73"/>
      <c r="J222" s="73"/>
      <c r="L222" s="73"/>
      <c r="O222" s="73"/>
    </row>
    <row r="223" spans="7:15" x14ac:dyDescent="0.2">
      <c r="G223" s="73"/>
      <c r="J223" s="73"/>
      <c r="L223" s="73"/>
      <c r="O223" s="73"/>
    </row>
    <row r="224" spans="7:15" x14ac:dyDescent="0.2">
      <c r="G224" s="73"/>
      <c r="J224" s="73"/>
      <c r="L224" s="73"/>
      <c r="O224" s="73"/>
    </row>
    <row r="225" spans="7:15" x14ac:dyDescent="0.2">
      <c r="G225" s="73"/>
      <c r="J225" s="73"/>
      <c r="L225" s="73"/>
      <c r="O225" s="73"/>
    </row>
    <row r="226" spans="7:15" x14ac:dyDescent="0.2">
      <c r="G226" s="73"/>
      <c r="J226" s="73"/>
      <c r="L226" s="73"/>
      <c r="O226" s="73"/>
    </row>
    <row r="227" spans="7:15" x14ac:dyDescent="0.2">
      <c r="G227" s="73"/>
      <c r="J227" s="73"/>
      <c r="L227" s="73"/>
      <c r="O227" s="73"/>
    </row>
    <row r="228" spans="7:15" x14ac:dyDescent="0.2">
      <c r="G228" s="73"/>
      <c r="J228" s="73"/>
      <c r="L228" s="73"/>
      <c r="O228" s="73"/>
    </row>
    <row r="229" spans="7:15" x14ac:dyDescent="0.2">
      <c r="G229" s="73"/>
      <c r="J229" s="73"/>
      <c r="L229" s="73"/>
      <c r="O229" s="73"/>
    </row>
    <row r="230" spans="7:15" x14ac:dyDescent="0.2">
      <c r="G230" s="73"/>
      <c r="J230" s="73"/>
      <c r="L230" s="73"/>
      <c r="O230" s="73"/>
    </row>
    <row r="231" spans="7:15" x14ac:dyDescent="0.2">
      <c r="G231" s="73"/>
      <c r="J231" s="73"/>
      <c r="L231" s="73"/>
      <c r="O231" s="73"/>
    </row>
    <row r="232" spans="7:15" x14ac:dyDescent="0.2">
      <c r="G232" s="73"/>
      <c r="J232" s="73"/>
      <c r="L232" s="73"/>
      <c r="O232" s="73"/>
    </row>
    <row r="233" spans="7:15" x14ac:dyDescent="0.2">
      <c r="G233" s="73"/>
      <c r="J233" s="73"/>
      <c r="L233" s="73"/>
      <c r="O233" s="73"/>
    </row>
    <row r="234" spans="7:15" x14ac:dyDescent="0.2">
      <c r="G234" s="73"/>
      <c r="J234" s="73"/>
      <c r="L234" s="73"/>
      <c r="O234" s="73"/>
    </row>
    <row r="235" spans="7:15" x14ac:dyDescent="0.2">
      <c r="G235" s="73"/>
      <c r="J235" s="73"/>
      <c r="L235" s="73"/>
      <c r="O235" s="73"/>
    </row>
    <row r="236" spans="7:15" x14ac:dyDescent="0.2">
      <c r="G236" s="73"/>
      <c r="J236" s="73"/>
      <c r="L236" s="73"/>
      <c r="O236" s="73"/>
    </row>
    <row r="237" spans="7:15" x14ac:dyDescent="0.2">
      <c r="G237" s="73"/>
      <c r="J237" s="73"/>
      <c r="L237" s="73"/>
      <c r="O237" s="73"/>
    </row>
    <row r="238" spans="7:15" x14ac:dyDescent="0.2">
      <c r="G238" s="73"/>
      <c r="J238" s="73"/>
      <c r="L238" s="73"/>
      <c r="O238" s="73"/>
    </row>
    <row r="239" spans="7:15" x14ac:dyDescent="0.2">
      <c r="G239" s="73"/>
      <c r="J239" s="73"/>
      <c r="L239" s="73"/>
      <c r="O239" s="73"/>
    </row>
    <row r="240" spans="7:15" x14ac:dyDescent="0.2">
      <c r="G240" s="73"/>
      <c r="J240" s="73"/>
      <c r="L240" s="73"/>
      <c r="O240" s="73"/>
    </row>
    <row r="241" spans="7:15" x14ac:dyDescent="0.2">
      <c r="G241" s="73"/>
      <c r="J241" s="73"/>
      <c r="L241" s="73"/>
      <c r="O241" s="73"/>
    </row>
    <row r="242" spans="7:15" x14ac:dyDescent="0.2">
      <c r="G242" s="73"/>
      <c r="J242" s="73"/>
      <c r="L242" s="73"/>
      <c r="O242" s="73"/>
    </row>
    <row r="243" spans="7:15" x14ac:dyDescent="0.2">
      <c r="G243" s="73"/>
      <c r="J243" s="73"/>
      <c r="L243" s="73"/>
      <c r="O243" s="73"/>
    </row>
    <row r="244" spans="7:15" x14ac:dyDescent="0.2">
      <c r="G244" s="73"/>
      <c r="J244" s="73"/>
      <c r="L244" s="73"/>
      <c r="O244" s="73"/>
    </row>
    <row r="245" spans="7:15" x14ac:dyDescent="0.2">
      <c r="G245" s="73"/>
      <c r="J245" s="73"/>
      <c r="L245" s="73"/>
      <c r="O245" s="73"/>
    </row>
    <row r="246" spans="7:15" x14ac:dyDescent="0.2">
      <c r="G246" s="73"/>
      <c r="J246" s="73"/>
      <c r="L246" s="73"/>
      <c r="O246" s="73"/>
    </row>
    <row r="247" spans="7:15" x14ac:dyDescent="0.2">
      <c r="G247" s="73"/>
      <c r="J247" s="73"/>
      <c r="L247" s="73"/>
      <c r="O247" s="73"/>
    </row>
    <row r="248" spans="7:15" x14ac:dyDescent="0.2">
      <c r="G248" s="73"/>
      <c r="J248" s="73"/>
      <c r="L248" s="73"/>
      <c r="O248" s="73"/>
    </row>
    <row r="249" spans="7:15" x14ac:dyDescent="0.2">
      <c r="G249" s="73"/>
      <c r="J249" s="73"/>
      <c r="L249" s="73"/>
      <c r="O249" s="73"/>
    </row>
    <row r="250" spans="7:15" x14ac:dyDescent="0.2">
      <c r="G250" s="73"/>
      <c r="J250" s="73"/>
      <c r="L250" s="73"/>
      <c r="O250" s="73"/>
    </row>
    <row r="251" spans="7:15" x14ac:dyDescent="0.2">
      <c r="G251" s="73"/>
      <c r="J251" s="73"/>
      <c r="L251" s="73"/>
      <c r="O251" s="73"/>
    </row>
    <row r="252" spans="7:15" x14ac:dyDescent="0.2">
      <c r="G252" s="73"/>
      <c r="J252" s="73"/>
      <c r="L252" s="73"/>
      <c r="O252" s="73"/>
    </row>
    <row r="253" spans="7:15" x14ac:dyDescent="0.2">
      <c r="G253" s="73"/>
      <c r="J253" s="73"/>
      <c r="L253" s="73"/>
      <c r="O253" s="73"/>
    </row>
    <row r="254" spans="7:15" x14ac:dyDescent="0.2">
      <c r="G254" s="73"/>
      <c r="J254" s="73"/>
      <c r="L254" s="73"/>
      <c r="O254" s="73"/>
    </row>
    <row r="255" spans="7:15" x14ac:dyDescent="0.2">
      <c r="G255" s="73"/>
      <c r="J255" s="73"/>
      <c r="L255" s="73"/>
      <c r="O255" s="73"/>
    </row>
    <row r="256" spans="7:15" x14ac:dyDescent="0.2">
      <c r="G256" s="73"/>
      <c r="J256" s="73"/>
      <c r="L256" s="73"/>
      <c r="O256" s="73"/>
    </row>
    <row r="257" spans="7:15" x14ac:dyDescent="0.2">
      <c r="G257" s="73"/>
      <c r="J257" s="73"/>
      <c r="L257" s="73"/>
      <c r="O257" s="73"/>
    </row>
    <row r="258" spans="7:15" x14ac:dyDescent="0.2">
      <c r="G258" s="73"/>
      <c r="J258" s="73"/>
      <c r="L258" s="73"/>
      <c r="O258" s="73"/>
    </row>
    <row r="259" spans="7:15" x14ac:dyDescent="0.2">
      <c r="G259" s="73"/>
      <c r="J259" s="73"/>
      <c r="L259" s="73"/>
      <c r="O259" s="73"/>
    </row>
    <row r="260" spans="7:15" x14ac:dyDescent="0.2">
      <c r="G260" s="73"/>
      <c r="J260" s="73"/>
      <c r="L260" s="73"/>
      <c r="O260" s="73"/>
    </row>
    <row r="261" spans="7:15" x14ac:dyDescent="0.2">
      <c r="G261" s="73"/>
      <c r="J261" s="73"/>
      <c r="L261" s="73"/>
      <c r="O261" s="73"/>
    </row>
    <row r="262" spans="7:15" x14ac:dyDescent="0.2">
      <c r="G262" s="73"/>
      <c r="J262" s="73"/>
      <c r="L262" s="73"/>
      <c r="O262" s="73"/>
    </row>
    <row r="263" spans="7:15" x14ac:dyDescent="0.2">
      <c r="G263" s="73"/>
      <c r="J263" s="73"/>
      <c r="L263" s="73"/>
      <c r="O263" s="73"/>
    </row>
    <row r="264" spans="7:15" x14ac:dyDescent="0.2">
      <c r="G264" s="73"/>
      <c r="J264" s="73"/>
      <c r="L264" s="73"/>
      <c r="O264" s="73"/>
    </row>
    <row r="265" spans="7:15" x14ac:dyDescent="0.2">
      <c r="G265" s="73"/>
      <c r="J265" s="73"/>
      <c r="L265" s="73"/>
      <c r="O265" s="73"/>
    </row>
    <row r="266" spans="7:15" x14ac:dyDescent="0.2">
      <c r="G266" s="73"/>
      <c r="J266" s="73"/>
      <c r="L266" s="73"/>
      <c r="O266" s="73"/>
    </row>
    <row r="267" spans="7:15" x14ac:dyDescent="0.2">
      <c r="G267" s="73"/>
      <c r="J267" s="73"/>
      <c r="L267" s="73"/>
      <c r="O267" s="73"/>
    </row>
    <row r="268" spans="7:15" x14ac:dyDescent="0.2">
      <c r="G268" s="73"/>
      <c r="J268" s="73"/>
      <c r="L268" s="73"/>
      <c r="O268" s="73"/>
    </row>
    <row r="269" spans="7:15" x14ac:dyDescent="0.2">
      <c r="G269" s="73"/>
      <c r="J269" s="73"/>
      <c r="L269" s="73"/>
      <c r="O269" s="73"/>
    </row>
    <row r="270" spans="7:15" x14ac:dyDescent="0.2">
      <c r="G270" s="73"/>
      <c r="J270" s="73"/>
      <c r="L270" s="73"/>
      <c r="O270" s="73"/>
    </row>
    <row r="271" spans="7:15" x14ac:dyDescent="0.2">
      <c r="G271" s="73"/>
      <c r="J271" s="73"/>
      <c r="L271" s="73"/>
      <c r="O271" s="73"/>
    </row>
    <row r="272" spans="7:15" x14ac:dyDescent="0.2">
      <c r="G272" s="73"/>
      <c r="J272" s="73"/>
      <c r="L272" s="73"/>
      <c r="O272" s="73"/>
    </row>
    <row r="273" spans="7:15" x14ac:dyDescent="0.2">
      <c r="G273" s="73"/>
      <c r="J273" s="73"/>
      <c r="L273" s="73"/>
      <c r="O273" s="73"/>
    </row>
    <row r="274" spans="7:15" x14ac:dyDescent="0.2">
      <c r="G274" s="73"/>
      <c r="J274" s="73"/>
      <c r="L274" s="73"/>
      <c r="O274" s="73"/>
    </row>
    <row r="275" spans="7:15" x14ac:dyDescent="0.2">
      <c r="G275" s="73"/>
      <c r="J275" s="73"/>
      <c r="L275" s="73"/>
      <c r="O275" s="73"/>
    </row>
    <row r="276" spans="7:15" x14ac:dyDescent="0.2">
      <c r="G276" s="73"/>
      <c r="J276" s="73"/>
      <c r="L276" s="73"/>
      <c r="O276" s="73"/>
    </row>
    <row r="277" spans="7:15" x14ac:dyDescent="0.2">
      <c r="G277" s="73"/>
      <c r="J277" s="73"/>
      <c r="L277" s="73"/>
      <c r="O277" s="73"/>
    </row>
    <row r="278" spans="7:15" x14ac:dyDescent="0.2">
      <c r="G278" s="73"/>
      <c r="J278" s="73"/>
      <c r="L278" s="73"/>
      <c r="O278" s="73"/>
    </row>
    <row r="279" spans="7:15" x14ac:dyDescent="0.2">
      <c r="G279" s="73"/>
      <c r="J279" s="73"/>
      <c r="L279" s="73"/>
      <c r="O279" s="73"/>
    </row>
    <row r="280" spans="7:15" x14ac:dyDescent="0.2">
      <c r="G280" s="73"/>
      <c r="J280" s="73"/>
      <c r="L280" s="73"/>
      <c r="O280" s="73"/>
    </row>
    <row r="281" spans="7:15" x14ac:dyDescent="0.2">
      <c r="G281" s="73"/>
      <c r="J281" s="73"/>
      <c r="L281" s="73"/>
      <c r="O281" s="73"/>
    </row>
    <row r="282" spans="7:15" x14ac:dyDescent="0.2">
      <c r="G282" s="73"/>
      <c r="J282" s="73"/>
      <c r="L282" s="73"/>
      <c r="O282" s="73"/>
    </row>
    <row r="283" spans="7:15" x14ac:dyDescent="0.2">
      <c r="G283" s="73"/>
      <c r="J283" s="73"/>
      <c r="L283" s="73"/>
      <c r="O283" s="73"/>
    </row>
    <row r="284" spans="7:15" x14ac:dyDescent="0.2">
      <c r="G284" s="73"/>
      <c r="J284" s="73"/>
      <c r="L284" s="73"/>
      <c r="O284" s="73"/>
    </row>
    <row r="285" spans="7:15" x14ac:dyDescent="0.2">
      <c r="G285" s="73"/>
      <c r="J285" s="73"/>
      <c r="L285" s="73"/>
      <c r="O285" s="73"/>
    </row>
    <row r="286" spans="7:15" x14ac:dyDescent="0.2">
      <c r="G286" s="73"/>
      <c r="J286" s="73"/>
      <c r="L286" s="73"/>
      <c r="O286" s="73"/>
    </row>
    <row r="287" spans="7:15" x14ac:dyDescent="0.2">
      <c r="G287" s="73"/>
      <c r="J287" s="73"/>
      <c r="L287" s="73"/>
      <c r="O287" s="73"/>
    </row>
    <row r="288" spans="7:15" x14ac:dyDescent="0.2">
      <c r="G288" s="73"/>
      <c r="J288" s="73"/>
      <c r="L288" s="73"/>
      <c r="O288" s="73"/>
    </row>
    <row r="289" spans="7:15" x14ac:dyDescent="0.2">
      <c r="G289" s="73"/>
      <c r="J289" s="73"/>
      <c r="L289" s="73"/>
      <c r="O289" s="73"/>
    </row>
    <row r="290" spans="7:15" x14ac:dyDescent="0.2">
      <c r="G290" s="73"/>
      <c r="J290" s="73"/>
      <c r="L290" s="73"/>
      <c r="O290" s="73"/>
    </row>
    <row r="291" spans="7:15" x14ac:dyDescent="0.2">
      <c r="G291" s="73"/>
      <c r="J291" s="73"/>
      <c r="L291" s="73"/>
      <c r="O291" s="73"/>
    </row>
    <row r="292" spans="7:15" x14ac:dyDescent="0.2">
      <c r="G292" s="73"/>
      <c r="J292" s="73"/>
      <c r="L292" s="73"/>
      <c r="O292" s="73"/>
    </row>
    <row r="293" spans="7:15" x14ac:dyDescent="0.2">
      <c r="G293" s="73"/>
      <c r="J293" s="73"/>
      <c r="L293" s="73"/>
      <c r="O293" s="73"/>
    </row>
    <row r="294" spans="7:15" x14ac:dyDescent="0.2">
      <c r="G294" s="73"/>
      <c r="J294" s="73"/>
      <c r="L294" s="73"/>
      <c r="O294" s="73"/>
    </row>
    <row r="295" spans="7:15" x14ac:dyDescent="0.2">
      <c r="G295" s="73"/>
      <c r="J295" s="73"/>
      <c r="L295" s="73"/>
      <c r="O295" s="73"/>
    </row>
    <row r="296" spans="7:15" x14ac:dyDescent="0.2">
      <c r="G296" s="73"/>
      <c r="J296" s="73"/>
      <c r="L296" s="73"/>
      <c r="O296" s="73"/>
    </row>
    <row r="297" spans="7:15" x14ac:dyDescent="0.2">
      <c r="G297" s="73"/>
      <c r="J297" s="73"/>
      <c r="L297" s="73"/>
      <c r="O297" s="73"/>
    </row>
    <row r="298" spans="7:15" x14ac:dyDescent="0.2">
      <c r="G298" s="73"/>
      <c r="J298" s="73"/>
      <c r="L298" s="73"/>
      <c r="O298" s="73"/>
    </row>
    <row r="299" spans="7:15" x14ac:dyDescent="0.2">
      <c r="G299" s="73"/>
      <c r="J299" s="73"/>
      <c r="L299" s="73"/>
      <c r="O299" s="73"/>
    </row>
    <row r="300" spans="7:15" x14ac:dyDescent="0.2">
      <c r="G300" s="73"/>
      <c r="J300" s="73"/>
      <c r="L300" s="73"/>
      <c r="O300" s="73"/>
    </row>
    <row r="301" spans="7:15" x14ac:dyDescent="0.2">
      <c r="G301" s="73"/>
      <c r="J301" s="73"/>
      <c r="L301" s="73"/>
      <c r="O301" s="73"/>
    </row>
    <row r="302" spans="7:15" x14ac:dyDescent="0.2">
      <c r="G302" s="73"/>
      <c r="J302" s="73"/>
      <c r="L302" s="73"/>
      <c r="O302" s="73"/>
    </row>
    <row r="303" spans="7:15" x14ac:dyDescent="0.2">
      <c r="G303" s="73"/>
      <c r="J303" s="73"/>
      <c r="L303" s="73"/>
      <c r="O303" s="73"/>
    </row>
    <row r="304" spans="7:15" x14ac:dyDescent="0.2">
      <c r="G304" s="73"/>
      <c r="J304" s="73"/>
      <c r="L304" s="73"/>
      <c r="O304" s="73"/>
    </row>
    <row r="305" spans="7:15" x14ac:dyDescent="0.2">
      <c r="G305" s="73"/>
      <c r="J305" s="73"/>
      <c r="L305" s="73"/>
      <c r="O305" s="73"/>
    </row>
    <row r="306" spans="7:15" x14ac:dyDescent="0.2">
      <c r="G306" s="73"/>
      <c r="J306" s="73"/>
      <c r="L306" s="73"/>
      <c r="O306" s="73"/>
    </row>
    <row r="307" spans="7:15" x14ac:dyDescent="0.2">
      <c r="G307" s="73"/>
      <c r="J307" s="73"/>
      <c r="L307" s="73"/>
      <c r="O307" s="73"/>
    </row>
    <row r="308" spans="7:15" x14ac:dyDescent="0.2">
      <c r="G308" s="73"/>
      <c r="J308" s="73"/>
      <c r="L308" s="73"/>
      <c r="O308" s="73"/>
    </row>
    <row r="309" spans="7:15" x14ac:dyDescent="0.2">
      <c r="G309" s="73"/>
      <c r="J309" s="73"/>
      <c r="L309" s="73"/>
      <c r="O309" s="73"/>
    </row>
    <row r="310" spans="7:15" x14ac:dyDescent="0.2">
      <c r="G310" s="73"/>
      <c r="J310" s="73"/>
      <c r="L310" s="73"/>
      <c r="O310" s="73"/>
    </row>
    <row r="311" spans="7:15" x14ac:dyDescent="0.2">
      <c r="G311" s="73"/>
      <c r="J311" s="73"/>
      <c r="L311" s="73"/>
      <c r="O311" s="73"/>
    </row>
    <row r="312" spans="7:15" x14ac:dyDescent="0.2">
      <c r="G312" s="73"/>
      <c r="J312" s="73"/>
      <c r="L312" s="73"/>
      <c r="O312" s="73"/>
    </row>
    <row r="313" spans="7:15" x14ac:dyDescent="0.2">
      <c r="G313" s="73"/>
      <c r="J313" s="73"/>
      <c r="L313" s="73"/>
      <c r="O313" s="73"/>
    </row>
    <row r="314" spans="7:15" x14ac:dyDescent="0.2">
      <c r="G314" s="73"/>
      <c r="J314" s="73"/>
      <c r="L314" s="73"/>
      <c r="O314" s="73"/>
    </row>
    <row r="315" spans="7:15" x14ac:dyDescent="0.2">
      <c r="G315" s="73"/>
      <c r="J315" s="73"/>
      <c r="L315" s="73"/>
      <c r="O315" s="73"/>
    </row>
    <row r="316" spans="7:15" x14ac:dyDescent="0.2">
      <c r="G316" s="73"/>
      <c r="J316" s="73"/>
      <c r="L316" s="73"/>
      <c r="O316" s="73"/>
    </row>
    <row r="317" spans="7:15" x14ac:dyDescent="0.2">
      <c r="G317" s="73"/>
      <c r="J317" s="73"/>
      <c r="L317" s="73"/>
      <c r="O317" s="73"/>
    </row>
    <row r="318" spans="7:15" x14ac:dyDescent="0.2">
      <c r="G318" s="73"/>
      <c r="J318" s="73"/>
      <c r="L318" s="73"/>
      <c r="O318" s="73"/>
    </row>
    <row r="319" spans="7:15" x14ac:dyDescent="0.2">
      <c r="G319" s="73"/>
      <c r="J319" s="73"/>
      <c r="L319" s="73"/>
      <c r="O319" s="73"/>
    </row>
    <row r="320" spans="7:15" x14ac:dyDescent="0.2">
      <c r="G320" s="73"/>
      <c r="J320" s="73"/>
      <c r="L320" s="73"/>
      <c r="O320" s="73"/>
    </row>
    <row r="321" spans="7:15" x14ac:dyDescent="0.2">
      <c r="G321" s="73"/>
      <c r="J321" s="73"/>
      <c r="L321" s="73"/>
      <c r="O321" s="73"/>
    </row>
    <row r="322" spans="7:15" x14ac:dyDescent="0.2">
      <c r="G322" s="73"/>
      <c r="J322" s="73"/>
      <c r="L322" s="73"/>
      <c r="O322" s="73"/>
    </row>
    <row r="323" spans="7:15" x14ac:dyDescent="0.2">
      <c r="G323" s="73"/>
      <c r="J323" s="73"/>
      <c r="L323" s="73"/>
      <c r="O323" s="73"/>
    </row>
    <row r="324" spans="7:15" x14ac:dyDescent="0.2">
      <c r="G324" s="73"/>
      <c r="J324" s="73"/>
      <c r="L324" s="73"/>
      <c r="O324" s="73"/>
    </row>
    <row r="325" spans="7:15" x14ac:dyDescent="0.2">
      <c r="G325" s="73"/>
      <c r="J325" s="73"/>
      <c r="L325" s="73"/>
      <c r="O325" s="73"/>
    </row>
    <row r="326" spans="7:15" x14ac:dyDescent="0.2">
      <c r="G326" s="73"/>
      <c r="J326" s="73"/>
      <c r="L326" s="73"/>
      <c r="O326" s="73"/>
    </row>
    <row r="327" spans="7:15" x14ac:dyDescent="0.2">
      <c r="G327" s="73"/>
      <c r="J327" s="73"/>
      <c r="L327" s="73"/>
      <c r="O327" s="73"/>
    </row>
    <row r="328" spans="7:15" x14ac:dyDescent="0.2">
      <c r="G328" s="73"/>
      <c r="J328" s="73"/>
      <c r="L328" s="73"/>
      <c r="O328" s="73"/>
    </row>
    <row r="329" spans="7:15" x14ac:dyDescent="0.2">
      <c r="G329" s="73"/>
      <c r="J329" s="73"/>
      <c r="L329" s="73"/>
      <c r="O329" s="73"/>
    </row>
    <row r="330" spans="7:15" x14ac:dyDescent="0.2">
      <c r="G330" s="73"/>
      <c r="J330" s="73"/>
      <c r="L330" s="73"/>
      <c r="O330" s="73"/>
    </row>
    <row r="331" spans="7:15" x14ac:dyDescent="0.2">
      <c r="G331" s="73"/>
      <c r="J331" s="73"/>
      <c r="L331" s="73"/>
      <c r="O331" s="73"/>
    </row>
    <row r="332" spans="7:15" x14ac:dyDescent="0.2">
      <c r="G332" s="73"/>
      <c r="J332" s="73"/>
      <c r="L332" s="73"/>
      <c r="O332" s="73"/>
    </row>
    <row r="333" spans="7:15" x14ac:dyDescent="0.2">
      <c r="G333" s="73"/>
      <c r="J333" s="73"/>
      <c r="L333" s="73"/>
      <c r="O333" s="73"/>
    </row>
    <row r="334" spans="7:15" x14ac:dyDescent="0.2">
      <c r="G334" s="73"/>
      <c r="J334" s="73"/>
      <c r="L334" s="73"/>
      <c r="O334" s="73"/>
    </row>
    <row r="335" spans="7:15" x14ac:dyDescent="0.2">
      <c r="G335" s="73"/>
      <c r="J335" s="73"/>
      <c r="L335" s="73"/>
      <c r="O335" s="73"/>
    </row>
    <row r="336" spans="7:15" x14ac:dyDescent="0.2">
      <c r="G336" s="73"/>
      <c r="J336" s="73"/>
      <c r="L336" s="73"/>
      <c r="O336" s="73"/>
    </row>
    <row r="337" spans="7:15" x14ac:dyDescent="0.2">
      <c r="G337" s="73"/>
      <c r="J337" s="73"/>
      <c r="L337" s="73"/>
      <c r="O337" s="73"/>
    </row>
    <row r="338" spans="7:15" x14ac:dyDescent="0.2">
      <c r="G338" s="73"/>
      <c r="J338" s="73"/>
      <c r="L338" s="73"/>
      <c r="O338" s="73"/>
    </row>
    <row r="339" spans="7:15" x14ac:dyDescent="0.2">
      <c r="G339" s="73"/>
      <c r="J339" s="73"/>
      <c r="L339" s="73"/>
      <c r="O339" s="73"/>
    </row>
    <row r="340" spans="7:15" x14ac:dyDescent="0.2">
      <c r="G340" s="73"/>
      <c r="J340" s="73"/>
      <c r="L340" s="73"/>
      <c r="O340" s="73"/>
    </row>
    <row r="341" spans="7:15" x14ac:dyDescent="0.2">
      <c r="G341" s="73"/>
      <c r="J341" s="73"/>
      <c r="L341" s="73"/>
      <c r="O341" s="73"/>
    </row>
    <row r="342" spans="7:15" x14ac:dyDescent="0.2">
      <c r="G342" s="73"/>
      <c r="J342" s="73"/>
      <c r="L342" s="73"/>
      <c r="O342" s="73"/>
    </row>
    <row r="343" spans="7:15" x14ac:dyDescent="0.2">
      <c r="G343" s="73"/>
      <c r="J343" s="73"/>
      <c r="L343" s="73"/>
      <c r="O343" s="73"/>
    </row>
    <row r="344" spans="7:15" x14ac:dyDescent="0.2">
      <c r="G344" s="73"/>
      <c r="J344" s="73"/>
      <c r="L344" s="73"/>
      <c r="O344" s="73"/>
    </row>
    <row r="345" spans="7:15" x14ac:dyDescent="0.2">
      <c r="G345" s="73"/>
      <c r="J345" s="73"/>
      <c r="L345" s="73"/>
      <c r="O345" s="73"/>
    </row>
    <row r="346" spans="7:15" x14ac:dyDescent="0.2">
      <c r="G346" s="73"/>
      <c r="J346" s="73"/>
      <c r="L346" s="73"/>
      <c r="O346" s="73"/>
    </row>
    <row r="347" spans="7:15" x14ac:dyDescent="0.2">
      <c r="G347" s="73"/>
      <c r="J347" s="73"/>
      <c r="L347" s="73"/>
      <c r="O347" s="73"/>
    </row>
    <row r="348" spans="7:15" x14ac:dyDescent="0.2">
      <c r="G348" s="73"/>
      <c r="J348" s="73"/>
      <c r="L348" s="73"/>
      <c r="O348" s="73"/>
    </row>
    <row r="349" spans="7:15" x14ac:dyDescent="0.2">
      <c r="G349" s="73"/>
      <c r="J349" s="73"/>
      <c r="L349" s="73"/>
      <c r="O349" s="73"/>
    </row>
    <row r="350" spans="7:15" x14ac:dyDescent="0.2">
      <c r="G350" s="73"/>
      <c r="J350" s="73"/>
      <c r="L350" s="73"/>
      <c r="O350" s="73"/>
    </row>
    <row r="351" spans="7:15" x14ac:dyDescent="0.2">
      <c r="G351" s="73"/>
      <c r="J351" s="73"/>
      <c r="L351" s="73"/>
      <c r="O351" s="73"/>
    </row>
    <row r="352" spans="7:15" x14ac:dyDescent="0.2">
      <c r="G352" s="73"/>
      <c r="J352" s="73"/>
      <c r="L352" s="73"/>
      <c r="O352" s="73"/>
    </row>
    <row r="353" spans="7:15" x14ac:dyDescent="0.2">
      <c r="G353" s="73"/>
      <c r="J353" s="73"/>
      <c r="L353" s="73"/>
      <c r="O353" s="73"/>
    </row>
    <row r="354" spans="7:15" x14ac:dyDescent="0.2">
      <c r="G354" s="73"/>
      <c r="J354" s="73"/>
      <c r="L354" s="73"/>
      <c r="O354" s="73"/>
    </row>
    <row r="355" spans="7:15" x14ac:dyDescent="0.2">
      <c r="G355" s="73"/>
      <c r="J355" s="73"/>
      <c r="L355" s="73"/>
      <c r="O355" s="73"/>
    </row>
    <row r="356" spans="7:15" x14ac:dyDescent="0.2">
      <c r="G356" s="73"/>
      <c r="J356" s="73"/>
      <c r="L356" s="73"/>
      <c r="O356" s="73"/>
    </row>
    <row r="357" spans="7:15" x14ac:dyDescent="0.2">
      <c r="G357" s="73"/>
      <c r="J357" s="73"/>
      <c r="L357" s="73"/>
      <c r="O357" s="73"/>
    </row>
    <row r="358" spans="7:15" x14ac:dyDescent="0.2">
      <c r="G358" s="73"/>
      <c r="J358" s="73"/>
      <c r="L358" s="73"/>
      <c r="O358" s="73"/>
    </row>
    <row r="359" spans="7:15" x14ac:dyDescent="0.2">
      <c r="G359" s="73"/>
      <c r="J359" s="73"/>
      <c r="L359" s="73"/>
      <c r="O359" s="73"/>
    </row>
    <row r="360" spans="7:15" x14ac:dyDescent="0.2">
      <c r="G360" s="73"/>
      <c r="J360" s="73"/>
      <c r="L360" s="73"/>
      <c r="O360" s="73"/>
    </row>
    <row r="361" spans="7:15" x14ac:dyDescent="0.2">
      <c r="G361" s="73"/>
      <c r="J361" s="73"/>
      <c r="L361" s="73"/>
      <c r="O361" s="73"/>
    </row>
    <row r="362" spans="7:15" x14ac:dyDescent="0.2">
      <c r="G362" s="73"/>
      <c r="J362" s="73"/>
      <c r="L362" s="73"/>
      <c r="O362" s="73"/>
    </row>
    <row r="363" spans="7:15" x14ac:dyDescent="0.2">
      <c r="G363" s="73"/>
      <c r="J363" s="73"/>
      <c r="L363" s="73"/>
      <c r="O363" s="73"/>
    </row>
    <row r="364" spans="7:15" x14ac:dyDescent="0.2">
      <c r="G364" s="73"/>
      <c r="J364" s="73"/>
      <c r="L364" s="73"/>
      <c r="O364" s="73"/>
    </row>
    <row r="365" spans="7:15" x14ac:dyDescent="0.2">
      <c r="G365" s="73"/>
      <c r="J365" s="73"/>
      <c r="L365" s="73"/>
      <c r="O365" s="73"/>
    </row>
    <row r="366" spans="7:15" x14ac:dyDescent="0.2">
      <c r="G366" s="73"/>
      <c r="J366" s="73"/>
      <c r="L366" s="73"/>
      <c r="O366" s="73"/>
    </row>
    <row r="367" spans="7:15" x14ac:dyDescent="0.2">
      <c r="G367" s="73"/>
      <c r="J367" s="73"/>
      <c r="L367" s="73"/>
      <c r="O367" s="73"/>
    </row>
    <row r="368" spans="7:15" x14ac:dyDescent="0.2">
      <c r="G368" s="73"/>
      <c r="J368" s="73"/>
      <c r="L368" s="73"/>
      <c r="O368" s="73"/>
    </row>
    <row r="369" spans="7:15" x14ac:dyDescent="0.2">
      <c r="G369" s="73"/>
      <c r="J369" s="73"/>
      <c r="L369" s="73"/>
      <c r="O369" s="73"/>
    </row>
    <row r="370" spans="7:15" x14ac:dyDescent="0.2">
      <c r="G370" s="73"/>
      <c r="J370" s="73"/>
      <c r="L370" s="73"/>
      <c r="O370" s="73"/>
    </row>
    <row r="371" spans="7:15" x14ac:dyDescent="0.2">
      <c r="G371" s="73"/>
      <c r="J371" s="73"/>
      <c r="L371" s="73"/>
      <c r="O371" s="73"/>
    </row>
    <row r="372" spans="7:15" x14ac:dyDescent="0.2">
      <c r="G372" s="73"/>
      <c r="J372" s="73"/>
      <c r="L372" s="73"/>
      <c r="O372" s="73"/>
    </row>
    <row r="373" spans="7:15" x14ac:dyDescent="0.2">
      <c r="G373" s="73"/>
      <c r="J373" s="73"/>
      <c r="L373" s="73"/>
      <c r="O373" s="73"/>
    </row>
    <row r="374" spans="7:15" x14ac:dyDescent="0.2">
      <c r="G374" s="73"/>
      <c r="J374" s="73"/>
      <c r="L374" s="73"/>
      <c r="O374" s="73"/>
    </row>
    <row r="375" spans="7:15" x14ac:dyDescent="0.2">
      <c r="G375" s="73"/>
      <c r="J375" s="73"/>
      <c r="L375" s="73"/>
      <c r="O375" s="73"/>
    </row>
    <row r="376" spans="7:15" x14ac:dyDescent="0.2">
      <c r="G376" s="73"/>
      <c r="J376" s="73"/>
      <c r="L376" s="73"/>
      <c r="O376" s="73"/>
    </row>
    <row r="377" spans="7:15" x14ac:dyDescent="0.2">
      <c r="G377" s="73"/>
      <c r="J377" s="73"/>
      <c r="L377" s="73"/>
      <c r="O377" s="73"/>
    </row>
    <row r="378" spans="7:15" x14ac:dyDescent="0.2">
      <c r="G378" s="73"/>
      <c r="J378" s="73"/>
      <c r="L378" s="73"/>
      <c r="O378" s="73"/>
    </row>
    <row r="379" spans="7:15" x14ac:dyDescent="0.2">
      <c r="G379" s="73"/>
      <c r="J379" s="73"/>
      <c r="L379" s="73"/>
      <c r="O379" s="73"/>
    </row>
    <row r="380" spans="7:15" x14ac:dyDescent="0.2">
      <c r="G380" s="73"/>
      <c r="J380" s="73"/>
      <c r="L380" s="73"/>
      <c r="O380" s="73"/>
    </row>
    <row r="381" spans="7:15" x14ac:dyDescent="0.2">
      <c r="G381" s="73"/>
      <c r="J381" s="73"/>
      <c r="L381" s="73"/>
      <c r="O381" s="73"/>
    </row>
    <row r="382" spans="7:15" x14ac:dyDescent="0.2">
      <c r="G382" s="73"/>
      <c r="J382" s="73"/>
      <c r="L382" s="73"/>
      <c r="O382" s="73"/>
    </row>
    <row r="383" spans="7:15" x14ac:dyDescent="0.2">
      <c r="G383" s="73"/>
      <c r="J383" s="73"/>
      <c r="L383" s="73"/>
      <c r="O383" s="73"/>
    </row>
    <row r="384" spans="7:15" x14ac:dyDescent="0.2">
      <c r="G384" s="73"/>
      <c r="J384" s="73"/>
      <c r="L384" s="73"/>
      <c r="O384" s="73"/>
    </row>
    <row r="385" spans="7:15" x14ac:dyDescent="0.2">
      <c r="G385" s="73"/>
      <c r="J385" s="73"/>
      <c r="L385" s="73"/>
      <c r="O385" s="73"/>
    </row>
    <row r="386" spans="7:15" x14ac:dyDescent="0.2">
      <c r="G386" s="73"/>
      <c r="J386" s="73"/>
      <c r="L386" s="73"/>
      <c r="O386" s="73"/>
    </row>
    <row r="387" spans="7:15" x14ac:dyDescent="0.2">
      <c r="G387" s="73"/>
      <c r="J387" s="73"/>
      <c r="L387" s="73"/>
      <c r="O387" s="73"/>
    </row>
    <row r="388" spans="7:15" x14ac:dyDescent="0.2">
      <c r="G388" s="73"/>
      <c r="J388" s="73"/>
      <c r="L388" s="73"/>
      <c r="O388" s="73"/>
    </row>
    <row r="389" spans="7:15" x14ac:dyDescent="0.2">
      <c r="G389" s="73"/>
      <c r="J389" s="73"/>
      <c r="L389" s="73"/>
      <c r="O389" s="73"/>
    </row>
    <row r="390" spans="7:15" x14ac:dyDescent="0.2">
      <c r="G390" s="73"/>
      <c r="J390" s="73"/>
      <c r="L390" s="73"/>
      <c r="O390" s="73"/>
    </row>
    <row r="391" spans="7:15" x14ac:dyDescent="0.2">
      <c r="G391" s="73"/>
      <c r="J391" s="73"/>
      <c r="L391" s="73"/>
      <c r="O391" s="73"/>
    </row>
    <row r="392" spans="7:15" x14ac:dyDescent="0.2">
      <c r="G392" s="73"/>
      <c r="J392" s="73"/>
      <c r="L392" s="73"/>
      <c r="O392" s="73"/>
    </row>
    <row r="393" spans="7:15" x14ac:dyDescent="0.2">
      <c r="G393" s="73"/>
      <c r="J393" s="73"/>
      <c r="L393" s="73"/>
      <c r="O393" s="73"/>
    </row>
    <row r="394" spans="7:15" x14ac:dyDescent="0.2">
      <c r="G394" s="73"/>
      <c r="J394" s="73"/>
      <c r="L394" s="73"/>
      <c r="O394" s="73"/>
    </row>
    <row r="395" spans="7:15" x14ac:dyDescent="0.2">
      <c r="G395" s="73"/>
      <c r="J395" s="73"/>
      <c r="L395" s="73"/>
      <c r="O395" s="73"/>
    </row>
    <row r="396" spans="7:15" x14ac:dyDescent="0.2">
      <c r="G396" s="73"/>
      <c r="J396" s="73"/>
      <c r="L396" s="73"/>
      <c r="O396" s="73"/>
    </row>
    <row r="397" spans="7:15" x14ac:dyDescent="0.2">
      <c r="G397" s="73"/>
      <c r="J397" s="73"/>
      <c r="L397" s="73"/>
      <c r="O397" s="73"/>
    </row>
    <row r="398" spans="7:15" x14ac:dyDescent="0.2">
      <c r="G398" s="73"/>
      <c r="J398" s="73"/>
      <c r="L398" s="73"/>
      <c r="O398" s="73"/>
    </row>
    <row r="399" spans="7:15" x14ac:dyDescent="0.2">
      <c r="G399" s="73"/>
      <c r="J399" s="73"/>
      <c r="L399" s="73"/>
      <c r="O399" s="73"/>
    </row>
    <row r="400" spans="7:15" x14ac:dyDescent="0.2">
      <c r="G400" s="73"/>
      <c r="J400" s="73"/>
      <c r="L400" s="73"/>
      <c r="O400" s="73"/>
    </row>
    <row r="401" spans="7:15" x14ac:dyDescent="0.2">
      <c r="G401" s="73"/>
      <c r="J401" s="73"/>
      <c r="L401" s="73"/>
      <c r="O401" s="73"/>
    </row>
    <row r="402" spans="7:15" x14ac:dyDescent="0.2">
      <c r="G402" s="73"/>
      <c r="J402" s="73"/>
      <c r="L402" s="73"/>
      <c r="O402" s="73"/>
    </row>
    <row r="403" spans="7:15" x14ac:dyDescent="0.2">
      <c r="G403" s="73"/>
      <c r="J403" s="73"/>
      <c r="L403" s="73"/>
      <c r="O403" s="73"/>
    </row>
    <row r="404" spans="7:15" x14ac:dyDescent="0.2">
      <c r="G404" s="73"/>
      <c r="J404" s="73"/>
      <c r="L404" s="73"/>
      <c r="O404" s="73"/>
    </row>
    <row r="405" spans="7:15" x14ac:dyDescent="0.2">
      <c r="G405" s="73"/>
      <c r="J405" s="73"/>
      <c r="L405" s="73"/>
      <c r="O405" s="73"/>
    </row>
    <row r="406" spans="7:15" x14ac:dyDescent="0.2">
      <c r="G406" s="73"/>
      <c r="J406" s="73"/>
      <c r="L406" s="73"/>
      <c r="O406" s="73"/>
    </row>
    <row r="407" spans="7:15" x14ac:dyDescent="0.2">
      <c r="G407" s="73"/>
      <c r="J407" s="73"/>
      <c r="L407" s="73"/>
      <c r="O407" s="73"/>
    </row>
    <row r="408" spans="7:15" x14ac:dyDescent="0.2">
      <c r="G408" s="73"/>
      <c r="J408" s="73"/>
      <c r="L408" s="73"/>
      <c r="O408" s="73"/>
    </row>
    <row r="409" spans="7:15" x14ac:dyDescent="0.2">
      <c r="G409" s="73"/>
      <c r="J409" s="73"/>
      <c r="L409" s="73"/>
      <c r="O409" s="73"/>
    </row>
    <row r="410" spans="7:15" x14ac:dyDescent="0.2">
      <c r="G410" s="73"/>
      <c r="J410" s="73"/>
      <c r="L410" s="73"/>
      <c r="O410" s="73"/>
    </row>
    <row r="411" spans="7:15" x14ac:dyDescent="0.2">
      <c r="G411" s="73"/>
      <c r="J411" s="73"/>
      <c r="L411" s="73"/>
      <c r="O411" s="73"/>
    </row>
    <row r="412" spans="7:15" x14ac:dyDescent="0.2">
      <c r="G412" s="73"/>
      <c r="J412" s="73"/>
      <c r="L412" s="73"/>
      <c r="O412" s="73"/>
    </row>
    <row r="413" spans="7:15" x14ac:dyDescent="0.2">
      <c r="G413" s="73"/>
      <c r="J413" s="73"/>
      <c r="L413" s="73"/>
      <c r="O413" s="73"/>
    </row>
    <row r="414" spans="7:15" x14ac:dyDescent="0.2">
      <c r="G414" s="73"/>
      <c r="J414" s="73"/>
      <c r="L414" s="73"/>
      <c r="O414" s="73"/>
    </row>
    <row r="415" spans="7:15" x14ac:dyDescent="0.2">
      <c r="G415" s="73"/>
      <c r="J415" s="73"/>
      <c r="L415" s="73"/>
      <c r="O415" s="73"/>
    </row>
    <row r="416" spans="7:15" x14ac:dyDescent="0.2">
      <c r="G416" s="73"/>
      <c r="J416" s="73"/>
      <c r="L416" s="73"/>
      <c r="O416" s="73"/>
    </row>
    <row r="417" spans="7:15" x14ac:dyDescent="0.2">
      <c r="G417" s="73"/>
      <c r="J417" s="73"/>
      <c r="L417" s="73"/>
      <c r="O417" s="73"/>
    </row>
    <row r="418" spans="7:15" x14ac:dyDescent="0.2">
      <c r="G418" s="73"/>
      <c r="J418" s="73"/>
      <c r="L418" s="73"/>
      <c r="O418" s="73"/>
    </row>
    <row r="419" spans="7:15" x14ac:dyDescent="0.2">
      <c r="G419" s="73"/>
      <c r="J419" s="73"/>
      <c r="L419" s="73"/>
      <c r="O419" s="73"/>
    </row>
    <row r="420" spans="7:15" x14ac:dyDescent="0.2">
      <c r="G420" s="73"/>
      <c r="J420" s="73"/>
      <c r="L420" s="73"/>
      <c r="O420" s="73"/>
    </row>
    <row r="421" spans="7:15" x14ac:dyDescent="0.2">
      <c r="G421" s="73"/>
      <c r="J421" s="73"/>
      <c r="L421" s="73"/>
      <c r="O421" s="73"/>
    </row>
    <row r="422" spans="7:15" x14ac:dyDescent="0.2">
      <c r="G422" s="73"/>
      <c r="J422" s="73"/>
      <c r="L422" s="73"/>
      <c r="O422" s="73"/>
    </row>
    <row r="423" spans="7:15" x14ac:dyDescent="0.2">
      <c r="G423" s="73"/>
      <c r="J423" s="73"/>
      <c r="L423" s="73"/>
      <c r="O423" s="73"/>
    </row>
    <row r="424" spans="7:15" x14ac:dyDescent="0.2">
      <c r="G424" s="73"/>
      <c r="J424" s="73"/>
      <c r="L424" s="73"/>
      <c r="O424" s="73"/>
    </row>
    <row r="425" spans="7:15" x14ac:dyDescent="0.2">
      <c r="G425" s="73"/>
      <c r="J425" s="73"/>
      <c r="L425" s="73"/>
      <c r="O425" s="73"/>
    </row>
    <row r="426" spans="7:15" x14ac:dyDescent="0.2">
      <c r="G426" s="73"/>
      <c r="J426" s="73"/>
      <c r="L426" s="73"/>
      <c r="O426" s="73"/>
    </row>
    <row r="427" spans="7:15" x14ac:dyDescent="0.2">
      <c r="G427" s="73"/>
      <c r="J427" s="73"/>
      <c r="L427" s="73"/>
      <c r="O427" s="73"/>
    </row>
    <row r="428" spans="7:15" x14ac:dyDescent="0.2">
      <c r="G428" s="73"/>
      <c r="J428" s="73"/>
      <c r="L428" s="73"/>
      <c r="O428" s="73"/>
    </row>
    <row r="429" spans="7:15" x14ac:dyDescent="0.2">
      <c r="G429" s="73"/>
      <c r="J429" s="73"/>
      <c r="L429" s="73"/>
      <c r="O429" s="73"/>
    </row>
    <row r="430" spans="7:15" x14ac:dyDescent="0.2">
      <c r="G430" s="73"/>
      <c r="J430" s="73"/>
      <c r="L430" s="73"/>
      <c r="O430" s="73"/>
    </row>
    <row r="431" spans="7:15" x14ac:dyDescent="0.2">
      <c r="G431" s="73"/>
      <c r="J431" s="73"/>
      <c r="L431" s="73"/>
      <c r="O431" s="73"/>
    </row>
    <row r="432" spans="7:15" x14ac:dyDescent="0.2">
      <c r="G432" s="73"/>
      <c r="J432" s="73"/>
      <c r="L432" s="73"/>
      <c r="O432" s="73"/>
    </row>
    <row r="433" spans="7:15" x14ac:dyDescent="0.2">
      <c r="G433" s="73"/>
      <c r="J433" s="73"/>
      <c r="L433" s="73"/>
      <c r="O433" s="73"/>
    </row>
    <row r="434" spans="7:15" x14ac:dyDescent="0.2">
      <c r="G434" s="73"/>
      <c r="J434" s="73"/>
      <c r="L434" s="73"/>
      <c r="O434" s="73"/>
    </row>
    <row r="435" spans="7:15" x14ac:dyDescent="0.2">
      <c r="G435" s="73"/>
      <c r="J435" s="73"/>
      <c r="L435" s="73"/>
      <c r="O435" s="73"/>
    </row>
    <row r="436" spans="7:15" x14ac:dyDescent="0.2">
      <c r="G436" s="73"/>
      <c r="J436" s="73"/>
      <c r="L436" s="73"/>
      <c r="O436" s="73"/>
    </row>
    <row r="437" spans="7:15" x14ac:dyDescent="0.2">
      <c r="G437" s="73"/>
      <c r="J437" s="73"/>
      <c r="L437" s="73"/>
      <c r="O437" s="73"/>
    </row>
    <row r="438" spans="7:15" x14ac:dyDescent="0.2">
      <c r="G438" s="73"/>
      <c r="J438" s="73"/>
      <c r="L438" s="73"/>
      <c r="O438" s="73"/>
    </row>
    <row r="439" spans="7:15" x14ac:dyDescent="0.2">
      <c r="G439" s="73"/>
      <c r="J439" s="73"/>
      <c r="L439" s="73"/>
      <c r="O439" s="73"/>
    </row>
    <row r="440" spans="7:15" x14ac:dyDescent="0.2">
      <c r="G440" s="73"/>
      <c r="J440" s="73"/>
      <c r="L440" s="73"/>
      <c r="O440" s="73"/>
    </row>
    <row r="441" spans="7:15" x14ac:dyDescent="0.2">
      <c r="G441" s="73"/>
      <c r="J441" s="73"/>
      <c r="L441" s="73"/>
      <c r="O441" s="73"/>
    </row>
    <row r="442" spans="7:15" x14ac:dyDescent="0.2">
      <c r="G442" s="73"/>
      <c r="J442" s="73"/>
      <c r="L442" s="73"/>
      <c r="O442" s="73"/>
    </row>
    <row r="443" spans="7:15" x14ac:dyDescent="0.2">
      <c r="G443" s="73"/>
      <c r="J443" s="73"/>
      <c r="L443" s="73"/>
      <c r="O443" s="73"/>
    </row>
    <row r="444" spans="7:15" x14ac:dyDescent="0.2">
      <c r="G444" s="73"/>
      <c r="J444" s="73"/>
      <c r="L444" s="73"/>
      <c r="O444" s="73"/>
    </row>
    <row r="445" spans="7:15" x14ac:dyDescent="0.2">
      <c r="G445" s="73"/>
      <c r="J445" s="73"/>
      <c r="L445" s="73"/>
      <c r="O445" s="73"/>
    </row>
    <row r="446" spans="7:15" x14ac:dyDescent="0.2">
      <c r="G446" s="73"/>
      <c r="J446" s="73"/>
      <c r="L446" s="73"/>
      <c r="O446" s="73"/>
    </row>
    <row r="447" spans="7:15" x14ac:dyDescent="0.2">
      <c r="G447" s="73"/>
      <c r="J447" s="73"/>
      <c r="L447" s="73"/>
      <c r="O447" s="73"/>
    </row>
    <row r="448" spans="7:15" x14ac:dyDescent="0.2">
      <c r="G448" s="73"/>
      <c r="J448" s="73"/>
      <c r="L448" s="73"/>
      <c r="O448" s="73"/>
    </row>
    <row r="449" spans="7:15" x14ac:dyDescent="0.2">
      <c r="G449" s="73"/>
      <c r="J449" s="73"/>
      <c r="L449" s="73"/>
      <c r="O449" s="73"/>
    </row>
    <row r="450" spans="7:15" x14ac:dyDescent="0.2">
      <c r="G450" s="73"/>
      <c r="J450" s="73"/>
      <c r="L450" s="73"/>
      <c r="O450" s="73"/>
    </row>
    <row r="451" spans="7:15" x14ac:dyDescent="0.2">
      <c r="G451" s="73"/>
      <c r="J451" s="73"/>
      <c r="L451" s="73"/>
      <c r="O451" s="73"/>
    </row>
    <row r="452" spans="7:15" x14ac:dyDescent="0.2">
      <c r="G452" s="73"/>
      <c r="J452" s="73"/>
      <c r="L452" s="73"/>
      <c r="O452" s="73"/>
    </row>
    <row r="453" spans="7:15" x14ac:dyDescent="0.2">
      <c r="G453" s="73"/>
      <c r="J453" s="73"/>
      <c r="L453" s="73"/>
      <c r="O453" s="73"/>
    </row>
    <row r="454" spans="7:15" x14ac:dyDescent="0.2">
      <c r="G454" s="73"/>
      <c r="J454" s="73"/>
      <c r="L454" s="73"/>
      <c r="O454" s="73"/>
    </row>
    <row r="455" spans="7:15" x14ac:dyDescent="0.2">
      <c r="G455" s="73"/>
      <c r="J455" s="73"/>
      <c r="L455" s="73"/>
      <c r="O455" s="73"/>
    </row>
    <row r="456" spans="7:15" x14ac:dyDescent="0.2">
      <c r="G456" s="73"/>
      <c r="J456" s="73"/>
      <c r="L456" s="73"/>
      <c r="O456" s="73"/>
    </row>
    <row r="457" spans="7:15" x14ac:dyDescent="0.2">
      <c r="G457" s="73"/>
      <c r="J457" s="73"/>
      <c r="L457" s="73"/>
      <c r="O457" s="73"/>
    </row>
    <row r="458" spans="7:15" x14ac:dyDescent="0.2">
      <c r="G458" s="73"/>
      <c r="J458" s="73"/>
      <c r="L458" s="73"/>
      <c r="O458" s="73"/>
    </row>
    <row r="459" spans="7:15" x14ac:dyDescent="0.2">
      <c r="G459" s="73"/>
      <c r="J459" s="73"/>
      <c r="L459" s="73"/>
      <c r="O459" s="73"/>
    </row>
    <row r="460" spans="7:15" x14ac:dyDescent="0.2">
      <c r="G460" s="73"/>
      <c r="J460" s="73"/>
      <c r="L460" s="73"/>
      <c r="O460" s="73"/>
    </row>
    <row r="461" spans="7:15" x14ac:dyDescent="0.2">
      <c r="G461" s="73"/>
      <c r="J461" s="73"/>
      <c r="L461" s="73"/>
      <c r="O461" s="73"/>
    </row>
    <row r="462" spans="7:15" x14ac:dyDescent="0.2">
      <c r="G462" s="73"/>
      <c r="J462" s="73"/>
      <c r="L462" s="73"/>
      <c r="O462" s="73"/>
    </row>
    <row r="463" spans="7:15" x14ac:dyDescent="0.2">
      <c r="G463" s="73"/>
      <c r="J463" s="73"/>
      <c r="L463" s="73"/>
      <c r="O463" s="73"/>
    </row>
    <row r="464" spans="7:15" x14ac:dyDescent="0.2">
      <c r="G464" s="73"/>
      <c r="J464" s="73"/>
      <c r="L464" s="73"/>
      <c r="O464" s="73"/>
    </row>
    <row r="465" spans="7:15" x14ac:dyDescent="0.2">
      <c r="G465" s="73"/>
      <c r="J465" s="73"/>
      <c r="L465" s="73"/>
      <c r="O465" s="73"/>
    </row>
    <row r="466" spans="7:15" x14ac:dyDescent="0.2">
      <c r="G466" s="73"/>
      <c r="J466" s="73"/>
      <c r="L466" s="73"/>
      <c r="O466" s="73"/>
    </row>
    <row r="467" spans="7:15" x14ac:dyDescent="0.2">
      <c r="G467" s="73"/>
      <c r="J467" s="73"/>
      <c r="L467" s="73"/>
      <c r="O467" s="73"/>
    </row>
    <row r="468" spans="7:15" x14ac:dyDescent="0.2">
      <c r="G468" s="73"/>
      <c r="J468" s="73"/>
      <c r="L468" s="73"/>
      <c r="O468" s="73"/>
    </row>
    <row r="469" spans="7:15" x14ac:dyDescent="0.2">
      <c r="G469" s="73"/>
      <c r="J469" s="73"/>
      <c r="L469" s="73"/>
      <c r="O469" s="73"/>
    </row>
    <row r="470" spans="7:15" x14ac:dyDescent="0.2">
      <c r="G470" s="73"/>
      <c r="J470" s="73"/>
      <c r="L470" s="73"/>
      <c r="O470" s="73"/>
    </row>
    <row r="471" spans="7:15" x14ac:dyDescent="0.2">
      <c r="G471" s="73"/>
      <c r="J471" s="73"/>
      <c r="L471" s="73"/>
      <c r="O471" s="73"/>
    </row>
    <row r="472" spans="7:15" x14ac:dyDescent="0.2">
      <c r="G472" s="73"/>
      <c r="J472" s="73"/>
      <c r="L472" s="73"/>
      <c r="O472" s="73"/>
    </row>
    <row r="473" spans="7:15" x14ac:dyDescent="0.2">
      <c r="G473" s="73"/>
      <c r="J473" s="73"/>
      <c r="L473" s="73"/>
      <c r="O473" s="73"/>
    </row>
    <row r="474" spans="7:15" x14ac:dyDescent="0.2">
      <c r="G474" s="73"/>
      <c r="J474" s="73"/>
      <c r="L474" s="73"/>
      <c r="O474" s="73"/>
    </row>
    <row r="475" spans="7:15" x14ac:dyDescent="0.2">
      <c r="G475" s="73"/>
      <c r="J475" s="73"/>
      <c r="L475" s="73"/>
      <c r="O475" s="73"/>
    </row>
    <row r="476" spans="7:15" x14ac:dyDescent="0.2">
      <c r="G476" s="73"/>
      <c r="J476" s="73"/>
      <c r="L476" s="73"/>
      <c r="O476" s="73"/>
    </row>
    <row r="477" spans="7:15" x14ac:dyDescent="0.2">
      <c r="G477" s="73"/>
      <c r="J477" s="73"/>
      <c r="L477" s="73"/>
      <c r="O477" s="73"/>
    </row>
    <row r="478" spans="7:15" x14ac:dyDescent="0.2">
      <c r="G478" s="73"/>
      <c r="J478" s="73"/>
      <c r="L478" s="73"/>
      <c r="O478" s="73"/>
    </row>
    <row r="479" spans="7:15" x14ac:dyDescent="0.2">
      <c r="G479" s="73"/>
      <c r="J479" s="73"/>
      <c r="L479" s="73"/>
      <c r="O479" s="73"/>
    </row>
    <row r="480" spans="7:15" x14ac:dyDescent="0.2">
      <c r="G480" s="73"/>
      <c r="J480" s="73"/>
      <c r="L480" s="73"/>
      <c r="O480" s="73"/>
    </row>
    <row r="481" spans="7:15" x14ac:dyDescent="0.2">
      <c r="G481" s="73"/>
      <c r="J481" s="73"/>
      <c r="L481" s="73"/>
      <c r="O481" s="73"/>
    </row>
    <row r="482" spans="7:15" x14ac:dyDescent="0.2">
      <c r="G482" s="73"/>
      <c r="J482" s="73"/>
      <c r="L482" s="73"/>
      <c r="O482" s="73"/>
    </row>
    <row r="483" spans="7:15" x14ac:dyDescent="0.2">
      <c r="G483" s="73"/>
      <c r="J483" s="73"/>
      <c r="L483" s="73"/>
      <c r="O483" s="73"/>
    </row>
    <row r="484" spans="7:15" x14ac:dyDescent="0.2">
      <c r="G484" s="73"/>
      <c r="J484" s="73"/>
      <c r="L484" s="73"/>
      <c r="O484" s="73"/>
    </row>
    <row r="485" spans="7:15" x14ac:dyDescent="0.2">
      <c r="G485" s="73"/>
      <c r="J485" s="73"/>
      <c r="L485" s="73"/>
      <c r="O485" s="73"/>
    </row>
    <row r="486" spans="7:15" x14ac:dyDescent="0.2">
      <c r="G486" s="73"/>
      <c r="J486" s="73"/>
      <c r="L486" s="73"/>
      <c r="O486" s="73"/>
    </row>
    <row r="487" spans="7:15" x14ac:dyDescent="0.2">
      <c r="G487" s="73"/>
      <c r="J487" s="73"/>
      <c r="L487" s="73"/>
      <c r="O487" s="73"/>
    </row>
    <row r="488" spans="7:15" x14ac:dyDescent="0.2">
      <c r="G488" s="73"/>
      <c r="J488" s="73"/>
      <c r="L488" s="73"/>
      <c r="O488" s="73"/>
    </row>
    <row r="489" spans="7:15" x14ac:dyDescent="0.2">
      <c r="G489" s="73"/>
      <c r="J489" s="73"/>
      <c r="L489" s="73"/>
      <c r="O489" s="73"/>
    </row>
    <row r="490" spans="7:15" x14ac:dyDescent="0.2">
      <c r="G490" s="73"/>
      <c r="J490" s="73"/>
      <c r="L490" s="73"/>
      <c r="O490" s="73"/>
    </row>
    <row r="491" spans="7:15" x14ac:dyDescent="0.2">
      <c r="G491" s="73"/>
      <c r="J491" s="73"/>
      <c r="L491" s="73"/>
      <c r="O491" s="73"/>
    </row>
    <row r="492" spans="7:15" x14ac:dyDescent="0.2">
      <c r="G492" s="73"/>
      <c r="J492" s="73"/>
      <c r="L492" s="73"/>
      <c r="O492" s="73"/>
    </row>
    <row r="493" spans="7:15" x14ac:dyDescent="0.2">
      <c r="G493" s="73"/>
      <c r="J493" s="73"/>
      <c r="L493" s="73"/>
      <c r="O493" s="73"/>
    </row>
    <row r="494" spans="7:15" x14ac:dyDescent="0.2">
      <c r="G494" s="73"/>
      <c r="J494" s="73"/>
      <c r="L494" s="73"/>
      <c r="O494" s="73"/>
    </row>
    <row r="495" spans="7:15" x14ac:dyDescent="0.2">
      <c r="G495" s="73"/>
      <c r="J495" s="73"/>
      <c r="L495" s="73"/>
      <c r="O495" s="73"/>
    </row>
    <row r="496" spans="7:15" x14ac:dyDescent="0.2">
      <c r="G496" s="73"/>
      <c r="J496" s="73"/>
      <c r="L496" s="73"/>
      <c r="O496" s="73"/>
    </row>
    <row r="497" spans="7:15" x14ac:dyDescent="0.2">
      <c r="G497" s="73"/>
      <c r="J497" s="73"/>
      <c r="L497" s="73"/>
      <c r="O497" s="73"/>
    </row>
    <row r="498" spans="7:15" x14ac:dyDescent="0.2">
      <c r="G498" s="73"/>
      <c r="J498" s="73"/>
      <c r="L498" s="73"/>
      <c r="O498" s="73"/>
    </row>
    <row r="499" spans="7:15" x14ac:dyDescent="0.2">
      <c r="G499" s="73"/>
      <c r="J499" s="73"/>
      <c r="L499" s="73"/>
      <c r="O499" s="73"/>
    </row>
    <row r="500" spans="7:15" x14ac:dyDescent="0.2">
      <c r="G500" s="73"/>
      <c r="J500" s="73"/>
      <c r="L500" s="73"/>
      <c r="O500" s="73"/>
    </row>
    <row r="501" spans="7:15" x14ac:dyDescent="0.2">
      <c r="G501" s="73"/>
      <c r="J501" s="73"/>
      <c r="L501" s="73"/>
      <c r="O501" s="73"/>
    </row>
    <row r="502" spans="7:15" x14ac:dyDescent="0.2">
      <c r="G502" s="73"/>
      <c r="J502" s="73"/>
      <c r="L502" s="73"/>
      <c r="O502" s="73"/>
    </row>
    <row r="503" spans="7:15" x14ac:dyDescent="0.2">
      <c r="G503" s="73"/>
      <c r="J503" s="73"/>
      <c r="L503" s="73"/>
      <c r="O503" s="73"/>
    </row>
    <row r="504" spans="7:15" x14ac:dyDescent="0.2">
      <c r="G504" s="73"/>
      <c r="J504" s="73"/>
      <c r="L504" s="73"/>
      <c r="O504" s="73"/>
    </row>
    <row r="505" spans="7:15" x14ac:dyDescent="0.2">
      <c r="G505" s="73"/>
      <c r="J505" s="73"/>
      <c r="L505" s="73"/>
      <c r="O505" s="73"/>
    </row>
    <row r="506" spans="7:15" x14ac:dyDescent="0.2">
      <c r="G506" s="73"/>
      <c r="J506" s="73"/>
      <c r="L506" s="73"/>
      <c r="O506" s="73"/>
    </row>
    <row r="507" spans="7:15" x14ac:dyDescent="0.2">
      <c r="G507" s="73"/>
      <c r="J507" s="73"/>
      <c r="L507" s="73"/>
      <c r="O507" s="73"/>
    </row>
    <row r="508" spans="7:15" x14ac:dyDescent="0.2">
      <c r="G508" s="73"/>
      <c r="J508" s="73"/>
      <c r="L508" s="73"/>
      <c r="O508" s="73"/>
    </row>
    <row r="509" spans="7:15" x14ac:dyDescent="0.2">
      <c r="G509" s="73"/>
      <c r="J509" s="73"/>
      <c r="L509" s="73"/>
      <c r="O509" s="73"/>
    </row>
    <row r="510" spans="7:15" x14ac:dyDescent="0.2">
      <c r="G510" s="73"/>
      <c r="J510" s="73"/>
      <c r="L510" s="73"/>
      <c r="O510" s="73"/>
    </row>
    <row r="511" spans="7:15" x14ac:dyDescent="0.2">
      <c r="G511" s="73"/>
      <c r="J511" s="73"/>
      <c r="L511" s="73"/>
      <c r="O511" s="73"/>
    </row>
    <row r="512" spans="7:15" x14ac:dyDescent="0.2">
      <c r="G512" s="73"/>
      <c r="J512" s="73"/>
      <c r="L512" s="73"/>
      <c r="O512" s="73"/>
    </row>
    <row r="513" spans="7:15" x14ac:dyDescent="0.2">
      <c r="G513" s="73"/>
      <c r="J513" s="73"/>
      <c r="L513" s="73"/>
      <c r="O513" s="73"/>
    </row>
    <row r="514" spans="7:15" x14ac:dyDescent="0.2">
      <c r="G514" s="73"/>
      <c r="J514" s="73"/>
      <c r="L514" s="73"/>
      <c r="O514" s="73"/>
    </row>
    <row r="515" spans="7:15" x14ac:dyDescent="0.2">
      <c r="G515" s="73"/>
      <c r="J515" s="73"/>
      <c r="L515" s="73"/>
      <c r="O515" s="73"/>
    </row>
    <row r="516" spans="7:15" x14ac:dyDescent="0.2">
      <c r="G516" s="73"/>
      <c r="J516" s="73"/>
      <c r="L516" s="73"/>
      <c r="O516" s="73"/>
    </row>
    <row r="517" spans="7:15" x14ac:dyDescent="0.2">
      <c r="G517" s="73"/>
      <c r="J517" s="73"/>
      <c r="L517" s="73"/>
      <c r="O517" s="73"/>
    </row>
    <row r="518" spans="7:15" x14ac:dyDescent="0.2">
      <c r="G518" s="73"/>
      <c r="J518" s="73"/>
      <c r="L518" s="73"/>
      <c r="O518" s="73"/>
    </row>
    <row r="519" spans="7:15" x14ac:dyDescent="0.2">
      <c r="G519" s="73"/>
      <c r="J519" s="73"/>
      <c r="L519" s="73"/>
      <c r="O519" s="73"/>
    </row>
    <row r="520" spans="7:15" x14ac:dyDescent="0.2">
      <c r="G520" s="73"/>
      <c r="J520" s="73"/>
      <c r="L520" s="73"/>
      <c r="O520" s="73"/>
    </row>
    <row r="521" spans="7:15" x14ac:dyDescent="0.2">
      <c r="G521" s="73"/>
      <c r="J521" s="73"/>
      <c r="L521" s="73"/>
      <c r="O521" s="73"/>
    </row>
    <row r="522" spans="7:15" x14ac:dyDescent="0.2">
      <c r="G522" s="73"/>
      <c r="J522" s="73"/>
      <c r="L522" s="73"/>
      <c r="O522" s="73"/>
    </row>
    <row r="523" spans="7:15" x14ac:dyDescent="0.2">
      <c r="G523" s="73"/>
      <c r="J523" s="73"/>
      <c r="L523" s="73"/>
      <c r="O523" s="73"/>
    </row>
    <row r="524" spans="7:15" x14ac:dyDescent="0.2">
      <c r="G524" s="73"/>
      <c r="J524" s="73"/>
      <c r="L524" s="73"/>
      <c r="O524" s="73"/>
    </row>
    <row r="525" spans="7:15" x14ac:dyDescent="0.2">
      <c r="G525" s="73"/>
      <c r="J525" s="73"/>
      <c r="L525" s="73"/>
      <c r="O525" s="73"/>
    </row>
    <row r="526" spans="7:15" x14ac:dyDescent="0.2">
      <c r="G526" s="73"/>
      <c r="J526" s="73"/>
      <c r="L526" s="73"/>
      <c r="O526" s="73"/>
    </row>
    <row r="527" spans="7:15" x14ac:dyDescent="0.2">
      <c r="G527" s="73"/>
      <c r="J527" s="73"/>
      <c r="L527" s="73"/>
      <c r="O527" s="73"/>
    </row>
    <row r="528" spans="7:15" x14ac:dyDescent="0.2">
      <c r="G528" s="73"/>
      <c r="J528" s="73"/>
      <c r="L528" s="73"/>
      <c r="O528" s="73"/>
    </row>
    <row r="529" spans="7:15" x14ac:dyDescent="0.2">
      <c r="G529" s="73"/>
      <c r="J529" s="73"/>
      <c r="L529" s="73"/>
      <c r="O529" s="73"/>
    </row>
    <row r="530" spans="7:15" x14ac:dyDescent="0.2">
      <c r="G530" s="73"/>
      <c r="J530" s="73"/>
      <c r="L530" s="73"/>
      <c r="O530" s="73"/>
    </row>
    <row r="531" spans="7:15" x14ac:dyDescent="0.2">
      <c r="G531" s="73"/>
      <c r="J531" s="73"/>
      <c r="L531" s="73"/>
      <c r="O531" s="73"/>
    </row>
    <row r="532" spans="7:15" x14ac:dyDescent="0.2">
      <c r="G532" s="73"/>
      <c r="J532" s="73"/>
      <c r="L532" s="73"/>
      <c r="O532" s="73"/>
    </row>
    <row r="533" spans="7:15" x14ac:dyDescent="0.2">
      <c r="G533" s="73"/>
      <c r="J533" s="73"/>
      <c r="L533" s="73"/>
      <c r="O533" s="73"/>
    </row>
    <row r="534" spans="7:15" x14ac:dyDescent="0.2">
      <c r="G534" s="73"/>
      <c r="J534" s="73"/>
      <c r="L534" s="73"/>
      <c r="O534" s="73"/>
    </row>
    <row r="535" spans="7:15" x14ac:dyDescent="0.2">
      <c r="G535" s="73"/>
      <c r="J535" s="73"/>
      <c r="L535" s="73"/>
      <c r="O535" s="73"/>
    </row>
    <row r="536" spans="7:15" x14ac:dyDescent="0.2">
      <c r="G536" s="73"/>
      <c r="J536" s="73"/>
      <c r="L536" s="73"/>
      <c r="O536" s="73"/>
    </row>
    <row r="537" spans="7:15" x14ac:dyDescent="0.2">
      <c r="G537" s="73"/>
      <c r="J537" s="73"/>
      <c r="L537" s="73"/>
      <c r="O537" s="73"/>
    </row>
    <row r="538" spans="7:15" x14ac:dyDescent="0.2">
      <c r="G538" s="73"/>
      <c r="J538" s="73"/>
      <c r="L538" s="73"/>
      <c r="O538" s="73"/>
    </row>
    <row r="539" spans="7:15" x14ac:dyDescent="0.2">
      <c r="G539" s="73"/>
      <c r="J539" s="73"/>
      <c r="L539" s="73"/>
      <c r="O539" s="73"/>
    </row>
    <row r="540" spans="7:15" x14ac:dyDescent="0.2">
      <c r="G540" s="73"/>
      <c r="J540" s="73"/>
      <c r="L540" s="73"/>
      <c r="O540" s="73"/>
    </row>
    <row r="541" spans="7:15" x14ac:dyDescent="0.2">
      <c r="G541" s="73"/>
      <c r="J541" s="73"/>
      <c r="L541" s="73"/>
      <c r="O541" s="73"/>
    </row>
    <row r="542" spans="7:15" x14ac:dyDescent="0.2">
      <c r="G542" s="73"/>
      <c r="J542" s="73"/>
      <c r="L542" s="73"/>
      <c r="O542" s="73"/>
    </row>
    <row r="543" spans="7:15" x14ac:dyDescent="0.2">
      <c r="G543" s="73"/>
      <c r="J543" s="73"/>
      <c r="L543" s="73"/>
      <c r="O543" s="73"/>
    </row>
    <row r="544" spans="7:15" x14ac:dyDescent="0.2">
      <c r="G544" s="73"/>
      <c r="J544" s="73"/>
      <c r="L544" s="73"/>
      <c r="O544" s="73"/>
    </row>
    <row r="545" spans="7:15" x14ac:dyDescent="0.2">
      <c r="G545" s="73"/>
      <c r="J545" s="73"/>
      <c r="L545" s="73"/>
      <c r="O545" s="73"/>
    </row>
    <row r="546" spans="7:15" x14ac:dyDescent="0.2">
      <c r="G546" s="73"/>
      <c r="J546" s="73"/>
      <c r="L546" s="73"/>
      <c r="O546" s="73"/>
    </row>
    <row r="547" spans="7:15" x14ac:dyDescent="0.2">
      <c r="G547" s="73"/>
      <c r="J547" s="73"/>
      <c r="L547" s="73"/>
      <c r="O547" s="73"/>
    </row>
    <row r="548" spans="7:15" x14ac:dyDescent="0.2">
      <c r="G548" s="73"/>
      <c r="J548" s="73"/>
      <c r="L548" s="73"/>
      <c r="O548" s="73"/>
    </row>
    <row r="549" spans="7:15" x14ac:dyDescent="0.2">
      <c r="G549" s="73"/>
      <c r="J549" s="73"/>
      <c r="L549" s="73"/>
      <c r="O549" s="73"/>
    </row>
    <row r="550" spans="7:15" x14ac:dyDescent="0.2">
      <c r="G550" s="73"/>
      <c r="J550" s="73"/>
      <c r="L550" s="73"/>
      <c r="O550" s="73"/>
    </row>
    <row r="551" spans="7:15" x14ac:dyDescent="0.2">
      <c r="G551" s="73"/>
      <c r="J551" s="73"/>
      <c r="L551" s="73"/>
      <c r="O551" s="73"/>
    </row>
    <row r="552" spans="7:15" x14ac:dyDescent="0.2">
      <c r="G552" s="73"/>
      <c r="J552" s="73"/>
      <c r="L552" s="73"/>
      <c r="O552" s="73"/>
    </row>
    <row r="553" spans="7:15" x14ac:dyDescent="0.2">
      <c r="G553" s="73"/>
      <c r="J553" s="73"/>
      <c r="L553" s="73"/>
      <c r="O553" s="73"/>
    </row>
    <row r="554" spans="7:15" x14ac:dyDescent="0.2">
      <c r="G554" s="73"/>
      <c r="J554" s="73"/>
      <c r="L554" s="73"/>
      <c r="O554" s="73"/>
    </row>
    <row r="555" spans="7:15" x14ac:dyDescent="0.2">
      <c r="G555" s="73"/>
      <c r="J555" s="73"/>
      <c r="L555" s="73"/>
      <c r="O555" s="73"/>
    </row>
    <row r="556" spans="7:15" x14ac:dyDescent="0.2">
      <c r="G556" s="73"/>
      <c r="J556" s="73"/>
      <c r="L556" s="73"/>
      <c r="O556" s="73"/>
    </row>
    <row r="557" spans="7:15" x14ac:dyDescent="0.2">
      <c r="G557" s="73"/>
      <c r="J557" s="73"/>
      <c r="L557" s="73"/>
      <c r="O557" s="73"/>
    </row>
  </sheetData>
  <sheetProtection password="FFFD" sheet="1" objects="1" scenarios="1" selectLockedCells="1"/>
  <mergeCells count="187">
    <mergeCell ref="C86:F86"/>
    <mergeCell ref="H86:I86"/>
    <mergeCell ref="J86:Q86"/>
    <mergeCell ref="E9:F9"/>
    <mergeCell ref="J9:Q9"/>
    <mergeCell ref="E10:F10"/>
    <mergeCell ref="J10:Q10"/>
    <mergeCell ref="H68:I68"/>
    <mergeCell ref="H69:I69"/>
    <mergeCell ref="H70:I70"/>
    <mergeCell ref="H71:I71"/>
    <mergeCell ref="H76:I76"/>
    <mergeCell ref="E11:F11"/>
    <mergeCell ref="J11:Q11"/>
    <mergeCell ref="E12:F13"/>
    <mergeCell ref="J12:Q12"/>
    <mergeCell ref="J13:Q13"/>
    <mergeCell ref="J28:Q28"/>
    <mergeCell ref="J38:Q38"/>
    <mergeCell ref="E46:F46"/>
    <mergeCell ref="J46:Q46"/>
    <mergeCell ref="E48:F49"/>
    <mergeCell ref="J48:Q48"/>
    <mergeCell ref="C58:F58"/>
    <mergeCell ref="H58:I58"/>
    <mergeCell ref="J58:Q58"/>
    <mergeCell ref="C68:F68"/>
    <mergeCell ref="C4:I4"/>
    <mergeCell ref="J4:Q4"/>
    <mergeCell ref="D5:I5"/>
    <mergeCell ref="J5:K5"/>
    <mergeCell ref="L5:Q5"/>
    <mergeCell ref="D6:I6"/>
    <mergeCell ref="J6:K6"/>
    <mergeCell ref="L6:Q6"/>
    <mergeCell ref="D7:I7"/>
    <mergeCell ref="J7:K7"/>
    <mergeCell ref="L7:Q7"/>
    <mergeCell ref="C63:F63"/>
    <mergeCell ref="H63:I63"/>
    <mergeCell ref="J63:Q63"/>
    <mergeCell ref="C64:F64"/>
    <mergeCell ref="H64:I64"/>
    <mergeCell ref="J64:Q64"/>
    <mergeCell ref="C61:F61"/>
    <mergeCell ref="H61:I61"/>
    <mergeCell ref="J61:Q61"/>
    <mergeCell ref="C62:F62"/>
    <mergeCell ref="U17:W17"/>
    <mergeCell ref="E18:F18"/>
    <mergeCell ref="J18:Q18"/>
    <mergeCell ref="U18:W18"/>
    <mergeCell ref="E19:F24"/>
    <mergeCell ref="J19:Q19"/>
    <mergeCell ref="J20:Q20"/>
    <mergeCell ref="U20:W20"/>
    <mergeCell ref="J21:Q21"/>
    <mergeCell ref="U21:W21"/>
    <mergeCell ref="E14:F17"/>
    <mergeCell ref="J14:Q14"/>
    <mergeCell ref="J15:Q15"/>
    <mergeCell ref="J16:Q16"/>
    <mergeCell ref="J17:Q17"/>
    <mergeCell ref="U28:W29"/>
    <mergeCell ref="J29:Q29"/>
    <mergeCell ref="J30:Q30"/>
    <mergeCell ref="U30:W30"/>
    <mergeCell ref="E31:F31"/>
    <mergeCell ref="J31:Q31"/>
    <mergeCell ref="U31:W31"/>
    <mergeCell ref="J22:Q22"/>
    <mergeCell ref="U22:W24"/>
    <mergeCell ref="J23:Q23"/>
    <mergeCell ref="J24:Q24"/>
    <mergeCell ref="E25:F30"/>
    <mergeCell ref="J25:Q25"/>
    <mergeCell ref="U25:W26"/>
    <mergeCell ref="J26:Q26"/>
    <mergeCell ref="J27:Q27"/>
    <mergeCell ref="U27:W27"/>
    <mergeCell ref="U38:W39"/>
    <mergeCell ref="J39:Q39"/>
    <mergeCell ref="J40:Q40"/>
    <mergeCell ref="U40:W41"/>
    <mergeCell ref="J41:Q41"/>
    <mergeCell ref="E32:F43"/>
    <mergeCell ref="J32:Q32"/>
    <mergeCell ref="U32:W33"/>
    <mergeCell ref="J33:Q33"/>
    <mergeCell ref="J34:Q34"/>
    <mergeCell ref="U34:W35"/>
    <mergeCell ref="J35:Q35"/>
    <mergeCell ref="J36:Q36"/>
    <mergeCell ref="U36:W37"/>
    <mergeCell ref="J37:Q37"/>
    <mergeCell ref="U55:W55"/>
    <mergeCell ref="C56:D56"/>
    <mergeCell ref="Q56:R56"/>
    <mergeCell ref="U46:W46"/>
    <mergeCell ref="E47:F47"/>
    <mergeCell ref="J47:Q47"/>
    <mergeCell ref="U47:W47"/>
    <mergeCell ref="J42:Q42"/>
    <mergeCell ref="U42:W43"/>
    <mergeCell ref="J43:Q43"/>
    <mergeCell ref="E44:F45"/>
    <mergeCell ref="J44:Q44"/>
    <mergeCell ref="J45:Q45"/>
    <mergeCell ref="U45:W45"/>
    <mergeCell ref="U58:W58"/>
    <mergeCell ref="C59:F59"/>
    <mergeCell ref="H59:I59"/>
    <mergeCell ref="J59:Q59"/>
    <mergeCell ref="C60:F60"/>
    <mergeCell ref="H60:I60"/>
    <mergeCell ref="J60:Q60"/>
    <mergeCell ref="U48:W48"/>
    <mergeCell ref="J49:Q49"/>
    <mergeCell ref="U49:W50"/>
    <mergeCell ref="E50:F52"/>
    <mergeCell ref="J50:Q50"/>
    <mergeCell ref="J51:Q51"/>
    <mergeCell ref="U51:W52"/>
    <mergeCell ref="J52:Q52"/>
    <mergeCell ref="C57:F57"/>
    <mergeCell ref="H57:I57"/>
    <mergeCell ref="J57:Q57"/>
    <mergeCell ref="E53:F55"/>
    <mergeCell ref="J53:Q53"/>
    <mergeCell ref="U53:W53"/>
    <mergeCell ref="J54:Q54"/>
    <mergeCell ref="U54:W54"/>
    <mergeCell ref="J55:Q55"/>
    <mergeCell ref="H62:I62"/>
    <mergeCell ref="J62:Q62"/>
    <mergeCell ref="C67:F67"/>
    <mergeCell ref="H67:I67"/>
    <mergeCell ref="J67:Q67"/>
    <mergeCell ref="J68:Q68"/>
    <mergeCell ref="J69:Q69"/>
    <mergeCell ref="C65:F65"/>
    <mergeCell ref="H65:I65"/>
    <mergeCell ref="J65:Q65"/>
    <mergeCell ref="C66:F66"/>
    <mergeCell ref="H66:I66"/>
    <mergeCell ref="J66:Q66"/>
    <mergeCell ref="H73:I73"/>
    <mergeCell ref="J73:Q73"/>
    <mergeCell ref="H74:I74"/>
    <mergeCell ref="J74:Q74"/>
    <mergeCell ref="H75:I75"/>
    <mergeCell ref="J75:Q75"/>
    <mergeCell ref="C70:F70"/>
    <mergeCell ref="J70:Q70"/>
    <mergeCell ref="C71:F71"/>
    <mergeCell ref="J71:Q71"/>
    <mergeCell ref="C72:F72"/>
    <mergeCell ref="H72:I72"/>
    <mergeCell ref="J72:Q72"/>
    <mergeCell ref="C73:F73"/>
    <mergeCell ref="C84:F84"/>
    <mergeCell ref="H84:I84"/>
    <mergeCell ref="J84:Q84"/>
    <mergeCell ref="C85:F85"/>
    <mergeCell ref="H85:I85"/>
    <mergeCell ref="J85:Q85"/>
    <mergeCell ref="C82:F82"/>
    <mergeCell ref="H82:I82"/>
    <mergeCell ref="J82:Q82"/>
    <mergeCell ref="C83:F83"/>
    <mergeCell ref="H83:I83"/>
    <mergeCell ref="J83:Q83"/>
    <mergeCell ref="C79:F79"/>
    <mergeCell ref="H79:I79"/>
    <mergeCell ref="J79:Q79"/>
    <mergeCell ref="C80:F80"/>
    <mergeCell ref="J80:Q80"/>
    <mergeCell ref="C81:F81"/>
    <mergeCell ref="H81:I81"/>
    <mergeCell ref="J81:Q81"/>
    <mergeCell ref="J76:Q76"/>
    <mergeCell ref="H77:I77"/>
    <mergeCell ref="J77:Q77"/>
    <mergeCell ref="C78:F78"/>
    <mergeCell ref="H78:I78"/>
    <mergeCell ref="J78:Q78"/>
    <mergeCell ref="H80:I80"/>
  </mergeCells>
  <conditionalFormatting sqref="I10">
    <cfRule type="cellIs" dxfId="15" priority="8" stopIfTrue="1" operator="notBetween">
      <formula>0</formula>
      <formula>999999999</formula>
    </cfRule>
  </conditionalFormatting>
  <conditionalFormatting sqref="I12:I17">
    <cfRule type="cellIs" dxfId="14" priority="30" stopIfTrue="1" operator="notBetween">
      <formula>0</formula>
      <formula>999999999</formula>
    </cfRule>
  </conditionalFormatting>
  <conditionalFormatting sqref="I19:J30">
    <cfRule type="cellIs" dxfId="13" priority="23" stopIfTrue="1" operator="notBetween">
      <formula>0</formula>
      <formula>999999999</formula>
    </cfRule>
  </conditionalFormatting>
  <conditionalFormatting sqref="J10:J17">
    <cfRule type="cellIs" dxfId="12" priority="27" stopIfTrue="1" operator="notBetween">
      <formula>0</formula>
      <formula>999999999</formula>
    </cfRule>
  </conditionalFormatting>
  <conditionalFormatting sqref="J32:J45">
    <cfRule type="cellIs" dxfId="11" priority="19" stopIfTrue="1" operator="notBetween">
      <formula>0</formula>
      <formula>999999999</formula>
    </cfRule>
  </conditionalFormatting>
  <conditionalFormatting sqref="J47:J55">
    <cfRule type="cellIs" dxfId="10" priority="14" stopIfTrue="1" operator="notBetween">
      <formula>0</formula>
      <formula>999999999</formula>
    </cfRule>
  </conditionalFormatting>
  <conditionalFormatting sqref="J58:J78">
    <cfRule type="cellIs" dxfId="9" priority="1" stopIfTrue="1" operator="notBetween">
      <formula>0</formula>
      <formula>999999999</formula>
    </cfRule>
  </conditionalFormatting>
  <conditionalFormatting sqref="J80:J86">
    <cfRule type="cellIs" dxfId="8" priority="2" stopIfTrue="1" operator="notBetween">
      <formula>0</formula>
      <formula>999999999</formula>
    </cfRule>
  </conditionalFormatting>
  <pageMargins left="0.7" right="0.7" top="0.78740157499999996" bottom="0.78740157499999996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W557"/>
  <sheetViews>
    <sheetView topLeftCell="A2" zoomScale="80" zoomScaleNormal="80" workbookViewId="0">
      <selection activeCell="J67" sqref="J67:Q67"/>
    </sheetView>
  </sheetViews>
  <sheetFormatPr baseColWidth="10" defaultColWidth="11.42578125" defaultRowHeight="12.75" x14ac:dyDescent="0.2"/>
  <cols>
    <col min="1" max="2" width="3.7109375" style="71" customWidth="1"/>
    <col min="3" max="3" width="58.7109375" style="71" customWidth="1"/>
    <col min="4" max="4" width="14" style="72" customWidth="1"/>
    <col min="5" max="5" width="7.28515625" style="73" customWidth="1"/>
    <col min="6" max="6" width="17.5703125" style="73" customWidth="1"/>
    <col min="7" max="7" width="3.5703125" style="80" customWidth="1"/>
    <col min="8" max="8" width="11.42578125" style="73" customWidth="1"/>
    <col min="9" max="9" width="6.5703125" style="73" customWidth="1"/>
    <col min="10" max="10" width="21.5703125" style="80" customWidth="1"/>
    <col min="11" max="11" width="6.42578125" style="73" customWidth="1"/>
    <col min="12" max="12" width="2.28515625" style="80" customWidth="1"/>
    <col min="13" max="13" width="11.28515625" style="73" customWidth="1"/>
    <col min="14" max="14" width="7.28515625" style="73" customWidth="1"/>
    <col min="15" max="15" width="1.42578125" style="80" customWidth="1"/>
    <col min="16" max="16" width="11.5703125" style="73" customWidth="1"/>
    <col min="17" max="17" width="6.7109375" style="73" customWidth="1"/>
    <col min="18" max="18" width="3.7109375" style="71" customWidth="1"/>
    <col min="19" max="19" width="1.7109375" style="71" customWidth="1"/>
    <col min="20" max="20" width="3.7109375" style="71" customWidth="1"/>
    <col min="21" max="22" width="40.7109375" style="71" customWidth="1"/>
    <col min="23" max="23" width="48.28515625" style="71" customWidth="1"/>
    <col min="24" max="24" width="3.7109375" style="71" customWidth="1"/>
    <col min="25" max="16384" width="11.42578125" style="71"/>
  </cols>
  <sheetData>
    <row r="1" spans="1:23" ht="13.15" hidden="1" customHeight="1" x14ac:dyDescent="0.2">
      <c r="G1" s="73"/>
      <c r="J1" s="73"/>
      <c r="L1" s="73"/>
      <c r="O1" s="73"/>
    </row>
    <row r="2" spans="1:23" x14ac:dyDescent="0.2">
      <c r="A2" s="113"/>
      <c r="B2" s="113"/>
      <c r="C2" s="113"/>
      <c r="D2" s="113"/>
      <c r="E2" s="113"/>
      <c r="F2" s="113"/>
      <c r="G2" s="113"/>
      <c r="H2" s="113"/>
      <c r="I2" s="113"/>
      <c r="J2" s="113"/>
      <c r="K2" s="113"/>
      <c r="L2" s="113"/>
      <c r="M2" s="113"/>
      <c r="N2" s="113"/>
      <c r="O2" s="113"/>
      <c r="P2" s="113"/>
      <c r="Q2" s="113"/>
      <c r="R2" s="113"/>
      <c r="S2" s="113"/>
      <c r="T2" s="113"/>
      <c r="U2" s="74"/>
    </row>
    <row r="3" spans="1:23" ht="13.15" customHeight="1" x14ac:dyDescent="0.2">
      <c r="B3" s="81"/>
      <c r="C3" s="116"/>
      <c r="D3" s="117"/>
      <c r="E3" s="118"/>
      <c r="F3" s="118"/>
      <c r="G3" s="118"/>
      <c r="H3" s="118"/>
      <c r="I3" s="118"/>
      <c r="J3" s="118"/>
      <c r="K3" s="118"/>
      <c r="L3" s="118"/>
      <c r="M3" s="118"/>
      <c r="N3" s="118"/>
      <c r="O3" s="118"/>
      <c r="P3" s="118"/>
      <c r="Q3" s="118"/>
      <c r="R3" s="119"/>
    </row>
    <row r="4" spans="1:23" ht="13.15" customHeight="1" x14ac:dyDescent="0.2">
      <c r="B4" s="82"/>
      <c r="C4" s="266" t="s">
        <v>109</v>
      </c>
      <c r="D4" s="266"/>
      <c r="E4" s="266"/>
      <c r="F4" s="266"/>
      <c r="G4" s="266"/>
      <c r="H4" s="266"/>
      <c r="I4" s="266"/>
      <c r="J4" s="266" t="s">
        <v>119</v>
      </c>
      <c r="K4" s="266"/>
      <c r="L4" s="266"/>
      <c r="M4" s="266"/>
      <c r="N4" s="266"/>
      <c r="O4" s="266"/>
      <c r="P4" s="266"/>
      <c r="Q4" s="266"/>
      <c r="R4" s="131"/>
    </row>
    <row r="5" spans="1:23" s="113" customFormat="1" ht="23.25" customHeight="1" x14ac:dyDescent="0.2">
      <c r="B5" s="82"/>
      <c r="C5" s="135" t="s">
        <v>110</v>
      </c>
      <c r="D5" s="247">
        <v>44562</v>
      </c>
      <c r="E5" s="247"/>
      <c r="F5" s="247"/>
      <c r="G5" s="247"/>
      <c r="H5" s="247"/>
      <c r="I5" s="247"/>
      <c r="J5" s="272" t="s">
        <v>17</v>
      </c>
      <c r="K5" s="272"/>
      <c r="L5" s="273">
        <f>IF('Overview IB'!D11="","",'Overview IB'!D11)</f>
        <v>44562</v>
      </c>
      <c r="M5" s="273"/>
      <c r="N5" s="273"/>
      <c r="O5" s="273"/>
      <c r="P5" s="273"/>
      <c r="Q5" s="273"/>
      <c r="R5" s="115"/>
    </row>
    <row r="6" spans="1:23" s="113" customFormat="1" ht="18.75" customHeight="1" x14ac:dyDescent="0.2">
      <c r="B6" s="82"/>
      <c r="C6" s="135" t="s">
        <v>111</v>
      </c>
      <c r="D6" s="247">
        <v>45291</v>
      </c>
      <c r="E6" s="247"/>
      <c r="F6" s="247"/>
      <c r="G6" s="247"/>
      <c r="H6" s="247"/>
      <c r="I6" s="247"/>
      <c r="J6" s="272" t="s">
        <v>18</v>
      </c>
      <c r="K6" s="272"/>
      <c r="L6" s="273">
        <f>IF('Overview IB'!D12="","",'Overview IB'!D12)</f>
        <v>45291</v>
      </c>
      <c r="M6" s="273"/>
      <c r="N6" s="273"/>
      <c r="O6" s="273"/>
      <c r="P6" s="273"/>
      <c r="Q6" s="273"/>
      <c r="R6" s="115"/>
    </row>
    <row r="7" spans="1:23" s="113" customFormat="1" ht="18.75" customHeight="1" x14ac:dyDescent="0.2">
      <c r="B7" s="82"/>
      <c r="C7" s="136" t="s">
        <v>36</v>
      </c>
      <c r="D7" s="275">
        <f>IF(OR(D5="",L7="befüllt sich automatisch"),0,((D6-D5)/30)/L7)</f>
        <v>1</v>
      </c>
      <c r="E7" s="275"/>
      <c r="F7" s="275"/>
      <c r="G7" s="275"/>
      <c r="H7" s="275"/>
      <c r="I7" s="275"/>
      <c r="J7" s="272" t="s">
        <v>72</v>
      </c>
      <c r="K7" s="272"/>
      <c r="L7" s="274">
        <f>IF(IF(OR(L6="",L5=""),"",(L6-L5)/30)="","befüllt sich automatisch",IF(OR(L6="",L5=""),"",(L6-L5)/30))</f>
        <v>24.3</v>
      </c>
      <c r="M7" s="274"/>
      <c r="N7" s="274"/>
      <c r="O7" s="274"/>
      <c r="P7" s="274"/>
      <c r="Q7" s="274"/>
      <c r="R7" s="115"/>
    </row>
    <row r="8" spans="1:23" x14ac:dyDescent="0.2">
      <c r="A8" s="74"/>
      <c r="B8" s="82"/>
      <c r="C8" s="83"/>
      <c r="D8" s="83"/>
      <c r="E8" s="83"/>
      <c r="F8" s="83"/>
      <c r="G8" s="83"/>
      <c r="H8" s="83"/>
      <c r="I8" s="83"/>
      <c r="J8" s="83"/>
      <c r="K8" s="83"/>
      <c r="L8" s="83"/>
      <c r="M8" s="83"/>
      <c r="N8" s="83"/>
      <c r="O8" s="83"/>
      <c r="P8" s="83"/>
      <c r="Q8" s="83"/>
      <c r="R8" s="84"/>
      <c r="S8" s="74"/>
      <c r="T8" s="74"/>
      <c r="U8" s="74"/>
    </row>
    <row r="9" spans="1:23" s="74" customFormat="1" ht="37.15" customHeight="1" x14ac:dyDescent="0.2">
      <c r="B9" s="82"/>
      <c r="C9" s="104" t="s">
        <v>42</v>
      </c>
      <c r="D9" s="88" t="s">
        <v>86</v>
      </c>
      <c r="E9" s="240"/>
      <c r="F9" s="241"/>
      <c r="G9" s="37"/>
      <c r="H9" s="104" t="s">
        <v>37</v>
      </c>
      <c r="I9" s="39" t="s">
        <v>11</v>
      </c>
      <c r="J9" s="282" t="s">
        <v>74</v>
      </c>
      <c r="K9" s="282"/>
      <c r="L9" s="282"/>
      <c r="M9" s="282"/>
      <c r="N9" s="282"/>
      <c r="O9" s="282"/>
      <c r="P9" s="282"/>
      <c r="Q9" s="282"/>
      <c r="R9" s="85"/>
      <c r="U9" s="75"/>
      <c r="V9" s="75"/>
      <c r="W9" s="75"/>
    </row>
    <row r="10" spans="1:23" s="74" customFormat="1" ht="13.15" customHeight="1" x14ac:dyDescent="0.2">
      <c r="B10" s="82"/>
      <c r="C10" s="89" t="s">
        <v>121</v>
      </c>
      <c r="D10" s="146">
        <f>'Overview IB'!D16</f>
        <v>818</v>
      </c>
      <c r="E10" s="255" t="str">
        <f>IF('Overview IB'!E16 &gt; 0, 'Overview IB'!E16, "")</f>
        <v/>
      </c>
      <c r="F10" s="292"/>
      <c r="G10" s="40"/>
      <c r="H10" s="102">
        <v>1204</v>
      </c>
      <c r="I10" s="134">
        <f>IF(H10=0,0,H10/D10)</f>
        <v>1.4718826405867971</v>
      </c>
      <c r="J10" s="248" t="s">
        <v>151</v>
      </c>
      <c r="K10" s="248"/>
      <c r="L10" s="248"/>
      <c r="M10" s="248"/>
      <c r="N10" s="248"/>
      <c r="O10" s="248"/>
      <c r="P10" s="248"/>
      <c r="Q10" s="248"/>
      <c r="R10" s="85"/>
      <c r="U10" s="75"/>
      <c r="V10" s="75"/>
      <c r="W10" s="75"/>
    </row>
    <row r="11" spans="1:23" s="74" customFormat="1" ht="28.9" customHeight="1" x14ac:dyDescent="0.2">
      <c r="B11" s="82"/>
      <c r="C11" s="8" t="s">
        <v>87</v>
      </c>
      <c r="D11" s="88" t="s">
        <v>86</v>
      </c>
      <c r="E11" s="195" t="s">
        <v>91</v>
      </c>
      <c r="F11" s="194"/>
      <c r="G11" s="37"/>
      <c r="H11" s="38"/>
      <c r="I11" s="39"/>
      <c r="J11" s="299"/>
      <c r="K11" s="299"/>
      <c r="L11" s="299"/>
      <c r="M11" s="299"/>
      <c r="N11" s="299"/>
      <c r="O11" s="299"/>
      <c r="P11" s="299"/>
      <c r="Q11" s="299"/>
      <c r="R11" s="85"/>
      <c r="U11" s="75"/>
      <c r="V11" s="75"/>
      <c r="W11" s="75"/>
    </row>
    <row r="12" spans="1:23" ht="15" x14ac:dyDescent="0.2">
      <c r="B12" s="36"/>
      <c r="C12" s="90" t="s">
        <v>67</v>
      </c>
      <c r="D12" s="146">
        <f>'Overview IB'!D18</f>
        <v>38</v>
      </c>
      <c r="E12" s="252" t="str">
        <f>IF('Overview IB'!E18 &gt; 0, 'Overview IB'!E18, "")</f>
        <v>Elterninfo parallel zum TRT Programm</v>
      </c>
      <c r="F12" s="289"/>
      <c r="G12" s="40"/>
      <c r="H12" s="102">
        <v>45</v>
      </c>
      <c r="I12" s="166">
        <f>IF(H12=0,0,H12/D12)</f>
        <v>1.1842105263157894</v>
      </c>
      <c r="J12" s="248" t="s">
        <v>170</v>
      </c>
      <c r="K12" s="248"/>
      <c r="L12" s="248"/>
      <c r="M12" s="248"/>
      <c r="N12" s="248"/>
      <c r="O12" s="248"/>
      <c r="P12" s="248"/>
      <c r="Q12" s="248"/>
      <c r="R12" s="86"/>
      <c r="U12" s="105"/>
      <c r="V12" s="105"/>
      <c r="W12" s="105"/>
    </row>
    <row r="13" spans="1:23" ht="20.65" customHeight="1" x14ac:dyDescent="0.2">
      <c r="B13" s="36"/>
      <c r="C13" s="91" t="s">
        <v>122</v>
      </c>
      <c r="D13" s="146">
        <f>'Overview IB'!D19</f>
        <v>190</v>
      </c>
      <c r="E13" s="253"/>
      <c r="F13" s="291"/>
      <c r="G13" s="40"/>
      <c r="H13" s="102">
        <v>233</v>
      </c>
      <c r="I13" s="167">
        <f t="shared" ref="I13:I17" si="0">IF(H13=0,0,H13/D13)</f>
        <v>1.2263157894736842</v>
      </c>
      <c r="J13" s="248" t="s">
        <v>161</v>
      </c>
      <c r="K13" s="248"/>
      <c r="L13" s="248"/>
      <c r="M13" s="248"/>
      <c r="N13" s="248"/>
      <c r="O13" s="248"/>
      <c r="P13" s="248"/>
      <c r="Q13" s="248"/>
      <c r="R13" s="86"/>
      <c r="U13" s="105"/>
      <c r="V13" s="105"/>
      <c r="W13" s="105"/>
    </row>
    <row r="14" spans="1:23" ht="15" x14ac:dyDescent="0.2">
      <c r="B14" s="36"/>
      <c r="C14" s="90" t="s">
        <v>68</v>
      </c>
      <c r="D14" s="146">
        <f>'Overview IB'!D20</f>
        <v>10</v>
      </c>
      <c r="E14" s="252" t="str">
        <f>IF('Overview IB'!E20 &gt; 0, 'Overview IB'!E20, "")</f>
        <v>a) Traumapädagogische Seminare für Lehrkräfte
b) Aus- und Fortbildung von mutterprachlichen TRT TrainerInnen</v>
      </c>
      <c r="F14" s="289"/>
      <c r="G14" s="40"/>
      <c r="H14" s="102">
        <v>23</v>
      </c>
      <c r="I14" s="166">
        <f t="shared" si="0"/>
        <v>2.2999999999999998</v>
      </c>
      <c r="J14" s="248" t="s">
        <v>156</v>
      </c>
      <c r="K14" s="248"/>
      <c r="L14" s="248"/>
      <c r="M14" s="248"/>
      <c r="N14" s="248"/>
      <c r="O14" s="248"/>
      <c r="P14" s="248"/>
      <c r="Q14" s="248"/>
      <c r="R14" s="86"/>
      <c r="U14" s="105"/>
      <c r="V14" s="105"/>
      <c r="W14" s="105"/>
    </row>
    <row r="15" spans="1:23" ht="15" x14ac:dyDescent="0.2">
      <c r="B15" s="36"/>
      <c r="C15" s="92" t="s">
        <v>65</v>
      </c>
      <c r="D15" s="146">
        <f>'Overview IB'!D21</f>
        <v>0</v>
      </c>
      <c r="E15" s="253"/>
      <c r="F15" s="290"/>
      <c r="G15" s="40"/>
      <c r="H15" s="102"/>
      <c r="I15" s="167">
        <f t="shared" si="0"/>
        <v>0</v>
      </c>
      <c r="J15" s="248"/>
      <c r="K15" s="248"/>
      <c r="L15" s="248"/>
      <c r="M15" s="248"/>
      <c r="N15" s="248"/>
      <c r="O15" s="248"/>
      <c r="P15" s="248"/>
      <c r="Q15" s="248"/>
      <c r="R15" s="86"/>
      <c r="U15" s="105"/>
      <c r="V15" s="105"/>
      <c r="W15" s="105"/>
    </row>
    <row r="16" spans="1:23" ht="15" x14ac:dyDescent="0.2">
      <c r="B16" s="36"/>
      <c r="C16" s="92" t="s">
        <v>66</v>
      </c>
      <c r="D16" s="146">
        <f>'Overview IB'!D22</f>
        <v>162</v>
      </c>
      <c r="E16" s="253"/>
      <c r="F16" s="290"/>
      <c r="G16" s="40"/>
      <c r="H16" s="102">
        <v>292</v>
      </c>
      <c r="I16" s="167">
        <f t="shared" si="0"/>
        <v>1.8024691358024691</v>
      </c>
      <c r="J16" s="248" t="s">
        <v>157</v>
      </c>
      <c r="K16" s="248"/>
      <c r="L16" s="248"/>
      <c r="M16" s="248"/>
      <c r="N16" s="248"/>
      <c r="O16" s="248"/>
      <c r="P16" s="248"/>
      <c r="Q16" s="248"/>
      <c r="R16" s="86"/>
      <c r="U16" s="105"/>
      <c r="V16" s="105"/>
      <c r="W16" s="105"/>
    </row>
    <row r="17" spans="2:23" ht="15" x14ac:dyDescent="0.2">
      <c r="B17" s="36"/>
      <c r="C17" s="92" t="s">
        <v>70</v>
      </c>
      <c r="D17" s="146">
        <f>'Overview IB'!D23</f>
        <v>60</v>
      </c>
      <c r="E17" s="254"/>
      <c r="F17" s="291"/>
      <c r="G17" s="40"/>
      <c r="H17" s="102">
        <v>299</v>
      </c>
      <c r="I17" s="167">
        <f t="shared" si="0"/>
        <v>4.9833333333333334</v>
      </c>
      <c r="J17" s="248" t="s">
        <v>158</v>
      </c>
      <c r="K17" s="248"/>
      <c r="L17" s="248"/>
      <c r="M17" s="248"/>
      <c r="N17" s="248"/>
      <c r="O17" s="248"/>
      <c r="P17" s="248"/>
      <c r="Q17" s="248"/>
      <c r="R17" s="86"/>
      <c r="U17" s="277"/>
      <c r="V17" s="277"/>
      <c r="W17" s="277"/>
    </row>
    <row r="18" spans="2:23" ht="26.1" customHeight="1" x14ac:dyDescent="0.2">
      <c r="B18" s="36"/>
      <c r="C18" s="8" t="s">
        <v>55</v>
      </c>
      <c r="D18" s="88" t="s">
        <v>86</v>
      </c>
      <c r="E18" s="195" t="s">
        <v>91</v>
      </c>
      <c r="F18" s="194"/>
      <c r="G18" s="42"/>
      <c r="H18" s="104" t="s">
        <v>37</v>
      </c>
      <c r="I18" s="109" t="s">
        <v>11</v>
      </c>
      <c r="J18" s="282" t="s">
        <v>74</v>
      </c>
      <c r="K18" s="282"/>
      <c r="L18" s="282"/>
      <c r="M18" s="282"/>
      <c r="N18" s="282"/>
      <c r="O18" s="282"/>
      <c r="P18" s="282"/>
      <c r="Q18" s="282"/>
      <c r="R18" s="86"/>
      <c r="U18" s="281"/>
      <c r="V18" s="281"/>
      <c r="W18" s="281"/>
    </row>
    <row r="19" spans="2:23" ht="15" x14ac:dyDescent="0.2">
      <c r="B19" s="36"/>
      <c r="C19" s="90" t="s">
        <v>83</v>
      </c>
      <c r="D19" s="146">
        <f>'Overview IB'!D25</f>
        <v>100</v>
      </c>
      <c r="E19" s="252" t="str">
        <f>IF('Overview IB'!E25 &gt; 0, 'Overview IB'!E25, "")</f>
        <v>Begleitgespräche zum Traumaprogramm</v>
      </c>
      <c r="F19" s="289"/>
      <c r="G19" s="43"/>
      <c r="H19" s="165">
        <v>80</v>
      </c>
      <c r="I19" s="166">
        <f>IF(H19=0,0,H19/D19)</f>
        <v>0.8</v>
      </c>
      <c r="J19" s="248"/>
      <c r="K19" s="248"/>
      <c r="L19" s="248"/>
      <c r="M19" s="248"/>
      <c r="N19" s="248"/>
      <c r="O19" s="248"/>
      <c r="P19" s="248"/>
      <c r="Q19" s="248"/>
      <c r="R19" s="86"/>
      <c r="U19" s="108"/>
      <c r="V19" s="108"/>
      <c r="W19" s="108"/>
    </row>
    <row r="20" spans="2:23" ht="30" x14ac:dyDescent="0.2">
      <c r="B20" s="36"/>
      <c r="C20" s="91" t="s">
        <v>57</v>
      </c>
      <c r="D20" s="146">
        <f>'Overview IB'!D26</f>
        <v>50</v>
      </c>
      <c r="E20" s="253"/>
      <c r="F20" s="290"/>
      <c r="G20" s="43"/>
      <c r="H20" s="165">
        <v>54</v>
      </c>
      <c r="I20" s="167">
        <f t="shared" ref="I20:I30" si="1">IF(H20=0,0,H20/D20)</f>
        <v>1.08</v>
      </c>
      <c r="J20" s="248"/>
      <c r="K20" s="248"/>
      <c r="L20" s="248"/>
      <c r="M20" s="248"/>
      <c r="N20" s="248"/>
      <c r="O20" s="248"/>
      <c r="P20" s="248"/>
      <c r="Q20" s="248"/>
      <c r="R20" s="86"/>
      <c r="U20" s="281"/>
      <c r="V20" s="281"/>
      <c r="W20" s="281"/>
    </row>
    <row r="21" spans="2:23" ht="15" x14ac:dyDescent="0.2">
      <c r="B21" s="36"/>
      <c r="C21" s="92" t="s">
        <v>71</v>
      </c>
      <c r="D21" s="146">
        <f>'Overview IB'!D27</f>
        <v>100</v>
      </c>
      <c r="E21" s="253"/>
      <c r="F21" s="290"/>
      <c r="G21" s="43"/>
      <c r="H21" s="165">
        <v>54</v>
      </c>
      <c r="I21" s="167">
        <f t="shared" si="1"/>
        <v>0.54</v>
      </c>
      <c r="J21" s="248"/>
      <c r="K21" s="248"/>
      <c r="L21" s="248"/>
      <c r="M21" s="248"/>
      <c r="N21" s="248"/>
      <c r="O21" s="248"/>
      <c r="P21" s="248"/>
      <c r="Q21" s="248"/>
      <c r="R21" s="86"/>
      <c r="U21" s="281"/>
      <c r="V21" s="281"/>
      <c r="W21" s="281"/>
    </row>
    <row r="22" spans="2:23" ht="30" x14ac:dyDescent="0.2">
      <c r="B22" s="36"/>
      <c r="C22" s="90" t="s">
        <v>84</v>
      </c>
      <c r="D22" s="146">
        <f>'Overview IB'!D28</f>
        <v>60</v>
      </c>
      <c r="E22" s="253"/>
      <c r="F22" s="290"/>
      <c r="G22" s="43"/>
      <c r="H22" s="165">
        <v>70</v>
      </c>
      <c r="I22" s="166">
        <f t="shared" si="1"/>
        <v>1.1666666666666667</v>
      </c>
      <c r="J22" s="248" t="s">
        <v>159</v>
      </c>
      <c r="K22" s="248"/>
      <c r="L22" s="248"/>
      <c r="M22" s="248"/>
      <c r="N22" s="248"/>
      <c r="O22" s="248"/>
      <c r="P22" s="248"/>
      <c r="Q22" s="248"/>
      <c r="R22" s="86"/>
      <c r="U22" s="281"/>
      <c r="V22" s="281"/>
      <c r="W22" s="281"/>
    </row>
    <row r="23" spans="2:23" ht="30" x14ac:dyDescent="0.2">
      <c r="B23" s="36"/>
      <c r="C23" s="92" t="s">
        <v>58</v>
      </c>
      <c r="D23" s="146">
        <f>'Overview IB'!D29</f>
        <v>426</v>
      </c>
      <c r="E23" s="253"/>
      <c r="F23" s="290"/>
      <c r="G23" s="43"/>
      <c r="H23" s="165">
        <v>617</v>
      </c>
      <c r="I23" s="167">
        <f t="shared" si="1"/>
        <v>1.448356807511737</v>
      </c>
      <c r="J23" s="248" t="s">
        <v>152</v>
      </c>
      <c r="K23" s="248"/>
      <c r="L23" s="248"/>
      <c r="M23" s="248"/>
      <c r="N23" s="248"/>
      <c r="O23" s="248"/>
      <c r="P23" s="248"/>
      <c r="Q23" s="248"/>
      <c r="R23" s="86"/>
      <c r="U23" s="281"/>
      <c r="V23" s="281"/>
      <c r="W23" s="281"/>
    </row>
    <row r="24" spans="2:23" ht="15" x14ac:dyDescent="0.2">
      <c r="B24" s="36"/>
      <c r="C24" s="92" t="s">
        <v>56</v>
      </c>
      <c r="D24" s="146">
        <f>'Overview IB'!D30</f>
        <v>960</v>
      </c>
      <c r="E24" s="254"/>
      <c r="F24" s="291"/>
      <c r="G24" s="40"/>
      <c r="H24" s="102">
        <v>1280</v>
      </c>
      <c r="I24" s="167">
        <f t="shared" si="1"/>
        <v>1.3333333333333333</v>
      </c>
      <c r="J24" s="248" t="s">
        <v>153</v>
      </c>
      <c r="K24" s="248"/>
      <c r="L24" s="248"/>
      <c r="M24" s="248"/>
      <c r="N24" s="248"/>
      <c r="O24" s="248"/>
      <c r="P24" s="248"/>
      <c r="Q24" s="248"/>
      <c r="R24" s="86"/>
      <c r="U24" s="281"/>
      <c r="V24" s="281"/>
      <c r="W24" s="281"/>
    </row>
    <row r="25" spans="2:23" ht="17.649999999999999" customHeight="1" x14ac:dyDescent="0.2">
      <c r="B25" s="36"/>
      <c r="C25" s="90" t="s">
        <v>59</v>
      </c>
      <c r="D25" s="146">
        <f>'Overview IB'!D31</f>
        <v>10</v>
      </c>
      <c r="E25" s="267" t="str">
        <f>IF('Overview IB'!E31 &gt; 0, 'Overview IB'!E31, "")</f>
        <v>TRT Family</v>
      </c>
      <c r="F25" s="293"/>
      <c r="G25" s="43"/>
      <c r="H25" s="165">
        <v>8</v>
      </c>
      <c r="I25" s="166">
        <f t="shared" si="1"/>
        <v>0.8</v>
      </c>
      <c r="J25" s="248"/>
      <c r="K25" s="248"/>
      <c r="L25" s="248"/>
      <c r="M25" s="248"/>
      <c r="N25" s="248"/>
      <c r="O25" s="248"/>
      <c r="P25" s="248"/>
      <c r="Q25" s="248"/>
      <c r="R25" s="86"/>
      <c r="U25" s="281"/>
      <c r="V25" s="281"/>
      <c r="W25" s="281"/>
    </row>
    <row r="26" spans="2:23" ht="15" x14ac:dyDescent="0.2">
      <c r="B26" s="36"/>
      <c r="C26" s="91" t="s">
        <v>61</v>
      </c>
      <c r="D26" s="146">
        <f>'Overview IB'!D32</f>
        <v>30</v>
      </c>
      <c r="E26" s="268"/>
      <c r="F26" s="294"/>
      <c r="G26" s="40"/>
      <c r="H26" s="102">
        <v>62</v>
      </c>
      <c r="I26" s="167">
        <f t="shared" si="1"/>
        <v>2.0666666666666669</v>
      </c>
      <c r="J26" s="248"/>
      <c r="K26" s="248"/>
      <c r="L26" s="248"/>
      <c r="M26" s="248"/>
      <c r="N26" s="248"/>
      <c r="O26" s="248"/>
      <c r="P26" s="248"/>
      <c r="Q26" s="248"/>
      <c r="R26" s="86"/>
      <c r="U26" s="281"/>
      <c r="V26" s="281"/>
      <c r="W26" s="281"/>
    </row>
    <row r="27" spans="2:23" ht="15" x14ac:dyDescent="0.2">
      <c r="B27" s="36"/>
      <c r="C27" s="91" t="s">
        <v>60</v>
      </c>
      <c r="D27" s="146">
        <f>'Overview IB'!D33</f>
        <v>120</v>
      </c>
      <c r="E27" s="268"/>
      <c r="F27" s="294"/>
      <c r="G27" s="43"/>
      <c r="H27" s="165">
        <v>263</v>
      </c>
      <c r="I27" s="167">
        <f t="shared" si="1"/>
        <v>2.1916666666666669</v>
      </c>
      <c r="J27" s="248" t="s">
        <v>154</v>
      </c>
      <c r="K27" s="248"/>
      <c r="L27" s="248"/>
      <c r="M27" s="248"/>
      <c r="N27" s="248"/>
      <c r="O27" s="248"/>
      <c r="P27" s="248"/>
      <c r="Q27" s="248"/>
      <c r="R27" s="86"/>
      <c r="U27" s="281"/>
      <c r="V27" s="281"/>
      <c r="W27" s="281"/>
    </row>
    <row r="28" spans="2:23" ht="15" x14ac:dyDescent="0.2">
      <c r="B28" s="36"/>
      <c r="C28" s="93" t="s">
        <v>14</v>
      </c>
      <c r="D28" s="146">
        <f>'Overview IB'!D34</f>
        <v>48</v>
      </c>
      <c r="E28" s="268"/>
      <c r="F28" s="294"/>
      <c r="G28" s="43"/>
      <c r="H28" s="165">
        <v>105</v>
      </c>
      <c r="I28" s="167">
        <f t="shared" si="1"/>
        <v>2.1875</v>
      </c>
      <c r="J28" s="248" t="s">
        <v>160</v>
      </c>
      <c r="K28" s="248"/>
      <c r="L28" s="248"/>
      <c r="M28" s="248"/>
      <c r="N28" s="248"/>
      <c r="O28" s="248"/>
      <c r="P28" s="248"/>
      <c r="Q28" s="248"/>
      <c r="R28" s="86"/>
      <c r="U28" s="281"/>
      <c r="V28" s="281"/>
      <c r="W28" s="281"/>
    </row>
    <row r="29" spans="2:23" ht="15" x14ac:dyDescent="0.2">
      <c r="B29" s="36"/>
      <c r="C29" s="92" t="s">
        <v>75</v>
      </c>
      <c r="D29" s="146">
        <f>'Overview IB'!D35</f>
        <v>6</v>
      </c>
      <c r="E29" s="268"/>
      <c r="F29" s="294"/>
      <c r="G29" s="40"/>
      <c r="H29" s="102">
        <v>14</v>
      </c>
      <c r="I29" s="167">
        <f t="shared" si="1"/>
        <v>2.3333333333333335</v>
      </c>
      <c r="J29" s="248"/>
      <c r="K29" s="248"/>
      <c r="L29" s="248"/>
      <c r="M29" s="248"/>
      <c r="N29" s="248"/>
      <c r="O29" s="248"/>
      <c r="P29" s="248"/>
      <c r="Q29" s="248"/>
      <c r="R29" s="86"/>
      <c r="U29" s="281"/>
      <c r="V29" s="281"/>
      <c r="W29" s="281"/>
    </row>
    <row r="30" spans="2:23" ht="15" x14ac:dyDescent="0.2">
      <c r="B30" s="36"/>
      <c r="C30" s="92" t="s">
        <v>76</v>
      </c>
      <c r="D30" s="146">
        <f>'Overview IB'!D36</f>
        <v>0</v>
      </c>
      <c r="E30" s="269"/>
      <c r="F30" s="295"/>
      <c r="G30" s="43"/>
      <c r="H30" s="165">
        <v>0</v>
      </c>
      <c r="I30" s="167">
        <f t="shared" si="1"/>
        <v>0</v>
      </c>
      <c r="J30" s="248"/>
      <c r="K30" s="248"/>
      <c r="L30" s="248"/>
      <c r="M30" s="248"/>
      <c r="N30" s="248"/>
      <c r="O30" s="248"/>
      <c r="P30" s="248"/>
      <c r="Q30" s="248"/>
      <c r="R30" s="86"/>
      <c r="U30" s="281"/>
      <c r="V30" s="281"/>
      <c r="W30" s="281"/>
    </row>
    <row r="31" spans="2:23" ht="26.1" customHeight="1" x14ac:dyDescent="0.2">
      <c r="B31" s="36"/>
      <c r="C31" s="8" t="s">
        <v>62</v>
      </c>
      <c r="D31" s="88" t="s">
        <v>86</v>
      </c>
      <c r="E31" s="195" t="s">
        <v>91</v>
      </c>
      <c r="F31" s="194"/>
      <c r="G31" s="42"/>
      <c r="H31" s="104" t="s">
        <v>37</v>
      </c>
      <c r="I31" s="109" t="s">
        <v>11</v>
      </c>
      <c r="J31" s="282" t="s">
        <v>74</v>
      </c>
      <c r="K31" s="282"/>
      <c r="L31" s="282"/>
      <c r="M31" s="282"/>
      <c r="N31" s="282"/>
      <c r="O31" s="282"/>
      <c r="P31" s="282"/>
      <c r="Q31" s="282"/>
      <c r="R31" s="86"/>
      <c r="U31" s="283"/>
      <c r="V31" s="283"/>
      <c r="W31" s="283"/>
    </row>
    <row r="32" spans="2:23" ht="13.15" customHeight="1" x14ac:dyDescent="0.2">
      <c r="B32" s="36"/>
      <c r="C32" s="90" t="s">
        <v>79</v>
      </c>
      <c r="D32" s="146">
        <f>'Overview IB'!D38</f>
        <v>0</v>
      </c>
      <c r="E32" s="252" t="str">
        <f>IF('Overview IB'!E38 &gt; 0, 'Overview IB'!E38, "")</f>
        <v/>
      </c>
      <c r="F32" s="289"/>
      <c r="G32" s="44"/>
      <c r="H32" s="45">
        <f>SUM(H33:H37)</f>
        <v>0</v>
      </c>
      <c r="I32" s="46">
        <f>IF(H32=0,0,H32/D32)</f>
        <v>0</v>
      </c>
      <c r="J32" s="248"/>
      <c r="K32" s="248"/>
      <c r="L32" s="248"/>
      <c r="M32" s="248"/>
      <c r="N32" s="248"/>
      <c r="O32" s="248"/>
      <c r="P32" s="248"/>
      <c r="Q32" s="248"/>
      <c r="R32" s="86"/>
      <c r="U32" s="277"/>
      <c r="V32" s="277"/>
      <c r="W32" s="277"/>
    </row>
    <row r="33" spans="2:23" ht="15" x14ac:dyDescent="0.2">
      <c r="B33" s="36"/>
      <c r="C33" s="92" t="s">
        <v>47</v>
      </c>
      <c r="D33" s="146">
        <f>'Overview IB'!D39</f>
        <v>0</v>
      </c>
      <c r="E33" s="253"/>
      <c r="F33" s="290"/>
      <c r="G33" s="44"/>
      <c r="H33" s="111"/>
      <c r="I33" s="48">
        <f t="shared" ref="I33:I45" si="2">IF(H33=0,0,H33/D33)</f>
        <v>0</v>
      </c>
      <c r="J33" s="248"/>
      <c r="K33" s="248"/>
      <c r="L33" s="248"/>
      <c r="M33" s="248"/>
      <c r="N33" s="248"/>
      <c r="O33" s="248"/>
      <c r="P33" s="248"/>
      <c r="Q33" s="248"/>
      <c r="R33" s="86"/>
      <c r="U33" s="277"/>
      <c r="V33" s="277"/>
      <c r="W33" s="277"/>
    </row>
    <row r="34" spans="2:23" ht="15" x14ac:dyDescent="0.2">
      <c r="B34" s="36"/>
      <c r="C34" s="92" t="s">
        <v>48</v>
      </c>
      <c r="D34" s="146">
        <f>'Overview IB'!D40</f>
        <v>0</v>
      </c>
      <c r="E34" s="253"/>
      <c r="F34" s="290"/>
      <c r="G34" s="41"/>
      <c r="H34" s="47"/>
      <c r="I34" s="48">
        <f t="shared" si="2"/>
        <v>0</v>
      </c>
      <c r="J34" s="248"/>
      <c r="K34" s="248"/>
      <c r="L34" s="248"/>
      <c r="M34" s="248"/>
      <c r="N34" s="248"/>
      <c r="O34" s="248"/>
      <c r="P34" s="248"/>
      <c r="Q34" s="248"/>
      <c r="R34" s="86"/>
      <c r="U34" s="277"/>
      <c r="V34" s="277"/>
      <c r="W34" s="277"/>
    </row>
    <row r="35" spans="2:23" ht="15" x14ac:dyDescent="0.2">
      <c r="B35" s="36"/>
      <c r="C35" s="92" t="s">
        <v>49</v>
      </c>
      <c r="D35" s="146">
        <f>'Overview IB'!D41</f>
        <v>0</v>
      </c>
      <c r="E35" s="253"/>
      <c r="F35" s="290"/>
      <c r="G35" s="41"/>
      <c r="H35" s="47"/>
      <c r="I35" s="48">
        <f t="shared" si="2"/>
        <v>0</v>
      </c>
      <c r="J35" s="248"/>
      <c r="K35" s="248"/>
      <c r="L35" s="248"/>
      <c r="M35" s="248"/>
      <c r="N35" s="248"/>
      <c r="O35" s="248"/>
      <c r="P35" s="248"/>
      <c r="Q35" s="248"/>
      <c r="R35" s="86"/>
      <c r="U35" s="277"/>
      <c r="V35" s="277"/>
      <c r="W35" s="277"/>
    </row>
    <row r="36" spans="2:23" ht="15" x14ac:dyDescent="0.2">
      <c r="B36" s="36"/>
      <c r="C36" s="92" t="s">
        <v>50</v>
      </c>
      <c r="D36" s="146">
        <f>'Overview IB'!D42</f>
        <v>0</v>
      </c>
      <c r="E36" s="253"/>
      <c r="F36" s="290"/>
      <c r="G36" s="41"/>
      <c r="H36" s="47"/>
      <c r="I36" s="48">
        <f t="shared" si="2"/>
        <v>0</v>
      </c>
      <c r="J36" s="248"/>
      <c r="K36" s="248"/>
      <c r="L36" s="248"/>
      <c r="M36" s="248"/>
      <c r="N36" s="248"/>
      <c r="O36" s="248"/>
      <c r="P36" s="248"/>
      <c r="Q36" s="248"/>
      <c r="R36" s="86"/>
      <c r="U36" s="277"/>
      <c r="V36" s="277"/>
      <c r="W36" s="277"/>
    </row>
    <row r="37" spans="2:23" ht="15" x14ac:dyDescent="0.2">
      <c r="B37" s="36"/>
      <c r="C37" s="92" t="s">
        <v>51</v>
      </c>
      <c r="D37" s="146">
        <f>'Overview IB'!D43</f>
        <v>0</v>
      </c>
      <c r="E37" s="253"/>
      <c r="F37" s="290"/>
      <c r="G37" s="41"/>
      <c r="H37" s="47"/>
      <c r="I37" s="48">
        <f t="shared" si="2"/>
        <v>0</v>
      </c>
      <c r="J37" s="248"/>
      <c r="K37" s="248"/>
      <c r="L37" s="248"/>
      <c r="M37" s="248"/>
      <c r="N37" s="248"/>
      <c r="O37" s="248"/>
      <c r="P37" s="248"/>
      <c r="Q37" s="248"/>
      <c r="R37" s="86"/>
      <c r="U37" s="277"/>
      <c r="V37" s="277"/>
      <c r="W37" s="277"/>
    </row>
    <row r="38" spans="2:23" ht="15" x14ac:dyDescent="0.2">
      <c r="B38" s="36"/>
      <c r="C38" s="90" t="s">
        <v>80</v>
      </c>
      <c r="D38" s="146">
        <f>'Overview IB'!D44</f>
        <v>0</v>
      </c>
      <c r="E38" s="253"/>
      <c r="F38" s="290"/>
      <c r="G38" s="41"/>
      <c r="H38" s="47"/>
      <c r="I38" s="46">
        <f t="shared" si="2"/>
        <v>0</v>
      </c>
      <c r="J38" s="248"/>
      <c r="K38" s="248"/>
      <c r="L38" s="248"/>
      <c r="M38" s="248"/>
      <c r="N38" s="248"/>
      <c r="O38" s="248"/>
      <c r="P38" s="248"/>
      <c r="Q38" s="248"/>
      <c r="R38" s="86"/>
      <c r="U38" s="277"/>
      <c r="V38" s="277"/>
      <c r="W38" s="277"/>
    </row>
    <row r="39" spans="2:23" ht="15" x14ac:dyDescent="0.2">
      <c r="B39" s="36"/>
      <c r="C39" s="90" t="s">
        <v>81</v>
      </c>
      <c r="D39" s="146">
        <f>'Overview IB'!D45</f>
        <v>0</v>
      </c>
      <c r="E39" s="253"/>
      <c r="F39" s="290"/>
      <c r="G39" s="41"/>
      <c r="H39" s="47"/>
      <c r="I39" s="46">
        <f t="shared" si="2"/>
        <v>0</v>
      </c>
      <c r="J39" s="248"/>
      <c r="K39" s="248"/>
      <c r="L39" s="248"/>
      <c r="M39" s="248"/>
      <c r="N39" s="248"/>
      <c r="O39" s="248"/>
      <c r="P39" s="248"/>
      <c r="Q39" s="248"/>
      <c r="R39" s="86"/>
      <c r="U39" s="277"/>
      <c r="V39" s="277"/>
      <c r="W39" s="277"/>
    </row>
    <row r="40" spans="2:23" ht="15" x14ac:dyDescent="0.2">
      <c r="B40" s="36"/>
      <c r="C40" s="90" t="s">
        <v>30</v>
      </c>
      <c r="D40" s="146">
        <f>'Overview IB'!D46</f>
        <v>0</v>
      </c>
      <c r="E40" s="253"/>
      <c r="F40" s="290"/>
      <c r="G40" s="41"/>
      <c r="H40" s="47"/>
      <c r="I40" s="46">
        <f t="shared" si="2"/>
        <v>0</v>
      </c>
      <c r="J40" s="248"/>
      <c r="K40" s="248"/>
      <c r="L40" s="248"/>
      <c r="M40" s="248"/>
      <c r="N40" s="248"/>
      <c r="O40" s="248"/>
      <c r="P40" s="248"/>
      <c r="Q40" s="248"/>
      <c r="R40" s="86"/>
      <c r="U40" s="277"/>
      <c r="V40" s="277"/>
      <c r="W40" s="277"/>
    </row>
    <row r="41" spans="2:23" ht="30" x14ac:dyDescent="0.2">
      <c r="B41" s="36"/>
      <c r="C41" s="90" t="s">
        <v>126</v>
      </c>
      <c r="D41" s="146">
        <f>'Overview IB'!D47</f>
        <v>0</v>
      </c>
      <c r="E41" s="253"/>
      <c r="F41" s="290"/>
      <c r="G41" s="41"/>
      <c r="H41" s="47"/>
      <c r="I41" s="46">
        <f t="shared" si="2"/>
        <v>0</v>
      </c>
      <c r="J41" s="248"/>
      <c r="K41" s="248"/>
      <c r="L41" s="248"/>
      <c r="M41" s="248"/>
      <c r="N41" s="248"/>
      <c r="O41" s="248"/>
      <c r="P41" s="248"/>
      <c r="Q41" s="248"/>
      <c r="R41" s="86"/>
      <c r="U41" s="277"/>
      <c r="V41" s="277"/>
      <c r="W41" s="277"/>
    </row>
    <row r="42" spans="2:23" ht="30" x14ac:dyDescent="0.2">
      <c r="B42" s="36"/>
      <c r="C42" s="92" t="s">
        <v>52</v>
      </c>
      <c r="D42" s="146">
        <f>'Overview IB'!D48</f>
        <v>0</v>
      </c>
      <c r="E42" s="253"/>
      <c r="F42" s="290"/>
      <c r="G42" s="41"/>
      <c r="H42" s="47"/>
      <c r="I42" s="48">
        <f t="shared" si="2"/>
        <v>0</v>
      </c>
      <c r="J42" s="248"/>
      <c r="K42" s="248"/>
      <c r="L42" s="248"/>
      <c r="M42" s="248"/>
      <c r="N42" s="248"/>
      <c r="O42" s="248"/>
      <c r="P42" s="248"/>
      <c r="Q42" s="248"/>
      <c r="R42" s="86"/>
      <c r="U42" s="277"/>
      <c r="V42" s="277"/>
      <c r="W42" s="277"/>
    </row>
    <row r="43" spans="2:23" ht="15" x14ac:dyDescent="0.2">
      <c r="B43" s="36"/>
      <c r="C43" s="92" t="s">
        <v>69</v>
      </c>
      <c r="D43" s="146">
        <f>'Overview IB'!D49</f>
        <v>0</v>
      </c>
      <c r="E43" s="254"/>
      <c r="F43" s="291"/>
      <c r="G43" s="41"/>
      <c r="H43" s="47"/>
      <c r="I43" s="48">
        <f t="shared" si="2"/>
        <v>0</v>
      </c>
      <c r="J43" s="248"/>
      <c r="K43" s="248"/>
      <c r="L43" s="248"/>
      <c r="M43" s="248"/>
      <c r="N43" s="248"/>
      <c r="O43" s="248"/>
      <c r="P43" s="248"/>
      <c r="Q43" s="248"/>
      <c r="R43" s="86"/>
      <c r="U43" s="277"/>
      <c r="V43" s="277"/>
      <c r="W43" s="277"/>
    </row>
    <row r="44" spans="2:23" ht="15" x14ac:dyDescent="0.2">
      <c r="B44" s="36"/>
      <c r="C44" s="90" t="s">
        <v>53</v>
      </c>
      <c r="D44" s="146">
        <f>'Overview IB'!D50</f>
        <v>0</v>
      </c>
      <c r="E44" s="252" t="str">
        <f>IF('Overview IB'!E50 &gt; 0, 'Overview IB'!E50, "")</f>
        <v/>
      </c>
      <c r="F44" s="289"/>
      <c r="G44" s="41"/>
      <c r="H44" s="47"/>
      <c r="I44" s="46">
        <f t="shared" si="2"/>
        <v>0</v>
      </c>
      <c r="J44" s="248"/>
      <c r="K44" s="248"/>
      <c r="L44" s="248"/>
      <c r="M44" s="248"/>
      <c r="N44" s="248"/>
      <c r="O44" s="248"/>
      <c r="P44" s="248"/>
      <c r="Q44" s="248"/>
      <c r="R44" s="86"/>
      <c r="U44" s="105"/>
      <c r="V44" s="105"/>
      <c r="W44" s="105"/>
    </row>
    <row r="45" spans="2:23" ht="17.649999999999999" customHeight="1" x14ac:dyDescent="0.2">
      <c r="B45" s="36"/>
      <c r="C45" s="92" t="s">
        <v>97</v>
      </c>
      <c r="D45" s="146">
        <f>'Overview IB'!D51</f>
        <v>0</v>
      </c>
      <c r="E45" s="253"/>
      <c r="F45" s="291"/>
      <c r="G45" s="41"/>
      <c r="H45" s="47"/>
      <c r="I45" s="48">
        <f t="shared" si="2"/>
        <v>0</v>
      </c>
      <c r="J45" s="248"/>
      <c r="K45" s="248"/>
      <c r="L45" s="248"/>
      <c r="M45" s="248"/>
      <c r="N45" s="248"/>
      <c r="O45" s="248"/>
      <c r="P45" s="248"/>
      <c r="Q45" s="248"/>
      <c r="R45" s="86"/>
      <c r="U45" s="277"/>
      <c r="V45" s="277"/>
      <c r="W45" s="277"/>
    </row>
    <row r="46" spans="2:23" ht="26.1" customHeight="1" x14ac:dyDescent="0.2">
      <c r="B46" s="36"/>
      <c r="C46" s="8" t="s">
        <v>64</v>
      </c>
      <c r="D46" s="88" t="s">
        <v>86</v>
      </c>
      <c r="E46" s="195" t="s">
        <v>91</v>
      </c>
      <c r="F46" s="194"/>
      <c r="G46" s="42"/>
      <c r="H46" s="104" t="s">
        <v>37</v>
      </c>
      <c r="I46" s="109" t="s">
        <v>11</v>
      </c>
      <c r="J46" s="270" t="s">
        <v>74</v>
      </c>
      <c r="K46" s="271"/>
      <c r="L46" s="271"/>
      <c r="M46" s="271"/>
      <c r="N46" s="271"/>
      <c r="O46" s="271"/>
      <c r="P46" s="271"/>
      <c r="Q46" s="271"/>
      <c r="R46" s="86"/>
      <c r="U46" s="281"/>
      <c r="V46" s="281"/>
      <c r="W46" s="281"/>
    </row>
    <row r="47" spans="2:23" ht="14.65" customHeight="1" x14ac:dyDescent="0.2">
      <c r="B47" s="36"/>
      <c r="C47" s="90" t="s">
        <v>54</v>
      </c>
      <c r="D47" s="146">
        <f>'Overview IB'!D53</f>
        <v>0</v>
      </c>
      <c r="E47" s="255" t="str">
        <f>IF('Overview IB'!E53 &gt; 0, 'Overview IB'!E53, "")</f>
        <v/>
      </c>
      <c r="F47" s="292"/>
      <c r="G47" s="43"/>
      <c r="H47" s="111"/>
      <c r="I47" s="46">
        <f>IF(H47=0,0,H47/D47)</f>
        <v>0</v>
      </c>
      <c r="J47" s="278"/>
      <c r="K47" s="279"/>
      <c r="L47" s="279"/>
      <c r="M47" s="279"/>
      <c r="N47" s="279"/>
      <c r="O47" s="279"/>
      <c r="P47" s="279"/>
      <c r="Q47" s="279"/>
      <c r="R47" s="86"/>
      <c r="U47" s="281"/>
      <c r="V47" s="281"/>
      <c r="W47" s="281"/>
    </row>
    <row r="48" spans="2:23" ht="15" x14ac:dyDescent="0.2">
      <c r="B48" s="36"/>
      <c r="C48" s="89" t="s">
        <v>82</v>
      </c>
      <c r="D48" s="146">
        <f>'Overview IB'!D54</f>
        <v>0</v>
      </c>
      <c r="E48" s="252" t="str">
        <f>IF('Overview IB'!E54 &gt; 0, 'Overview IB'!E54, "")</f>
        <v/>
      </c>
      <c r="F48" s="289"/>
      <c r="G48" s="43"/>
      <c r="H48" s="47"/>
      <c r="I48" s="46">
        <f t="shared" ref="I48:I55" si="3">IF(H48=0,0,H48/D48)</f>
        <v>0</v>
      </c>
      <c r="J48" s="248"/>
      <c r="K48" s="248"/>
      <c r="L48" s="248"/>
      <c r="M48" s="248"/>
      <c r="N48" s="248"/>
      <c r="O48" s="248"/>
      <c r="P48" s="248"/>
      <c r="Q48" s="248"/>
      <c r="R48" s="86"/>
      <c r="U48" s="281"/>
      <c r="V48" s="281"/>
      <c r="W48" s="281"/>
    </row>
    <row r="49" spans="2:23" ht="13.15" customHeight="1" x14ac:dyDescent="0.2">
      <c r="B49" s="36"/>
      <c r="C49" s="92" t="s">
        <v>77</v>
      </c>
      <c r="D49" s="146">
        <f>'Overview IB'!D55</f>
        <v>0</v>
      </c>
      <c r="E49" s="254"/>
      <c r="F49" s="291"/>
      <c r="G49" s="43"/>
      <c r="H49" s="47"/>
      <c r="I49" s="48">
        <f t="shared" si="3"/>
        <v>0</v>
      </c>
      <c r="J49" s="248"/>
      <c r="K49" s="248"/>
      <c r="L49" s="248"/>
      <c r="M49" s="248"/>
      <c r="N49" s="248"/>
      <c r="O49" s="248"/>
      <c r="P49" s="248"/>
      <c r="Q49" s="248"/>
      <c r="R49" s="86"/>
      <c r="U49" s="277"/>
      <c r="V49" s="277"/>
      <c r="W49" s="277"/>
    </row>
    <row r="50" spans="2:23" ht="14.65" customHeight="1" x14ac:dyDescent="0.2">
      <c r="B50" s="36"/>
      <c r="C50" s="89" t="s">
        <v>63</v>
      </c>
      <c r="D50" s="146">
        <f>'Overview IB'!D56</f>
        <v>0</v>
      </c>
      <c r="E50" s="252" t="str">
        <f>IF('Overview IB'!E56 &gt; 0, 'Overview IB'!E56, "")</f>
        <v/>
      </c>
      <c r="F50" s="289"/>
      <c r="G50" s="43"/>
      <c r="H50" s="47"/>
      <c r="I50" s="46">
        <f t="shared" si="3"/>
        <v>0</v>
      </c>
      <c r="J50" s="248"/>
      <c r="K50" s="248"/>
      <c r="L50" s="248"/>
      <c r="M50" s="248"/>
      <c r="N50" s="248"/>
      <c r="O50" s="248"/>
      <c r="P50" s="248"/>
      <c r="Q50" s="248"/>
      <c r="R50" s="86"/>
      <c r="U50" s="277"/>
      <c r="V50" s="277"/>
      <c r="W50" s="277"/>
    </row>
    <row r="51" spans="2:23" ht="13.15" customHeight="1" x14ac:dyDescent="0.2">
      <c r="B51" s="36"/>
      <c r="C51" s="92" t="s">
        <v>123</v>
      </c>
      <c r="D51" s="146">
        <f>'Overview IB'!D57</f>
        <v>0</v>
      </c>
      <c r="E51" s="253"/>
      <c r="F51" s="290"/>
      <c r="G51" s="43"/>
      <c r="H51" s="47"/>
      <c r="I51" s="48">
        <f t="shared" si="3"/>
        <v>0</v>
      </c>
      <c r="J51" s="248"/>
      <c r="K51" s="248"/>
      <c r="L51" s="248"/>
      <c r="M51" s="248"/>
      <c r="N51" s="248"/>
      <c r="O51" s="248"/>
      <c r="P51" s="248"/>
      <c r="Q51" s="248"/>
      <c r="R51" s="86"/>
      <c r="U51" s="277"/>
      <c r="V51" s="277"/>
      <c r="W51" s="277"/>
    </row>
    <row r="52" spans="2:23" ht="14.65" customHeight="1" x14ac:dyDescent="0.2">
      <c r="B52" s="36"/>
      <c r="C52" s="92" t="s">
        <v>78</v>
      </c>
      <c r="D52" s="146">
        <f>'Overview IB'!D58</f>
        <v>0</v>
      </c>
      <c r="E52" s="254"/>
      <c r="F52" s="291"/>
      <c r="G52" s="43"/>
      <c r="H52" s="47"/>
      <c r="I52" s="48">
        <f t="shared" si="3"/>
        <v>0</v>
      </c>
      <c r="J52" s="248"/>
      <c r="K52" s="248"/>
      <c r="L52" s="248"/>
      <c r="M52" s="248"/>
      <c r="N52" s="248"/>
      <c r="O52" s="248"/>
      <c r="P52" s="248"/>
      <c r="Q52" s="248"/>
      <c r="R52" s="86"/>
      <c r="U52" s="277"/>
      <c r="V52" s="277"/>
      <c r="W52" s="277"/>
    </row>
    <row r="53" spans="2:23" ht="13.15" customHeight="1" x14ac:dyDescent="0.2">
      <c r="B53" s="36"/>
      <c r="C53" s="94" t="s">
        <v>88</v>
      </c>
      <c r="D53" s="146">
        <f>'Overview IB'!D59</f>
        <v>1000</v>
      </c>
      <c r="E53" s="252" t="str">
        <f>IF('Overview IB'!E59 &gt; 0, 'Overview IB'!E59, "")</f>
        <v/>
      </c>
      <c r="F53" s="289"/>
      <c r="G53" s="43"/>
      <c r="H53" s="47">
        <v>1000</v>
      </c>
      <c r="I53" s="46">
        <f t="shared" si="3"/>
        <v>1</v>
      </c>
      <c r="J53" s="248"/>
      <c r="K53" s="248"/>
      <c r="L53" s="248"/>
      <c r="M53" s="248"/>
      <c r="N53" s="248"/>
      <c r="O53" s="248"/>
      <c r="P53" s="248"/>
      <c r="Q53" s="248"/>
      <c r="R53" s="86"/>
      <c r="U53" s="277"/>
      <c r="V53" s="277"/>
      <c r="W53" s="277"/>
    </row>
    <row r="54" spans="2:23" ht="15" x14ac:dyDescent="0.2">
      <c r="B54" s="36"/>
      <c r="C54" s="103" t="s">
        <v>89</v>
      </c>
      <c r="D54" s="146">
        <f>'Overview IB'!D60</f>
        <v>1000</v>
      </c>
      <c r="E54" s="253"/>
      <c r="F54" s="290"/>
      <c r="G54" s="43"/>
      <c r="H54" s="47">
        <v>1000</v>
      </c>
      <c r="I54" s="48">
        <f t="shared" si="3"/>
        <v>1</v>
      </c>
      <c r="J54" s="248"/>
      <c r="K54" s="248"/>
      <c r="L54" s="248"/>
      <c r="M54" s="248"/>
      <c r="N54" s="248"/>
      <c r="O54" s="248"/>
      <c r="P54" s="248"/>
      <c r="Q54" s="248"/>
      <c r="R54" s="86"/>
      <c r="U54" s="277"/>
      <c r="V54" s="277"/>
      <c r="W54" s="277"/>
    </row>
    <row r="55" spans="2:23" ht="15" x14ac:dyDescent="0.2">
      <c r="B55" s="36"/>
      <c r="C55" s="103" t="s">
        <v>90</v>
      </c>
      <c r="D55" s="146">
        <f>'Overview IB'!D61</f>
        <v>0</v>
      </c>
      <c r="E55" s="254"/>
      <c r="F55" s="291"/>
      <c r="G55" s="43"/>
      <c r="H55" s="47">
        <v>0</v>
      </c>
      <c r="I55" s="48">
        <f t="shared" si="3"/>
        <v>0</v>
      </c>
      <c r="J55" s="248"/>
      <c r="K55" s="248"/>
      <c r="L55" s="248"/>
      <c r="M55" s="248"/>
      <c r="N55" s="248"/>
      <c r="O55" s="248"/>
      <c r="P55" s="248"/>
      <c r="Q55" s="248"/>
      <c r="R55" s="86"/>
      <c r="U55" s="280"/>
      <c r="V55" s="280"/>
      <c r="W55" s="280"/>
    </row>
    <row r="56" spans="2:23" ht="13.15" customHeight="1" x14ac:dyDescent="0.2">
      <c r="B56" s="264"/>
      <c r="C56" s="265"/>
      <c r="D56" s="265"/>
      <c r="E56" s="49"/>
      <c r="F56" s="50"/>
      <c r="G56" s="50"/>
      <c r="H56" s="66"/>
      <c r="I56" s="51"/>
      <c r="J56" s="52"/>
      <c r="K56" s="52"/>
      <c r="L56" s="52"/>
      <c r="M56" s="106"/>
      <c r="N56" s="52"/>
      <c r="O56" s="52"/>
      <c r="P56" s="106"/>
      <c r="Q56" s="297"/>
      <c r="R56" s="298"/>
      <c r="U56" s="105"/>
      <c r="V56" s="105"/>
      <c r="W56" s="105"/>
    </row>
    <row r="57" spans="2:23" ht="27.6" customHeight="1" x14ac:dyDescent="0.2">
      <c r="B57" s="36"/>
      <c r="C57" s="184" t="s">
        <v>38</v>
      </c>
      <c r="D57" s="185"/>
      <c r="E57" s="185"/>
      <c r="F57" s="185"/>
      <c r="G57" s="37"/>
      <c r="H57" s="262" t="s">
        <v>37</v>
      </c>
      <c r="I57" s="263"/>
      <c r="J57" s="270" t="s">
        <v>74</v>
      </c>
      <c r="K57" s="271"/>
      <c r="L57" s="271"/>
      <c r="M57" s="271"/>
      <c r="N57" s="271"/>
      <c r="O57" s="271"/>
      <c r="P57" s="271"/>
      <c r="Q57" s="271"/>
      <c r="R57" s="86"/>
      <c r="U57" s="105"/>
      <c r="V57" s="105"/>
      <c r="W57" s="105"/>
    </row>
    <row r="58" spans="2:23" ht="13.15" customHeight="1" x14ac:dyDescent="0.2">
      <c r="B58" s="36"/>
      <c r="C58" s="181" t="s">
        <v>125</v>
      </c>
      <c r="D58" s="182"/>
      <c r="E58" s="182"/>
      <c r="F58" s="182"/>
      <c r="G58" s="37"/>
      <c r="H58" s="249">
        <v>57</v>
      </c>
      <c r="I58" s="250"/>
      <c r="J58" s="278" t="s">
        <v>172</v>
      </c>
      <c r="K58" s="279"/>
      <c r="L58" s="279"/>
      <c r="M58" s="279"/>
      <c r="N58" s="279"/>
      <c r="O58" s="279"/>
      <c r="P58" s="279"/>
      <c r="Q58" s="279"/>
      <c r="R58" s="86"/>
      <c r="U58" s="277"/>
      <c r="V58" s="277"/>
      <c r="W58" s="277"/>
    </row>
    <row r="59" spans="2:23" ht="15" x14ac:dyDescent="0.2">
      <c r="B59" s="36"/>
      <c r="C59" s="190" t="s">
        <v>44</v>
      </c>
      <c r="D59" s="191"/>
      <c r="E59" s="191"/>
      <c r="F59" s="191"/>
      <c r="G59" s="37"/>
      <c r="H59" s="249"/>
      <c r="I59" s="250"/>
      <c r="J59" s="248"/>
      <c r="K59" s="248"/>
      <c r="L59" s="248"/>
      <c r="M59" s="248"/>
      <c r="N59" s="248"/>
      <c r="O59" s="248"/>
      <c r="P59" s="248"/>
      <c r="Q59" s="248"/>
      <c r="R59" s="86"/>
      <c r="U59" s="105"/>
      <c r="V59" s="105"/>
      <c r="W59" s="105"/>
    </row>
    <row r="60" spans="2:23" ht="15" x14ac:dyDescent="0.2">
      <c r="B60" s="36"/>
      <c r="C60" s="190" t="s">
        <v>43</v>
      </c>
      <c r="D60" s="191"/>
      <c r="E60" s="191"/>
      <c r="F60" s="191"/>
      <c r="G60" s="37"/>
      <c r="H60" s="249">
        <v>336</v>
      </c>
      <c r="I60" s="250"/>
      <c r="J60" s="248" t="s">
        <v>171</v>
      </c>
      <c r="K60" s="248"/>
      <c r="L60" s="248"/>
      <c r="M60" s="248"/>
      <c r="N60" s="248"/>
      <c r="O60" s="248"/>
      <c r="P60" s="248"/>
      <c r="Q60" s="248"/>
      <c r="R60" s="86"/>
      <c r="U60" s="105"/>
      <c r="V60" s="105"/>
      <c r="W60" s="105"/>
    </row>
    <row r="61" spans="2:23" ht="15" x14ac:dyDescent="0.2">
      <c r="B61" s="36"/>
      <c r="C61" s="190" t="s">
        <v>128</v>
      </c>
      <c r="D61" s="191"/>
      <c r="E61" s="191"/>
      <c r="F61" s="191"/>
      <c r="G61" s="37"/>
      <c r="H61" s="260">
        <v>428</v>
      </c>
      <c r="I61" s="250"/>
      <c r="J61" s="257" t="s">
        <v>162</v>
      </c>
      <c r="K61" s="258"/>
      <c r="L61" s="258"/>
      <c r="M61" s="258"/>
      <c r="N61" s="258"/>
      <c r="O61" s="258"/>
      <c r="P61" s="258"/>
      <c r="Q61" s="259"/>
      <c r="R61" s="86"/>
      <c r="U61" s="105"/>
      <c r="V61" s="105"/>
      <c r="W61" s="105"/>
    </row>
    <row r="62" spans="2:23" ht="13.15" customHeight="1" x14ac:dyDescent="0.2">
      <c r="B62" s="36"/>
      <c r="C62" s="190" t="s">
        <v>108</v>
      </c>
      <c r="D62" s="191"/>
      <c r="E62" s="191"/>
      <c r="F62" s="191"/>
      <c r="G62" s="37"/>
      <c r="H62" s="249"/>
      <c r="I62" s="250"/>
      <c r="J62" s="248"/>
      <c r="K62" s="248"/>
      <c r="L62" s="248"/>
      <c r="M62" s="248"/>
      <c r="N62" s="248"/>
      <c r="O62" s="248"/>
      <c r="P62" s="248"/>
      <c r="Q62" s="248"/>
      <c r="R62" s="86"/>
      <c r="U62" s="105"/>
      <c r="V62" s="105"/>
      <c r="W62" s="105"/>
    </row>
    <row r="63" spans="2:23" ht="15" x14ac:dyDescent="0.2">
      <c r="B63" s="36"/>
      <c r="C63" s="190" t="s">
        <v>107</v>
      </c>
      <c r="D63" s="191"/>
      <c r="E63" s="191"/>
      <c r="F63" s="191"/>
      <c r="G63" s="37"/>
      <c r="H63" s="249"/>
      <c r="I63" s="250"/>
      <c r="J63" s="248"/>
      <c r="K63" s="248"/>
      <c r="L63" s="248"/>
      <c r="M63" s="248"/>
      <c r="N63" s="248"/>
      <c r="O63" s="248"/>
      <c r="P63" s="248"/>
      <c r="Q63" s="248"/>
      <c r="R63" s="86"/>
      <c r="U63" s="105"/>
      <c r="V63" s="105"/>
      <c r="W63" s="105"/>
    </row>
    <row r="64" spans="2:23" ht="15" x14ac:dyDescent="0.2">
      <c r="B64" s="36"/>
      <c r="C64" s="190" t="s">
        <v>45</v>
      </c>
      <c r="D64" s="191"/>
      <c r="E64" s="191"/>
      <c r="F64" s="191"/>
      <c r="G64" s="37"/>
      <c r="H64" s="249">
        <v>292</v>
      </c>
      <c r="I64" s="250"/>
      <c r="J64" s="248" t="s">
        <v>155</v>
      </c>
      <c r="K64" s="248"/>
      <c r="L64" s="248"/>
      <c r="M64" s="248"/>
      <c r="N64" s="248"/>
      <c r="O64" s="248"/>
      <c r="P64" s="248"/>
      <c r="Q64" s="248"/>
      <c r="R64" s="86"/>
      <c r="U64" s="105"/>
      <c r="V64" s="105"/>
      <c r="W64" s="105"/>
    </row>
    <row r="65" spans="2:23" ht="14.65" customHeight="1" x14ac:dyDescent="0.2">
      <c r="B65" s="36"/>
      <c r="C65" s="190" t="s">
        <v>73</v>
      </c>
      <c r="D65" s="191"/>
      <c r="E65" s="191"/>
      <c r="F65" s="191"/>
      <c r="G65" s="37"/>
      <c r="H65" s="249">
        <v>91</v>
      </c>
      <c r="I65" s="250"/>
      <c r="J65" s="248"/>
      <c r="K65" s="248"/>
      <c r="L65" s="248"/>
      <c r="M65" s="248"/>
      <c r="N65" s="248"/>
      <c r="O65" s="248"/>
      <c r="P65" s="248"/>
      <c r="Q65" s="248"/>
      <c r="R65" s="86"/>
      <c r="U65" s="105"/>
      <c r="V65" s="105"/>
      <c r="W65" s="105"/>
    </row>
    <row r="66" spans="2:23" ht="15" x14ac:dyDescent="0.2">
      <c r="B66" s="36"/>
      <c r="C66" s="181" t="s">
        <v>117</v>
      </c>
      <c r="D66" s="182"/>
      <c r="E66" s="182"/>
      <c r="F66" s="182"/>
      <c r="G66" s="37"/>
      <c r="H66" s="249"/>
      <c r="I66" s="250"/>
      <c r="J66" s="248" t="s">
        <v>169</v>
      </c>
      <c r="K66" s="248"/>
      <c r="L66" s="248"/>
      <c r="M66" s="248"/>
      <c r="N66" s="248"/>
      <c r="O66" s="248"/>
      <c r="P66" s="248"/>
      <c r="Q66" s="248"/>
      <c r="R66" s="86"/>
      <c r="U66" s="105"/>
      <c r="V66" s="105"/>
      <c r="W66" s="105"/>
    </row>
    <row r="67" spans="2:23" ht="15" x14ac:dyDescent="0.2">
      <c r="B67" s="36"/>
      <c r="C67" s="187" t="s">
        <v>103</v>
      </c>
      <c r="D67" s="188"/>
      <c r="E67" s="188"/>
      <c r="F67" s="188"/>
      <c r="G67" s="37"/>
      <c r="H67" s="249">
        <v>372</v>
      </c>
      <c r="I67" s="250"/>
      <c r="J67" s="248" t="s">
        <v>165</v>
      </c>
      <c r="K67" s="248"/>
      <c r="L67" s="248"/>
      <c r="M67" s="248"/>
      <c r="N67" s="248"/>
      <c r="O67" s="248"/>
      <c r="P67" s="248"/>
      <c r="Q67" s="248"/>
      <c r="R67" s="86"/>
      <c r="U67" s="105"/>
      <c r="V67" s="105"/>
      <c r="W67" s="105"/>
    </row>
    <row r="68" spans="2:23" ht="13.15" customHeight="1" x14ac:dyDescent="0.2">
      <c r="B68" s="36"/>
      <c r="C68" s="187" t="s">
        <v>104</v>
      </c>
      <c r="D68" s="188"/>
      <c r="E68" s="188"/>
      <c r="F68" s="188"/>
      <c r="G68" s="37"/>
      <c r="H68" s="249">
        <v>152</v>
      </c>
      <c r="I68" s="250"/>
      <c r="J68" s="248" t="s">
        <v>166</v>
      </c>
      <c r="K68" s="248"/>
      <c r="L68" s="248"/>
      <c r="M68" s="248"/>
      <c r="N68" s="248"/>
      <c r="O68" s="248"/>
      <c r="P68" s="248"/>
      <c r="Q68" s="248"/>
      <c r="R68" s="86"/>
      <c r="U68" s="105"/>
      <c r="V68" s="105"/>
      <c r="W68" s="105"/>
    </row>
    <row r="69" spans="2:23" ht="15" x14ac:dyDescent="0.2">
      <c r="B69" s="36"/>
      <c r="C69" s="155" t="s">
        <v>105</v>
      </c>
      <c r="D69" s="156"/>
      <c r="E69" s="156"/>
      <c r="F69" s="156"/>
      <c r="G69" s="37"/>
      <c r="H69" s="260">
        <v>10</v>
      </c>
      <c r="I69" s="250"/>
      <c r="J69" s="248" t="s">
        <v>167</v>
      </c>
      <c r="K69" s="248"/>
      <c r="L69" s="248"/>
      <c r="M69" s="248"/>
      <c r="N69" s="248"/>
      <c r="O69" s="248"/>
      <c r="P69" s="248"/>
      <c r="Q69" s="248"/>
      <c r="R69" s="86"/>
      <c r="U69" s="105"/>
      <c r="V69" s="105"/>
      <c r="W69" s="105"/>
    </row>
    <row r="70" spans="2:23" ht="15" x14ac:dyDescent="0.2">
      <c r="B70" s="36"/>
      <c r="C70" s="187" t="s">
        <v>98</v>
      </c>
      <c r="D70" s="188"/>
      <c r="E70" s="188"/>
      <c r="F70" s="188"/>
      <c r="G70" s="37"/>
      <c r="H70" s="260">
        <v>143</v>
      </c>
      <c r="I70" s="250"/>
      <c r="J70" s="248" t="s">
        <v>168</v>
      </c>
      <c r="K70" s="248"/>
      <c r="L70" s="248"/>
      <c r="M70" s="248"/>
      <c r="N70" s="248"/>
      <c r="O70" s="248"/>
      <c r="P70" s="248"/>
      <c r="Q70" s="248"/>
      <c r="R70" s="86"/>
      <c r="U70" s="105"/>
      <c r="V70" s="105"/>
      <c r="W70" s="105"/>
    </row>
    <row r="71" spans="2:23" ht="15" x14ac:dyDescent="0.2">
      <c r="B71" s="36"/>
      <c r="C71" s="181" t="s">
        <v>118</v>
      </c>
      <c r="D71" s="182"/>
      <c r="E71" s="182"/>
      <c r="F71" s="182"/>
      <c r="G71" s="37"/>
      <c r="H71" s="260"/>
      <c r="I71" s="250"/>
      <c r="J71" s="248"/>
      <c r="K71" s="248"/>
      <c r="L71" s="248"/>
      <c r="M71" s="248"/>
      <c r="N71" s="248"/>
      <c r="O71" s="248"/>
      <c r="P71" s="248"/>
      <c r="Q71" s="248"/>
      <c r="R71" s="86"/>
      <c r="U71" s="105"/>
      <c r="V71" s="105"/>
      <c r="W71" s="105"/>
    </row>
    <row r="72" spans="2:23" ht="15" x14ac:dyDescent="0.2">
      <c r="B72" s="36"/>
      <c r="C72" s="187" t="s">
        <v>40</v>
      </c>
      <c r="D72" s="188"/>
      <c r="E72" s="188"/>
      <c r="F72" s="188"/>
      <c r="G72" s="37"/>
      <c r="H72" s="260">
        <v>698</v>
      </c>
      <c r="I72" s="250"/>
      <c r="J72" s="248" t="s">
        <v>163</v>
      </c>
      <c r="K72" s="248"/>
      <c r="L72" s="248"/>
      <c r="M72" s="248"/>
      <c r="N72" s="248"/>
      <c r="O72" s="248"/>
      <c r="P72" s="248"/>
      <c r="Q72" s="248"/>
      <c r="R72" s="86"/>
      <c r="U72" s="105"/>
      <c r="V72" s="105"/>
      <c r="W72" s="105"/>
    </row>
    <row r="73" spans="2:23" ht="14.65" customHeight="1" x14ac:dyDescent="0.2">
      <c r="B73" s="36"/>
      <c r="C73" s="187" t="s">
        <v>41</v>
      </c>
      <c r="D73" s="188"/>
      <c r="E73" s="188"/>
      <c r="F73" s="188"/>
      <c r="G73" s="37"/>
      <c r="H73" s="249">
        <v>506</v>
      </c>
      <c r="I73" s="250"/>
      <c r="J73" s="248" t="s">
        <v>164</v>
      </c>
      <c r="K73" s="248"/>
      <c r="L73" s="248"/>
      <c r="M73" s="248"/>
      <c r="N73" s="248"/>
      <c r="O73" s="248"/>
      <c r="P73" s="248"/>
      <c r="Q73" s="248"/>
      <c r="R73" s="86"/>
      <c r="U73" s="105"/>
      <c r="V73" s="105"/>
      <c r="W73" s="105"/>
    </row>
    <row r="74" spans="2:23" ht="15" x14ac:dyDescent="0.2">
      <c r="B74" s="36"/>
      <c r="C74" s="155" t="s">
        <v>99</v>
      </c>
      <c r="D74" s="156"/>
      <c r="E74" s="156"/>
      <c r="F74" s="156"/>
      <c r="G74" s="37"/>
      <c r="H74" s="249"/>
      <c r="I74" s="250"/>
      <c r="J74" s="248"/>
      <c r="K74" s="248"/>
      <c r="L74" s="248"/>
      <c r="M74" s="248"/>
      <c r="N74" s="248"/>
      <c r="O74" s="248"/>
      <c r="P74" s="248"/>
      <c r="Q74" s="248"/>
      <c r="R74" s="86"/>
      <c r="U74" s="105"/>
      <c r="V74" s="105"/>
      <c r="W74" s="105"/>
    </row>
    <row r="75" spans="2:23" ht="15" x14ac:dyDescent="0.2">
      <c r="B75" s="36"/>
      <c r="C75" s="155" t="s">
        <v>100</v>
      </c>
      <c r="D75" s="156"/>
      <c r="E75" s="156"/>
      <c r="F75" s="156"/>
      <c r="G75" s="37"/>
      <c r="H75" s="249"/>
      <c r="I75" s="250"/>
      <c r="J75" s="248"/>
      <c r="K75" s="248"/>
      <c r="L75" s="248"/>
      <c r="M75" s="248"/>
      <c r="N75" s="248"/>
      <c r="O75" s="248"/>
      <c r="P75" s="248"/>
      <c r="Q75" s="248"/>
      <c r="R75" s="86"/>
      <c r="U75" s="105"/>
      <c r="V75" s="105"/>
      <c r="W75" s="105"/>
    </row>
    <row r="76" spans="2:23" ht="13.15" customHeight="1" x14ac:dyDescent="0.2">
      <c r="B76" s="36"/>
      <c r="C76" s="155" t="s">
        <v>101</v>
      </c>
      <c r="D76" s="156"/>
      <c r="E76" s="156"/>
      <c r="F76" s="156"/>
      <c r="G76" s="37"/>
      <c r="H76" s="249"/>
      <c r="I76" s="250"/>
      <c r="J76" s="248"/>
      <c r="K76" s="248"/>
      <c r="L76" s="248"/>
      <c r="M76" s="248"/>
      <c r="N76" s="248"/>
      <c r="O76" s="248"/>
      <c r="P76" s="248"/>
      <c r="Q76" s="248"/>
      <c r="R76" s="86"/>
      <c r="U76" s="105"/>
      <c r="V76" s="105"/>
      <c r="W76" s="105"/>
    </row>
    <row r="77" spans="2:23" ht="15" x14ac:dyDescent="0.2">
      <c r="B77" s="36"/>
      <c r="C77" s="155" t="s">
        <v>102</v>
      </c>
      <c r="D77" s="156"/>
      <c r="E77" s="156"/>
      <c r="F77" s="156"/>
      <c r="G77" s="37"/>
      <c r="H77" s="260"/>
      <c r="I77" s="250"/>
      <c r="J77" s="248"/>
      <c r="K77" s="248"/>
      <c r="L77" s="248"/>
      <c r="M77" s="248"/>
      <c r="N77" s="248"/>
      <c r="O77" s="248"/>
      <c r="P77" s="248"/>
      <c r="Q77" s="248"/>
      <c r="R77" s="86"/>
      <c r="U77" s="105"/>
      <c r="V77" s="105"/>
      <c r="W77" s="105"/>
    </row>
    <row r="78" spans="2:23" ht="26.1" customHeight="1" x14ac:dyDescent="0.2">
      <c r="B78" s="36"/>
      <c r="C78" s="181" t="s">
        <v>39</v>
      </c>
      <c r="D78" s="182"/>
      <c r="E78" s="182"/>
      <c r="F78" s="182"/>
      <c r="G78" s="37"/>
      <c r="H78" s="249"/>
      <c r="I78" s="250"/>
      <c r="J78" s="248"/>
      <c r="K78" s="248"/>
      <c r="L78" s="248"/>
      <c r="M78" s="248"/>
      <c r="N78" s="248"/>
      <c r="O78" s="248"/>
      <c r="P78" s="248"/>
      <c r="Q78" s="248"/>
      <c r="R78" s="86"/>
      <c r="U78" s="105"/>
      <c r="V78" s="105"/>
      <c r="W78" s="105"/>
    </row>
    <row r="79" spans="2:23" ht="14.45" customHeight="1" x14ac:dyDescent="0.2">
      <c r="B79" s="36"/>
      <c r="C79" s="184" t="s">
        <v>46</v>
      </c>
      <c r="D79" s="185"/>
      <c r="E79" s="185"/>
      <c r="F79" s="185"/>
      <c r="G79" s="37"/>
      <c r="H79" s="262" t="s">
        <v>37</v>
      </c>
      <c r="I79" s="263"/>
      <c r="J79" s="270" t="s">
        <v>74</v>
      </c>
      <c r="K79" s="271"/>
      <c r="L79" s="271"/>
      <c r="M79" s="271"/>
      <c r="N79" s="271"/>
      <c r="O79" s="271"/>
      <c r="P79" s="271"/>
      <c r="Q79" s="271"/>
      <c r="R79" s="86"/>
      <c r="U79" s="105"/>
      <c r="V79" s="105"/>
      <c r="W79" s="105"/>
    </row>
    <row r="80" spans="2:23" ht="14.45" customHeight="1" x14ac:dyDescent="0.2">
      <c r="B80" s="36"/>
      <c r="C80" s="181" t="s">
        <v>106</v>
      </c>
      <c r="D80" s="182"/>
      <c r="E80" s="182"/>
      <c r="F80" s="182"/>
      <c r="G80" s="37"/>
      <c r="H80" s="249"/>
      <c r="I80" s="250"/>
      <c r="J80" s="248"/>
      <c r="K80" s="248"/>
      <c r="L80" s="248"/>
      <c r="M80" s="248"/>
      <c r="N80" s="248"/>
      <c r="O80" s="248"/>
      <c r="P80" s="248"/>
      <c r="Q80" s="248"/>
      <c r="R80" s="86"/>
      <c r="U80" s="105"/>
      <c r="V80" s="105"/>
      <c r="W80" s="105"/>
    </row>
    <row r="81" spans="2:23" ht="29.1" customHeight="1" x14ac:dyDescent="0.2">
      <c r="B81" s="36"/>
      <c r="C81" s="181" t="s">
        <v>96</v>
      </c>
      <c r="D81" s="182"/>
      <c r="E81" s="182" t="s">
        <v>85</v>
      </c>
      <c r="F81" s="182" t="s">
        <v>85</v>
      </c>
      <c r="G81" s="37"/>
      <c r="H81" s="260"/>
      <c r="I81" s="250"/>
      <c r="J81" s="248"/>
      <c r="K81" s="248"/>
      <c r="L81" s="248"/>
      <c r="M81" s="248"/>
      <c r="N81" s="248"/>
      <c r="O81" s="248"/>
      <c r="P81" s="248"/>
      <c r="Q81" s="248"/>
      <c r="R81" s="86"/>
      <c r="U81" s="105"/>
      <c r="V81" s="105"/>
      <c r="W81" s="105"/>
    </row>
    <row r="82" spans="2:23" ht="14.45" customHeight="1" x14ac:dyDescent="0.2">
      <c r="B82" s="36"/>
      <c r="C82" s="181" t="s">
        <v>93</v>
      </c>
      <c r="D82" s="182"/>
      <c r="E82" s="182" t="s">
        <v>85</v>
      </c>
      <c r="F82" s="182" t="s">
        <v>85</v>
      </c>
      <c r="G82" s="37"/>
      <c r="H82" s="249"/>
      <c r="I82" s="250"/>
      <c r="J82" s="248"/>
      <c r="K82" s="248"/>
      <c r="L82" s="248"/>
      <c r="M82" s="248"/>
      <c r="N82" s="248"/>
      <c r="O82" s="248"/>
      <c r="P82" s="248"/>
      <c r="Q82" s="248"/>
      <c r="R82" s="86"/>
      <c r="U82" s="105"/>
      <c r="V82" s="105"/>
      <c r="W82" s="105"/>
    </row>
    <row r="83" spans="2:23" s="76" customFormat="1" ht="14.65" customHeight="1" x14ac:dyDescent="0.2">
      <c r="B83" s="36"/>
      <c r="C83" s="181" t="s">
        <v>92</v>
      </c>
      <c r="D83" s="182"/>
      <c r="E83" s="182"/>
      <c r="F83" s="182"/>
      <c r="G83" s="37"/>
      <c r="H83" s="249"/>
      <c r="I83" s="250"/>
      <c r="J83" s="248"/>
      <c r="K83" s="248"/>
      <c r="L83" s="248"/>
      <c r="M83" s="248"/>
      <c r="N83" s="248"/>
      <c r="O83" s="248"/>
      <c r="P83" s="248"/>
      <c r="Q83" s="248"/>
      <c r="R83" s="86"/>
    </row>
    <row r="84" spans="2:23" s="76" customFormat="1" ht="14.65" customHeight="1" x14ac:dyDescent="0.2">
      <c r="B84" s="36"/>
      <c r="C84" s="181" t="s">
        <v>127</v>
      </c>
      <c r="D84" s="182"/>
      <c r="E84" s="182"/>
      <c r="F84" s="182"/>
      <c r="G84" s="37"/>
      <c r="H84" s="249"/>
      <c r="I84" s="250"/>
      <c r="J84" s="248"/>
      <c r="K84" s="248"/>
      <c r="L84" s="248"/>
      <c r="M84" s="248"/>
      <c r="N84" s="248"/>
      <c r="O84" s="248"/>
      <c r="P84" s="248"/>
      <c r="Q84" s="248"/>
      <c r="R84" s="85"/>
      <c r="S84" s="71"/>
      <c r="T84" s="71"/>
      <c r="U84" s="107"/>
    </row>
    <row r="85" spans="2:23" s="76" customFormat="1" ht="14.45" customHeight="1" x14ac:dyDescent="0.2">
      <c r="B85" s="36"/>
      <c r="C85" s="181" t="s">
        <v>95</v>
      </c>
      <c r="D85" s="182"/>
      <c r="E85" s="182" t="s">
        <v>85</v>
      </c>
      <c r="F85" s="182" t="s">
        <v>85</v>
      </c>
      <c r="G85" s="37"/>
      <c r="H85" s="249"/>
      <c r="I85" s="250"/>
      <c r="J85" s="248"/>
      <c r="K85" s="248"/>
      <c r="L85" s="248"/>
      <c r="M85" s="248"/>
      <c r="N85" s="248"/>
      <c r="O85" s="248"/>
      <c r="P85" s="248"/>
      <c r="Q85" s="248"/>
      <c r="R85" s="86"/>
      <c r="S85" s="107"/>
      <c r="T85" s="107"/>
      <c r="U85" s="107"/>
    </row>
    <row r="86" spans="2:23" s="76" customFormat="1" ht="15" x14ac:dyDescent="0.2">
      <c r="B86" s="36"/>
      <c r="C86" s="181" t="s">
        <v>94</v>
      </c>
      <c r="D86" s="182"/>
      <c r="E86" s="182" t="s">
        <v>85</v>
      </c>
      <c r="F86" s="182" t="s">
        <v>85</v>
      </c>
      <c r="G86" s="37"/>
      <c r="H86" s="249"/>
      <c r="I86" s="250"/>
      <c r="J86" s="248"/>
      <c r="K86" s="248"/>
      <c r="L86" s="248"/>
      <c r="M86" s="248"/>
      <c r="N86" s="248"/>
      <c r="O86" s="248"/>
      <c r="P86" s="248"/>
      <c r="Q86" s="248"/>
      <c r="R86" s="86"/>
      <c r="S86" s="107"/>
      <c r="T86" s="107"/>
      <c r="U86" s="107"/>
    </row>
    <row r="87" spans="2:23" s="76" customFormat="1" x14ac:dyDescent="0.2">
      <c r="B87" s="101"/>
      <c r="C87" s="53"/>
      <c r="D87" s="54"/>
      <c r="E87" s="55"/>
      <c r="F87" s="53"/>
      <c r="G87" s="53"/>
      <c r="H87" s="53"/>
      <c r="I87" s="53"/>
      <c r="J87" s="53"/>
      <c r="K87" s="54"/>
      <c r="L87" s="54"/>
      <c r="M87" s="54"/>
      <c r="N87" s="54"/>
      <c r="O87" s="54"/>
      <c r="P87" s="54"/>
      <c r="Q87" s="54"/>
      <c r="R87" s="87"/>
      <c r="S87" s="107"/>
      <c r="T87" s="107"/>
      <c r="U87" s="107"/>
    </row>
    <row r="88" spans="2:23" s="76" customFormat="1" x14ac:dyDescent="0.2">
      <c r="D88" s="107"/>
      <c r="E88" s="77"/>
      <c r="F88" s="77"/>
      <c r="G88" s="77"/>
      <c r="H88" s="77"/>
      <c r="I88" s="77"/>
      <c r="J88" s="77"/>
      <c r="K88" s="107"/>
      <c r="L88" s="107"/>
      <c r="M88" s="107"/>
      <c r="N88" s="107"/>
      <c r="O88" s="107"/>
      <c r="P88" s="107"/>
      <c r="Q88" s="107"/>
      <c r="R88" s="107"/>
      <c r="S88" s="107"/>
      <c r="T88" s="107"/>
      <c r="U88" s="107"/>
    </row>
    <row r="89" spans="2:23" s="76" customFormat="1" x14ac:dyDescent="0.2">
      <c r="D89" s="107"/>
      <c r="E89" s="78"/>
      <c r="F89" s="78"/>
      <c r="G89" s="78"/>
      <c r="H89" s="78"/>
      <c r="I89" s="107"/>
      <c r="J89" s="107"/>
      <c r="K89" s="107"/>
      <c r="L89" s="107"/>
      <c r="M89" s="107"/>
      <c r="N89" s="107"/>
      <c r="O89" s="107"/>
      <c r="P89" s="107"/>
      <c r="Q89" s="107"/>
      <c r="R89" s="107"/>
      <c r="S89" s="107"/>
      <c r="T89" s="107"/>
      <c r="U89" s="107"/>
    </row>
    <row r="90" spans="2:23" s="76" customFormat="1" x14ac:dyDescent="0.2">
      <c r="D90" s="107"/>
      <c r="E90" s="79"/>
      <c r="F90" s="79"/>
      <c r="G90" s="79"/>
      <c r="H90" s="79"/>
      <c r="I90" s="107"/>
      <c r="J90" s="107"/>
      <c r="K90" s="107"/>
      <c r="L90" s="107"/>
      <c r="M90" s="107"/>
      <c r="N90" s="107"/>
      <c r="O90" s="107"/>
      <c r="P90" s="107"/>
      <c r="R90" s="107"/>
      <c r="S90" s="107"/>
      <c r="T90" s="107"/>
      <c r="U90" s="107"/>
    </row>
    <row r="91" spans="2:23" s="76" customFormat="1" x14ac:dyDescent="0.2">
      <c r="D91" s="107"/>
      <c r="E91" s="79"/>
      <c r="F91" s="79"/>
      <c r="G91" s="79"/>
      <c r="H91" s="79"/>
      <c r="I91" s="107"/>
      <c r="J91" s="107"/>
      <c r="K91" s="107"/>
      <c r="L91" s="107"/>
      <c r="M91" s="107"/>
      <c r="N91" s="107"/>
      <c r="O91" s="107"/>
      <c r="P91" s="107"/>
      <c r="Q91" s="107"/>
      <c r="R91" s="107"/>
      <c r="S91" s="107"/>
      <c r="T91" s="107"/>
      <c r="U91" s="107"/>
    </row>
    <row r="92" spans="2:23" s="76" customFormat="1" x14ac:dyDescent="0.2">
      <c r="D92" s="107"/>
      <c r="E92" s="79"/>
      <c r="F92" s="79"/>
      <c r="G92" s="79"/>
      <c r="H92" s="79"/>
      <c r="I92" s="107"/>
      <c r="J92" s="107"/>
      <c r="K92" s="107"/>
      <c r="L92" s="107"/>
      <c r="M92" s="107"/>
      <c r="N92" s="107"/>
      <c r="O92" s="107"/>
      <c r="P92" s="107"/>
      <c r="Q92" s="107"/>
      <c r="R92" s="107"/>
      <c r="S92" s="107"/>
      <c r="T92" s="107"/>
      <c r="U92" s="107"/>
    </row>
    <row r="93" spans="2:23" x14ac:dyDescent="0.2">
      <c r="C93" s="76"/>
      <c r="D93" s="107"/>
      <c r="E93" s="77"/>
      <c r="F93" s="77"/>
      <c r="G93" s="77"/>
      <c r="H93" s="77"/>
      <c r="I93" s="107"/>
      <c r="J93" s="107"/>
      <c r="K93" s="107"/>
      <c r="L93" s="107"/>
      <c r="M93" s="107"/>
      <c r="N93" s="107"/>
      <c r="O93" s="107"/>
      <c r="P93" s="107"/>
      <c r="Q93" s="107"/>
      <c r="R93" s="107"/>
      <c r="S93" s="107"/>
      <c r="T93" s="107"/>
      <c r="U93" s="107"/>
    </row>
    <row r="94" spans="2:23" x14ac:dyDescent="0.2">
      <c r="G94" s="73"/>
      <c r="I94" s="107"/>
      <c r="J94" s="107"/>
      <c r="K94" s="107"/>
      <c r="L94" s="107"/>
      <c r="M94" s="107"/>
      <c r="N94" s="107"/>
      <c r="O94" s="107"/>
      <c r="P94" s="107"/>
      <c r="Q94" s="107"/>
      <c r="R94" s="107"/>
      <c r="S94" s="107"/>
      <c r="T94" s="107"/>
      <c r="U94" s="107"/>
    </row>
    <row r="95" spans="2:23" x14ac:dyDescent="0.2">
      <c r="G95" s="73"/>
      <c r="I95" s="107"/>
      <c r="J95" s="107"/>
      <c r="K95" s="107"/>
      <c r="L95" s="107"/>
      <c r="M95" s="107"/>
      <c r="N95" s="107"/>
      <c r="O95" s="107"/>
      <c r="P95" s="107"/>
      <c r="Q95" s="107"/>
      <c r="R95" s="107"/>
      <c r="S95" s="107"/>
      <c r="T95" s="107"/>
      <c r="U95" s="107"/>
    </row>
    <row r="96" spans="2:23" x14ac:dyDescent="0.2">
      <c r="G96" s="73"/>
      <c r="I96" s="107"/>
      <c r="J96" s="107"/>
      <c r="K96" s="107"/>
      <c r="L96" s="107"/>
      <c r="M96" s="107"/>
      <c r="N96" s="107"/>
      <c r="O96" s="107"/>
      <c r="P96" s="107"/>
      <c r="Q96" s="107"/>
      <c r="R96" s="107"/>
      <c r="S96" s="107"/>
      <c r="T96" s="107"/>
      <c r="U96" s="107"/>
    </row>
    <row r="97" spans="7:21" x14ac:dyDescent="0.2">
      <c r="G97" s="73"/>
      <c r="I97" s="107"/>
      <c r="J97" s="107"/>
      <c r="K97" s="107"/>
      <c r="L97" s="107"/>
      <c r="M97" s="107"/>
      <c r="N97" s="107"/>
      <c r="O97" s="107"/>
      <c r="P97" s="107"/>
      <c r="Q97" s="107"/>
      <c r="R97" s="107"/>
      <c r="S97" s="107"/>
      <c r="T97" s="107"/>
      <c r="U97" s="107"/>
    </row>
    <row r="98" spans="7:21" x14ac:dyDescent="0.2">
      <c r="G98" s="73"/>
      <c r="I98" s="107"/>
      <c r="J98" s="107"/>
      <c r="K98" s="107"/>
      <c r="L98" s="107"/>
      <c r="M98" s="107"/>
      <c r="N98" s="107"/>
      <c r="O98" s="107"/>
      <c r="P98" s="107"/>
      <c r="Q98" s="107"/>
      <c r="R98" s="107"/>
      <c r="S98" s="107"/>
      <c r="T98" s="107"/>
      <c r="U98" s="107"/>
    </row>
    <row r="99" spans="7:21" x14ac:dyDescent="0.2">
      <c r="G99" s="73"/>
      <c r="I99" s="107"/>
      <c r="J99" s="107"/>
      <c r="K99" s="107"/>
      <c r="L99" s="107"/>
      <c r="M99" s="107"/>
      <c r="N99" s="107"/>
      <c r="O99" s="107"/>
      <c r="P99" s="107"/>
      <c r="Q99" s="107"/>
      <c r="R99" s="107"/>
      <c r="S99" s="107"/>
      <c r="T99" s="107"/>
      <c r="U99" s="107"/>
    </row>
    <row r="100" spans="7:21" x14ac:dyDescent="0.2">
      <c r="G100" s="73"/>
      <c r="I100" s="107"/>
      <c r="J100" s="107"/>
      <c r="K100" s="107"/>
      <c r="L100" s="107"/>
      <c r="M100" s="107"/>
      <c r="N100" s="107"/>
      <c r="O100" s="107"/>
      <c r="P100" s="107"/>
      <c r="Q100" s="107"/>
      <c r="R100" s="107"/>
      <c r="S100" s="107"/>
      <c r="T100" s="107"/>
      <c r="U100" s="107"/>
    </row>
    <row r="101" spans="7:21" x14ac:dyDescent="0.2">
      <c r="G101" s="73"/>
      <c r="I101" s="107"/>
      <c r="J101" s="107"/>
      <c r="K101" s="107"/>
      <c r="L101" s="107"/>
      <c r="M101" s="107"/>
      <c r="N101" s="107"/>
      <c r="O101" s="107"/>
      <c r="P101" s="107"/>
      <c r="Q101" s="107"/>
      <c r="R101" s="107"/>
      <c r="S101" s="107"/>
      <c r="T101" s="107"/>
      <c r="U101" s="107"/>
    </row>
    <row r="102" spans="7:21" x14ac:dyDescent="0.2">
      <c r="G102" s="73"/>
      <c r="I102" s="107"/>
      <c r="J102" s="107"/>
      <c r="K102" s="107"/>
      <c r="L102" s="107"/>
      <c r="M102" s="107"/>
      <c r="N102" s="107"/>
      <c r="O102" s="107"/>
      <c r="P102" s="107"/>
      <c r="Q102" s="107"/>
      <c r="R102" s="107"/>
      <c r="S102" s="107"/>
      <c r="T102" s="107"/>
      <c r="U102" s="107"/>
    </row>
    <row r="103" spans="7:21" x14ac:dyDescent="0.2">
      <c r="G103" s="73"/>
      <c r="I103" s="107"/>
      <c r="J103" s="107"/>
      <c r="K103" s="107"/>
      <c r="L103" s="107"/>
      <c r="M103" s="107"/>
      <c r="N103" s="107"/>
      <c r="O103" s="107"/>
      <c r="P103" s="107"/>
      <c r="Q103" s="107"/>
      <c r="R103" s="107"/>
      <c r="S103" s="107"/>
      <c r="T103" s="107"/>
      <c r="U103" s="107"/>
    </row>
    <row r="104" spans="7:21" x14ac:dyDescent="0.2">
      <c r="G104" s="73"/>
      <c r="I104" s="107"/>
      <c r="J104" s="107"/>
      <c r="K104" s="107"/>
      <c r="L104" s="107"/>
      <c r="M104" s="107"/>
      <c r="N104" s="107"/>
      <c r="O104" s="107"/>
      <c r="P104" s="107"/>
      <c r="Q104" s="107"/>
      <c r="R104" s="107"/>
      <c r="S104" s="107"/>
      <c r="T104" s="107"/>
      <c r="U104" s="107"/>
    </row>
    <row r="105" spans="7:21" x14ac:dyDescent="0.2">
      <c r="G105" s="73"/>
      <c r="J105" s="73"/>
      <c r="L105" s="73"/>
      <c r="O105" s="73"/>
    </row>
    <row r="106" spans="7:21" x14ac:dyDescent="0.2">
      <c r="G106" s="73"/>
      <c r="J106" s="73"/>
      <c r="L106" s="73"/>
      <c r="O106" s="73"/>
    </row>
    <row r="107" spans="7:21" x14ac:dyDescent="0.2">
      <c r="G107" s="73"/>
      <c r="J107" s="73"/>
      <c r="L107" s="73"/>
      <c r="O107" s="73"/>
    </row>
    <row r="108" spans="7:21" x14ac:dyDescent="0.2">
      <c r="G108" s="73"/>
      <c r="J108" s="73"/>
      <c r="L108" s="73"/>
      <c r="O108" s="73"/>
    </row>
    <row r="109" spans="7:21" x14ac:dyDescent="0.2">
      <c r="G109" s="73"/>
      <c r="J109" s="73"/>
      <c r="L109" s="73"/>
      <c r="O109" s="73"/>
    </row>
    <row r="110" spans="7:21" x14ac:dyDescent="0.2">
      <c r="G110" s="73"/>
      <c r="J110" s="73"/>
      <c r="L110" s="73"/>
      <c r="O110" s="73"/>
    </row>
    <row r="111" spans="7:21" x14ac:dyDescent="0.2">
      <c r="G111" s="73"/>
      <c r="J111" s="73"/>
      <c r="L111" s="73"/>
      <c r="O111" s="73"/>
    </row>
    <row r="112" spans="7:21" x14ac:dyDescent="0.2">
      <c r="G112" s="73"/>
      <c r="J112" s="73"/>
      <c r="L112" s="73"/>
      <c r="O112" s="73"/>
    </row>
    <row r="113" spans="7:15" x14ac:dyDescent="0.2">
      <c r="G113" s="73"/>
      <c r="J113" s="73"/>
      <c r="L113" s="73"/>
      <c r="O113" s="73"/>
    </row>
    <row r="114" spans="7:15" x14ac:dyDescent="0.2">
      <c r="G114" s="73"/>
      <c r="J114" s="73"/>
      <c r="L114" s="73"/>
      <c r="O114" s="73"/>
    </row>
    <row r="115" spans="7:15" x14ac:dyDescent="0.2">
      <c r="G115" s="73"/>
      <c r="J115" s="73"/>
      <c r="L115" s="73"/>
      <c r="O115" s="73"/>
    </row>
    <row r="116" spans="7:15" x14ac:dyDescent="0.2">
      <c r="G116" s="73"/>
      <c r="J116" s="73"/>
      <c r="L116" s="73"/>
      <c r="O116" s="73"/>
    </row>
    <row r="117" spans="7:15" x14ac:dyDescent="0.2">
      <c r="G117" s="73"/>
      <c r="J117" s="73"/>
      <c r="L117" s="73"/>
      <c r="O117" s="73"/>
    </row>
    <row r="118" spans="7:15" x14ac:dyDescent="0.2">
      <c r="G118" s="73"/>
      <c r="J118" s="73"/>
      <c r="L118" s="73"/>
      <c r="O118" s="73"/>
    </row>
    <row r="119" spans="7:15" x14ac:dyDescent="0.2">
      <c r="G119" s="73"/>
      <c r="J119" s="73"/>
      <c r="L119" s="73"/>
      <c r="O119" s="73"/>
    </row>
    <row r="120" spans="7:15" x14ac:dyDescent="0.2">
      <c r="G120" s="73"/>
      <c r="J120" s="73"/>
      <c r="L120" s="73"/>
      <c r="O120" s="73"/>
    </row>
    <row r="121" spans="7:15" x14ac:dyDescent="0.2">
      <c r="G121" s="73"/>
      <c r="J121" s="73"/>
      <c r="L121" s="73"/>
      <c r="O121" s="73"/>
    </row>
    <row r="122" spans="7:15" x14ac:dyDescent="0.2">
      <c r="G122" s="73"/>
      <c r="J122" s="73"/>
      <c r="L122" s="73"/>
      <c r="O122" s="73"/>
    </row>
    <row r="123" spans="7:15" x14ac:dyDescent="0.2">
      <c r="G123" s="73"/>
      <c r="J123" s="73"/>
      <c r="L123" s="73"/>
      <c r="O123" s="73"/>
    </row>
    <row r="124" spans="7:15" x14ac:dyDescent="0.2">
      <c r="G124" s="73"/>
      <c r="J124" s="73"/>
      <c r="L124" s="73"/>
      <c r="O124" s="73"/>
    </row>
    <row r="125" spans="7:15" x14ac:dyDescent="0.2">
      <c r="G125" s="73"/>
      <c r="J125" s="73"/>
      <c r="L125" s="73"/>
      <c r="O125" s="73"/>
    </row>
    <row r="126" spans="7:15" x14ac:dyDescent="0.2">
      <c r="G126" s="73"/>
      <c r="J126" s="73"/>
      <c r="L126" s="73"/>
      <c r="O126" s="73"/>
    </row>
    <row r="127" spans="7:15" x14ac:dyDescent="0.2">
      <c r="G127" s="73"/>
      <c r="J127" s="73"/>
      <c r="L127" s="73"/>
      <c r="O127" s="73"/>
    </row>
    <row r="128" spans="7:15" x14ac:dyDescent="0.2">
      <c r="G128" s="73"/>
      <c r="J128" s="73"/>
      <c r="L128" s="73"/>
      <c r="O128" s="73"/>
    </row>
    <row r="129" spans="7:15" x14ac:dyDescent="0.2">
      <c r="G129" s="73"/>
      <c r="J129" s="73"/>
      <c r="L129" s="73"/>
      <c r="O129" s="73"/>
    </row>
    <row r="130" spans="7:15" x14ac:dyDescent="0.2">
      <c r="G130" s="73"/>
      <c r="J130" s="73"/>
      <c r="L130" s="73"/>
      <c r="O130" s="73"/>
    </row>
    <row r="131" spans="7:15" x14ac:dyDescent="0.2">
      <c r="G131" s="73"/>
      <c r="J131" s="73"/>
      <c r="L131" s="73"/>
      <c r="O131" s="73"/>
    </row>
    <row r="132" spans="7:15" x14ac:dyDescent="0.2">
      <c r="G132" s="73"/>
      <c r="J132" s="73"/>
      <c r="L132" s="73"/>
      <c r="O132" s="73"/>
    </row>
    <row r="133" spans="7:15" x14ac:dyDescent="0.2">
      <c r="G133" s="73"/>
      <c r="J133" s="73"/>
      <c r="L133" s="73"/>
      <c r="O133" s="73"/>
    </row>
    <row r="134" spans="7:15" x14ac:dyDescent="0.2">
      <c r="G134" s="73"/>
      <c r="J134" s="73"/>
      <c r="L134" s="73"/>
      <c r="O134" s="73"/>
    </row>
    <row r="135" spans="7:15" x14ac:dyDescent="0.2">
      <c r="G135" s="73"/>
      <c r="J135" s="73"/>
      <c r="L135" s="73"/>
      <c r="O135" s="73"/>
    </row>
    <row r="136" spans="7:15" x14ac:dyDescent="0.2">
      <c r="G136" s="73"/>
      <c r="J136" s="73"/>
      <c r="L136" s="73"/>
      <c r="O136" s="73"/>
    </row>
    <row r="137" spans="7:15" x14ac:dyDescent="0.2">
      <c r="G137" s="73"/>
      <c r="J137" s="73"/>
      <c r="L137" s="73"/>
      <c r="O137" s="73"/>
    </row>
    <row r="138" spans="7:15" x14ac:dyDescent="0.2">
      <c r="G138" s="73"/>
      <c r="J138" s="73"/>
      <c r="L138" s="73"/>
      <c r="O138" s="73"/>
    </row>
    <row r="139" spans="7:15" x14ac:dyDescent="0.2">
      <c r="G139" s="73"/>
      <c r="J139" s="73"/>
      <c r="L139" s="73"/>
      <c r="O139" s="73"/>
    </row>
    <row r="140" spans="7:15" x14ac:dyDescent="0.2">
      <c r="G140" s="73"/>
      <c r="J140" s="73"/>
      <c r="L140" s="73"/>
      <c r="O140" s="73"/>
    </row>
    <row r="141" spans="7:15" x14ac:dyDescent="0.2">
      <c r="G141" s="73"/>
      <c r="J141" s="73"/>
      <c r="L141" s="73"/>
      <c r="O141" s="73"/>
    </row>
    <row r="142" spans="7:15" x14ac:dyDescent="0.2">
      <c r="G142" s="73"/>
      <c r="J142" s="73"/>
      <c r="L142" s="73"/>
      <c r="O142" s="73"/>
    </row>
    <row r="143" spans="7:15" x14ac:dyDescent="0.2">
      <c r="G143" s="73"/>
      <c r="J143" s="73"/>
      <c r="L143" s="73"/>
      <c r="O143" s="73"/>
    </row>
    <row r="144" spans="7:15" x14ac:dyDescent="0.2">
      <c r="G144" s="73"/>
      <c r="J144" s="73"/>
      <c r="L144" s="73"/>
      <c r="O144" s="73"/>
    </row>
    <row r="145" spans="7:15" x14ac:dyDescent="0.2">
      <c r="G145" s="73"/>
      <c r="J145" s="73"/>
      <c r="L145" s="73"/>
      <c r="O145" s="73"/>
    </row>
    <row r="146" spans="7:15" x14ac:dyDescent="0.2">
      <c r="G146" s="73"/>
      <c r="J146" s="73"/>
      <c r="L146" s="73"/>
      <c r="O146" s="73"/>
    </row>
    <row r="147" spans="7:15" x14ac:dyDescent="0.2">
      <c r="G147" s="73"/>
      <c r="J147" s="73"/>
      <c r="L147" s="73"/>
      <c r="O147" s="73"/>
    </row>
    <row r="148" spans="7:15" x14ac:dyDescent="0.2">
      <c r="G148" s="73"/>
      <c r="J148" s="73"/>
      <c r="L148" s="73"/>
      <c r="O148" s="73"/>
    </row>
    <row r="149" spans="7:15" x14ac:dyDescent="0.2">
      <c r="G149" s="73"/>
      <c r="J149" s="73"/>
      <c r="L149" s="73"/>
      <c r="O149" s="73"/>
    </row>
    <row r="150" spans="7:15" x14ac:dyDescent="0.2">
      <c r="G150" s="73"/>
      <c r="J150" s="73"/>
      <c r="L150" s="73"/>
      <c r="O150" s="73"/>
    </row>
    <row r="151" spans="7:15" x14ac:dyDescent="0.2">
      <c r="G151" s="73"/>
      <c r="J151" s="73"/>
      <c r="L151" s="73"/>
      <c r="O151" s="73"/>
    </row>
    <row r="152" spans="7:15" x14ac:dyDescent="0.2">
      <c r="G152" s="73"/>
      <c r="J152" s="73"/>
      <c r="L152" s="73"/>
      <c r="O152" s="73"/>
    </row>
    <row r="153" spans="7:15" x14ac:dyDescent="0.2">
      <c r="G153" s="73"/>
      <c r="J153" s="73"/>
      <c r="L153" s="73"/>
      <c r="O153" s="73"/>
    </row>
    <row r="154" spans="7:15" x14ac:dyDescent="0.2">
      <c r="G154" s="73"/>
      <c r="J154" s="73"/>
      <c r="L154" s="73"/>
      <c r="O154" s="73"/>
    </row>
    <row r="155" spans="7:15" x14ac:dyDescent="0.2">
      <c r="G155" s="73"/>
      <c r="J155" s="73"/>
      <c r="L155" s="73"/>
      <c r="O155" s="73"/>
    </row>
    <row r="156" spans="7:15" x14ac:dyDescent="0.2">
      <c r="G156" s="73"/>
      <c r="J156" s="73"/>
      <c r="L156" s="73"/>
      <c r="O156" s="73"/>
    </row>
    <row r="157" spans="7:15" x14ac:dyDescent="0.2">
      <c r="G157" s="73"/>
      <c r="J157" s="73"/>
      <c r="L157" s="73"/>
      <c r="O157" s="73"/>
    </row>
    <row r="158" spans="7:15" x14ac:dyDescent="0.2">
      <c r="G158" s="73"/>
      <c r="J158" s="73"/>
      <c r="L158" s="73"/>
      <c r="O158" s="73"/>
    </row>
    <row r="159" spans="7:15" x14ac:dyDescent="0.2">
      <c r="G159" s="73"/>
      <c r="J159" s="73"/>
      <c r="L159" s="73"/>
      <c r="O159" s="73"/>
    </row>
    <row r="160" spans="7:15" x14ac:dyDescent="0.2">
      <c r="G160" s="73"/>
      <c r="J160" s="73"/>
      <c r="L160" s="73"/>
      <c r="O160" s="73"/>
    </row>
    <row r="161" spans="7:15" x14ac:dyDescent="0.2">
      <c r="G161" s="73"/>
      <c r="J161" s="73"/>
      <c r="L161" s="73"/>
      <c r="O161" s="73"/>
    </row>
    <row r="162" spans="7:15" x14ac:dyDescent="0.2">
      <c r="G162" s="73"/>
      <c r="J162" s="73"/>
      <c r="L162" s="73"/>
      <c r="O162" s="73"/>
    </row>
    <row r="163" spans="7:15" x14ac:dyDescent="0.2">
      <c r="G163" s="73"/>
      <c r="J163" s="73"/>
      <c r="L163" s="73"/>
      <c r="O163" s="73"/>
    </row>
    <row r="164" spans="7:15" x14ac:dyDescent="0.2">
      <c r="G164" s="73"/>
      <c r="J164" s="73"/>
      <c r="L164" s="73"/>
      <c r="O164" s="73"/>
    </row>
    <row r="165" spans="7:15" x14ac:dyDescent="0.2">
      <c r="G165" s="73"/>
      <c r="J165" s="73"/>
      <c r="L165" s="73"/>
      <c r="O165" s="73"/>
    </row>
    <row r="166" spans="7:15" x14ac:dyDescent="0.2">
      <c r="G166" s="73"/>
      <c r="J166" s="73"/>
      <c r="L166" s="73"/>
      <c r="O166" s="73"/>
    </row>
    <row r="167" spans="7:15" x14ac:dyDescent="0.2">
      <c r="G167" s="73"/>
      <c r="J167" s="73"/>
      <c r="L167" s="73"/>
      <c r="O167" s="73"/>
    </row>
    <row r="168" spans="7:15" x14ac:dyDescent="0.2">
      <c r="G168" s="73"/>
      <c r="J168" s="73"/>
      <c r="L168" s="73"/>
      <c r="O168" s="73"/>
    </row>
    <row r="169" spans="7:15" x14ac:dyDescent="0.2">
      <c r="G169" s="73"/>
      <c r="J169" s="73"/>
      <c r="L169" s="73"/>
      <c r="O169" s="73"/>
    </row>
    <row r="170" spans="7:15" x14ac:dyDescent="0.2">
      <c r="G170" s="73"/>
      <c r="J170" s="73"/>
      <c r="L170" s="73"/>
      <c r="O170" s="73"/>
    </row>
    <row r="171" spans="7:15" x14ac:dyDescent="0.2">
      <c r="G171" s="73"/>
      <c r="J171" s="73"/>
      <c r="L171" s="73"/>
      <c r="O171" s="73"/>
    </row>
    <row r="172" spans="7:15" x14ac:dyDescent="0.2">
      <c r="G172" s="73"/>
      <c r="J172" s="73"/>
      <c r="L172" s="73"/>
      <c r="O172" s="73"/>
    </row>
    <row r="173" spans="7:15" x14ac:dyDescent="0.2">
      <c r="G173" s="73"/>
      <c r="J173" s="73"/>
      <c r="L173" s="73"/>
      <c r="O173" s="73"/>
    </row>
    <row r="174" spans="7:15" x14ac:dyDescent="0.2">
      <c r="G174" s="73"/>
      <c r="J174" s="73"/>
      <c r="L174" s="73"/>
      <c r="O174" s="73"/>
    </row>
    <row r="175" spans="7:15" x14ac:dyDescent="0.2">
      <c r="G175" s="73"/>
      <c r="J175" s="73"/>
      <c r="L175" s="73"/>
      <c r="O175" s="73"/>
    </row>
    <row r="176" spans="7:15" x14ac:dyDescent="0.2">
      <c r="G176" s="73"/>
      <c r="J176" s="73"/>
      <c r="L176" s="73"/>
      <c r="O176" s="73"/>
    </row>
    <row r="177" spans="7:15" x14ac:dyDescent="0.2">
      <c r="G177" s="73"/>
      <c r="J177" s="73"/>
      <c r="L177" s="73"/>
      <c r="O177" s="73"/>
    </row>
    <row r="178" spans="7:15" x14ac:dyDescent="0.2">
      <c r="G178" s="73"/>
      <c r="J178" s="73"/>
      <c r="L178" s="73"/>
      <c r="O178" s="73"/>
    </row>
    <row r="179" spans="7:15" x14ac:dyDescent="0.2">
      <c r="G179" s="73"/>
      <c r="J179" s="73"/>
      <c r="L179" s="73"/>
      <c r="O179" s="73"/>
    </row>
    <row r="180" spans="7:15" x14ac:dyDescent="0.2">
      <c r="G180" s="73"/>
      <c r="J180" s="73"/>
      <c r="L180" s="73"/>
      <c r="O180" s="73"/>
    </row>
    <row r="181" spans="7:15" x14ac:dyDescent="0.2">
      <c r="G181" s="73"/>
      <c r="J181" s="73"/>
      <c r="L181" s="73"/>
      <c r="O181" s="73"/>
    </row>
    <row r="182" spans="7:15" x14ac:dyDescent="0.2">
      <c r="G182" s="73"/>
      <c r="J182" s="73"/>
      <c r="L182" s="73"/>
      <c r="O182" s="73"/>
    </row>
    <row r="183" spans="7:15" x14ac:dyDescent="0.2">
      <c r="G183" s="73"/>
      <c r="J183" s="73"/>
      <c r="L183" s="73"/>
      <c r="O183" s="73"/>
    </row>
    <row r="184" spans="7:15" x14ac:dyDescent="0.2">
      <c r="G184" s="73"/>
      <c r="J184" s="73"/>
      <c r="L184" s="73"/>
      <c r="O184" s="73"/>
    </row>
    <row r="185" spans="7:15" x14ac:dyDescent="0.2">
      <c r="G185" s="73"/>
      <c r="J185" s="73"/>
      <c r="L185" s="73"/>
      <c r="O185" s="73"/>
    </row>
    <row r="186" spans="7:15" x14ac:dyDescent="0.2">
      <c r="G186" s="73"/>
      <c r="J186" s="73"/>
      <c r="L186" s="73"/>
      <c r="O186" s="73"/>
    </row>
    <row r="187" spans="7:15" x14ac:dyDescent="0.2">
      <c r="G187" s="73"/>
      <c r="J187" s="73"/>
      <c r="L187" s="73"/>
      <c r="O187" s="73"/>
    </row>
    <row r="188" spans="7:15" x14ac:dyDescent="0.2">
      <c r="G188" s="73"/>
      <c r="J188" s="73"/>
      <c r="L188" s="73"/>
      <c r="O188" s="73"/>
    </row>
    <row r="189" spans="7:15" x14ac:dyDescent="0.2">
      <c r="G189" s="73"/>
      <c r="J189" s="73"/>
      <c r="L189" s="73"/>
      <c r="O189" s="73"/>
    </row>
    <row r="190" spans="7:15" x14ac:dyDescent="0.2">
      <c r="G190" s="73"/>
      <c r="J190" s="73"/>
      <c r="L190" s="73"/>
      <c r="O190" s="73"/>
    </row>
    <row r="191" spans="7:15" x14ac:dyDescent="0.2">
      <c r="G191" s="73"/>
      <c r="J191" s="73"/>
      <c r="L191" s="73"/>
      <c r="O191" s="73"/>
    </row>
    <row r="192" spans="7:15" x14ac:dyDescent="0.2">
      <c r="G192" s="73"/>
      <c r="J192" s="73"/>
      <c r="L192" s="73"/>
      <c r="O192" s="73"/>
    </row>
    <row r="193" spans="7:15" x14ac:dyDescent="0.2">
      <c r="G193" s="73"/>
      <c r="J193" s="73"/>
      <c r="L193" s="73"/>
      <c r="O193" s="73"/>
    </row>
    <row r="194" spans="7:15" x14ac:dyDescent="0.2">
      <c r="G194" s="73"/>
      <c r="J194" s="73"/>
      <c r="L194" s="73"/>
      <c r="O194" s="73"/>
    </row>
    <row r="195" spans="7:15" x14ac:dyDescent="0.2">
      <c r="G195" s="73"/>
      <c r="J195" s="73"/>
      <c r="L195" s="73"/>
      <c r="O195" s="73"/>
    </row>
    <row r="196" spans="7:15" x14ac:dyDescent="0.2">
      <c r="G196" s="73"/>
      <c r="J196" s="73"/>
      <c r="L196" s="73"/>
      <c r="O196" s="73"/>
    </row>
    <row r="197" spans="7:15" x14ac:dyDescent="0.2">
      <c r="G197" s="73"/>
      <c r="J197" s="73"/>
      <c r="L197" s="73"/>
      <c r="O197" s="73"/>
    </row>
    <row r="198" spans="7:15" x14ac:dyDescent="0.2">
      <c r="G198" s="73"/>
      <c r="J198" s="73"/>
      <c r="L198" s="73"/>
      <c r="O198" s="73"/>
    </row>
    <row r="199" spans="7:15" x14ac:dyDescent="0.2">
      <c r="G199" s="73"/>
      <c r="J199" s="73"/>
      <c r="L199" s="73"/>
      <c r="O199" s="73"/>
    </row>
    <row r="200" spans="7:15" x14ac:dyDescent="0.2">
      <c r="G200" s="73"/>
      <c r="J200" s="73"/>
      <c r="L200" s="73"/>
      <c r="O200" s="73"/>
    </row>
    <row r="201" spans="7:15" x14ac:dyDescent="0.2">
      <c r="G201" s="73"/>
      <c r="J201" s="73"/>
      <c r="L201" s="73"/>
      <c r="O201" s="73"/>
    </row>
    <row r="202" spans="7:15" x14ac:dyDescent="0.2">
      <c r="G202" s="73"/>
      <c r="J202" s="73"/>
      <c r="L202" s="73"/>
      <c r="O202" s="73"/>
    </row>
    <row r="203" spans="7:15" x14ac:dyDescent="0.2">
      <c r="G203" s="73"/>
      <c r="J203" s="73"/>
      <c r="L203" s="73"/>
      <c r="O203" s="73"/>
    </row>
    <row r="204" spans="7:15" x14ac:dyDescent="0.2">
      <c r="G204" s="73"/>
      <c r="J204" s="73"/>
      <c r="L204" s="73"/>
      <c r="O204" s="73"/>
    </row>
    <row r="205" spans="7:15" x14ac:dyDescent="0.2">
      <c r="G205" s="73"/>
      <c r="J205" s="73"/>
      <c r="L205" s="73"/>
      <c r="O205" s="73"/>
    </row>
    <row r="206" spans="7:15" x14ac:dyDescent="0.2">
      <c r="G206" s="73"/>
      <c r="J206" s="73"/>
      <c r="L206" s="73"/>
      <c r="O206" s="73"/>
    </row>
    <row r="207" spans="7:15" x14ac:dyDescent="0.2">
      <c r="G207" s="73"/>
      <c r="J207" s="73"/>
      <c r="L207" s="73"/>
      <c r="O207" s="73"/>
    </row>
    <row r="208" spans="7:15" x14ac:dyDescent="0.2">
      <c r="G208" s="73"/>
      <c r="J208" s="73"/>
      <c r="L208" s="73"/>
      <c r="O208" s="73"/>
    </row>
    <row r="209" spans="7:15" x14ac:dyDescent="0.2">
      <c r="G209" s="73"/>
      <c r="J209" s="73"/>
      <c r="L209" s="73"/>
      <c r="O209" s="73"/>
    </row>
    <row r="210" spans="7:15" x14ac:dyDescent="0.2">
      <c r="G210" s="73"/>
      <c r="J210" s="73"/>
      <c r="L210" s="73"/>
      <c r="O210" s="73"/>
    </row>
    <row r="211" spans="7:15" x14ac:dyDescent="0.2">
      <c r="G211" s="73"/>
      <c r="J211" s="73"/>
      <c r="L211" s="73"/>
      <c r="O211" s="73"/>
    </row>
    <row r="212" spans="7:15" x14ac:dyDescent="0.2">
      <c r="G212" s="73"/>
      <c r="J212" s="73"/>
      <c r="L212" s="73"/>
      <c r="O212" s="73"/>
    </row>
    <row r="213" spans="7:15" x14ac:dyDescent="0.2">
      <c r="G213" s="73"/>
      <c r="J213" s="73"/>
      <c r="L213" s="73"/>
      <c r="O213" s="73"/>
    </row>
    <row r="214" spans="7:15" x14ac:dyDescent="0.2">
      <c r="G214" s="73"/>
      <c r="J214" s="73"/>
      <c r="L214" s="73"/>
      <c r="O214" s="73"/>
    </row>
    <row r="215" spans="7:15" x14ac:dyDescent="0.2">
      <c r="G215" s="73"/>
      <c r="J215" s="73"/>
      <c r="L215" s="73"/>
      <c r="O215" s="73"/>
    </row>
    <row r="216" spans="7:15" x14ac:dyDescent="0.2">
      <c r="G216" s="73"/>
      <c r="J216" s="73"/>
      <c r="L216" s="73"/>
      <c r="O216" s="73"/>
    </row>
    <row r="217" spans="7:15" x14ac:dyDescent="0.2">
      <c r="G217" s="73"/>
      <c r="J217" s="73"/>
      <c r="L217" s="73"/>
      <c r="O217" s="73"/>
    </row>
    <row r="218" spans="7:15" x14ac:dyDescent="0.2">
      <c r="G218" s="73"/>
      <c r="J218" s="73"/>
      <c r="L218" s="73"/>
      <c r="O218" s="73"/>
    </row>
    <row r="219" spans="7:15" x14ac:dyDescent="0.2">
      <c r="G219" s="73"/>
      <c r="J219" s="73"/>
      <c r="L219" s="73"/>
      <c r="O219" s="73"/>
    </row>
    <row r="220" spans="7:15" x14ac:dyDescent="0.2">
      <c r="G220" s="73"/>
      <c r="J220" s="73"/>
      <c r="L220" s="73"/>
      <c r="O220" s="73"/>
    </row>
    <row r="221" spans="7:15" x14ac:dyDescent="0.2">
      <c r="G221" s="73"/>
      <c r="J221" s="73"/>
      <c r="L221" s="73"/>
      <c r="O221" s="73"/>
    </row>
    <row r="222" spans="7:15" x14ac:dyDescent="0.2">
      <c r="G222" s="73"/>
      <c r="J222" s="73"/>
      <c r="L222" s="73"/>
      <c r="O222" s="73"/>
    </row>
    <row r="223" spans="7:15" x14ac:dyDescent="0.2">
      <c r="G223" s="73"/>
      <c r="J223" s="73"/>
      <c r="L223" s="73"/>
      <c r="O223" s="73"/>
    </row>
    <row r="224" spans="7:15" x14ac:dyDescent="0.2">
      <c r="G224" s="73"/>
      <c r="J224" s="73"/>
      <c r="L224" s="73"/>
      <c r="O224" s="73"/>
    </row>
    <row r="225" spans="7:15" x14ac:dyDescent="0.2">
      <c r="G225" s="73"/>
      <c r="J225" s="73"/>
      <c r="L225" s="73"/>
      <c r="O225" s="73"/>
    </row>
    <row r="226" spans="7:15" x14ac:dyDescent="0.2">
      <c r="G226" s="73"/>
      <c r="J226" s="73"/>
      <c r="L226" s="73"/>
      <c r="O226" s="73"/>
    </row>
    <row r="227" spans="7:15" x14ac:dyDescent="0.2">
      <c r="G227" s="73"/>
      <c r="J227" s="73"/>
      <c r="L227" s="73"/>
      <c r="O227" s="73"/>
    </row>
    <row r="228" spans="7:15" x14ac:dyDescent="0.2">
      <c r="G228" s="73"/>
      <c r="J228" s="73"/>
      <c r="L228" s="73"/>
      <c r="O228" s="73"/>
    </row>
    <row r="229" spans="7:15" x14ac:dyDescent="0.2">
      <c r="G229" s="73"/>
      <c r="J229" s="73"/>
      <c r="L229" s="73"/>
      <c r="O229" s="73"/>
    </row>
    <row r="230" spans="7:15" x14ac:dyDescent="0.2">
      <c r="G230" s="73"/>
      <c r="J230" s="73"/>
      <c r="L230" s="73"/>
      <c r="O230" s="73"/>
    </row>
    <row r="231" spans="7:15" x14ac:dyDescent="0.2">
      <c r="G231" s="73"/>
      <c r="J231" s="73"/>
      <c r="L231" s="73"/>
      <c r="O231" s="73"/>
    </row>
    <row r="232" spans="7:15" x14ac:dyDescent="0.2">
      <c r="G232" s="73"/>
      <c r="J232" s="73"/>
      <c r="L232" s="73"/>
      <c r="O232" s="73"/>
    </row>
    <row r="233" spans="7:15" x14ac:dyDescent="0.2">
      <c r="G233" s="73"/>
      <c r="J233" s="73"/>
      <c r="L233" s="73"/>
      <c r="O233" s="73"/>
    </row>
    <row r="234" spans="7:15" x14ac:dyDescent="0.2">
      <c r="G234" s="73"/>
      <c r="J234" s="73"/>
      <c r="L234" s="73"/>
      <c r="O234" s="73"/>
    </row>
    <row r="235" spans="7:15" x14ac:dyDescent="0.2">
      <c r="G235" s="73"/>
      <c r="J235" s="73"/>
      <c r="L235" s="73"/>
      <c r="O235" s="73"/>
    </row>
    <row r="236" spans="7:15" x14ac:dyDescent="0.2">
      <c r="G236" s="73"/>
      <c r="J236" s="73"/>
      <c r="L236" s="73"/>
      <c r="O236" s="73"/>
    </row>
    <row r="237" spans="7:15" x14ac:dyDescent="0.2">
      <c r="G237" s="73"/>
      <c r="J237" s="73"/>
      <c r="L237" s="73"/>
      <c r="O237" s="73"/>
    </row>
    <row r="238" spans="7:15" x14ac:dyDescent="0.2">
      <c r="G238" s="73"/>
      <c r="J238" s="73"/>
      <c r="L238" s="73"/>
      <c r="O238" s="73"/>
    </row>
    <row r="239" spans="7:15" x14ac:dyDescent="0.2">
      <c r="G239" s="73"/>
      <c r="J239" s="73"/>
      <c r="L239" s="73"/>
      <c r="O239" s="73"/>
    </row>
    <row r="240" spans="7:15" x14ac:dyDescent="0.2">
      <c r="G240" s="73"/>
      <c r="J240" s="73"/>
      <c r="L240" s="73"/>
      <c r="O240" s="73"/>
    </row>
    <row r="241" spans="7:15" x14ac:dyDescent="0.2">
      <c r="G241" s="73"/>
      <c r="J241" s="73"/>
      <c r="L241" s="73"/>
      <c r="O241" s="73"/>
    </row>
    <row r="242" spans="7:15" x14ac:dyDescent="0.2">
      <c r="G242" s="73"/>
      <c r="J242" s="73"/>
      <c r="L242" s="73"/>
      <c r="O242" s="73"/>
    </row>
    <row r="243" spans="7:15" x14ac:dyDescent="0.2">
      <c r="G243" s="73"/>
      <c r="J243" s="73"/>
      <c r="L243" s="73"/>
      <c r="O243" s="73"/>
    </row>
    <row r="244" spans="7:15" x14ac:dyDescent="0.2">
      <c r="G244" s="73"/>
      <c r="J244" s="73"/>
      <c r="L244" s="73"/>
      <c r="O244" s="73"/>
    </row>
    <row r="245" spans="7:15" x14ac:dyDescent="0.2">
      <c r="G245" s="73"/>
      <c r="J245" s="73"/>
      <c r="L245" s="73"/>
      <c r="O245" s="73"/>
    </row>
    <row r="246" spans="7:15" x14ac:dyDescent="0.2">
      <c r="G246" s="73"/>
      <c r="J246" s="73"/>
      <c r="L246" s="73"/>
      <c r="O246" s="73"/>
    </row>
    <row r="247" spans="7:15" x14ac:dyDescent="0.2">
      <c r="G247" s="73"/>
      <c r="J247" s="73"/>
      <c r="L247" s="73"/>
      <c r="O247" s="73"/>
    </row>
    <row r="248" spans="7:15" x14ac:dyDescent="0.2">
      <c r="G248" s="73"/>
      <c r="J248" s="73"/>
      <c r="L248" s="73"/>
      <c r="O248" s="73"/>
    </row>
    <row r="249" spans="7:15" x14ac:dyDescent="0.2">
      <c r="G249" s="73"/>
      <c r="J249" s="73"/>
      <c r="L249" s="73"/>
      <c r="O249" s="73"/>
    </row>
    <row r="250" spans="7:15" x14ac:dyDescent="0.2">
      <c r="G250" s="73"/>
      <c r="J250" s="73"/>
      <c r="L250" s="73"/>
      <c r="O250" s="73"/>
    </row>
    <row r="251" spans="7:15" x14ac:dyDescent="0.2">
      <c r="G251" s="73"/>
      <c r="J251" s="73"/>
      <c r="L251" s="73"/>
      <c r="O251" s="73"/>
    </row>
    <row r="252" spans="7:15" x14ac:dyDescent="0.2">
      <c r="G252" s="73"/>
      <c r="J252" s="73"/>
      <c r="L252" s="73"/>
      <c r="O252" s="73"/>
    </row>
    <row r="253" spans="7:15" x14ac:dyDescent="0.2">
      <c r="G253" s="73"/>
      <c r="J253" s="73"/>
      <c r="L253" s="73"/>
      <c r="O253" s="73"/>
    </row>
    <row r="254" spans="7:15" x14ac:dyDescent="0.2">
      <c r="G254" s="73"/>
      <c r="J254" s="73"/>
      <c r="L254" s="73"/>
      <c r="O254" s="73"/>
    </row>
    <row r="255" spans="7:15" x14ac:dyDescent="0.2">
      <c r="G255" s="73"/>
      <c r="J255" s="73"/>
      <c r="L255" s="73"/>
      <c r="O255" s="73"/>
    </row>
    <row r="256" spans="7:15" x14ac:dyDescent="0.2">
      <c r="G256" s="73"/>
      <c r="J256" s="73"/>
      <c r="L256" s="73"/>
      <c r="O256" s="73"/>
    </row>
    <row r="257" spans="7:15" x14ac:dyDescent="0.2">
      <c r="G257" s="73"/>
      <c r="J257" s="73"/>
      <c r="L257" s="73"/>
      <c r="O257" s="73"/>
    </row>
    <row r="258" spans="7:15" x14ac:dyDescent="0.2">
      <c r="G258" s="73"/>
      <c r="J258" s="73"/>
      <c r="L258" s="73"/>
      <c r="O258" s="73"/>
    </row>
    <row r="259" spans="7:15" x14ac:dyDescent="0.2">
      <c r="G259" s="73"/>
      <c r="J259" s="73"/>
      <c r="L259" s="73"/>
      <c r="O259" s="73"/>
    </row>
    <row r="260" spans="7:15" x14ac:dyDescent="0.2">
      <c r="G260" s="73"/>
      <c r="J260" s="73"/>
      <c r="L260" s="73"/>
      <c r="O260" s="73"/>
    </row>
    <row r="261" spans="7:15" x14ac:dyDescent="0.2">
      <c r="G261" s="73"/>
      <c r="J261" s="73"/>
      <c r="L261" s="73"/>
      <c r="O261" s="73"/>
    </row>
    <row r="262" spans="7:15" x14ac:dyDescent="0.2">
      <c r="G262" s="73"/>
      <c r="J262" s="73"/>
      <c r="L262" s="73"/>
      <c r="O262" s="73"/>
    </row>
    <row r="263" spans="7:15" x14ac:dyDescent="0.2">
      <c r="G263" s="73"/>
      <c r="J263" s="73"/>
      <c r="L263" s="73"/>
      <c r="O263" s="73"/>
    </row>
    <row r="264" spans="7:15" x14ac:dyDescent="0.2">
      <c r="G264" s="73"/>
      <c r="J264" s="73"/>
      <c r="L264" s="73"/>
      <c r="O264" s="73"/>
    </row>
    <row r="265" spans="7:15" x14ac:dyDescent="0.2">
      <c r="G265" s="73"/>
      <c r="J265" s="73"/>
      <c r="L265" s="73"/>
      <c r="O265" s="73"/>
    </row>
    <row r="266" spans="7:15" x14ac:dyDescent="0.2">
      <c r="G266" s="73"/>
      <c r="J266" s="73"/>
      <c r="L266" s="73"/>
      <c r="O266" s="73"/>
    </row>
    <row r="267" spans="7:15" x14ac:dyDescent="0.2">
      <c r="G267" s="73"/>
      <c r="J267" s="73"/>
      <c r="L267" s="73"/>
      <c r="O267" s="73"/>
    </row>
    <row r="268" spans="7:15" x14ac:dyDescent="0.2">
      <c r="G268" s="73"/>
      <c r="J268" s="73"/>
      <c r="L268" s="73"/>
      <c r="O268" s="73"/>
    </row>
    <row r="269" spans="7:15" x14ac:dyDescent="0.2">
      <c r="G269" s="73"/>
      <c r="J269" s="73"/>
      <c r="L269" s="73"/>
      <c r="O269" s="73"/>
    </row>
    <row r="270" spans="7:15" x14ac:dyDescent="0.2">
      <c r="G270" s="73"/>
      <c r="J270" s="73"/>
      <c r="L270" s="73"/>
      <c r="O270" s="73"/>
    </row>
    <row r="271" spans="7:15" x14ac:dyDescent="0.2">
      <c r="G271" s="73"/>
      <c r="J271" s="73"/>
      <c r="L271" s="73"/>
      <c r="O271" s="73"/>
    </row>
    <row r="272" spans="7:15" x14ac:dyDescent="0.2">
      <c r="G272" s="73"/>
      <c r="J272" s="73"/>
      <c r="L272" s="73"/>
      <c r="O272" s="73"/>
    </row>
    <row r="273" spans="7:15" x14ac:dyDescent="0.2">
      <c r="G273" s="73"/>
      <c r="J273" s="73"/>
      <c r="L273" s="73"/>
      <c r="O273" s="73"/>
    </row>
    <row r="274" spans="7:15" x14ac:dyDescent="0.2">
      <c r="G274" s="73"/>
      <c r="J274" s="73"/>
      <c r="L274" s="73"/>
      <c r="O274" s="73"/>
    </row>
    <row r="275" spans="7:15" x14ac:dyDescent="0.2">
      <c r="G275" s="73"/>
      <c r="J275" s="73"/>
      <c r="L275" s="73"/>
      <c r="O275" s="73"/>
    </row>
    <row r="276" spans="7:15" x14ac:dyDescent="0.2">
      <c r="G276" s="73"/>
      <c r="J276" s="73"/>
      <c r="L276" s="73"/>
      <c r="O276" s="73"/>
    </row>
    <row r="277" spans="7:15" x14ac:dyDescent="0.2">
      <c r="G277" s="73"/>
      <c r="J277" s="73"/>
      <c r="L277" s="73"/>
      <c r="O277" s="73"/>
    </row>
    <row r="278" spans="7:15" x14ac:dyDescent="0.2">
      <c r="G278" s="73"/>
      <c r="J278" s="73"/>
      <c r="L278" s="73"/>
      <c r="O278" s="73"/>
    </row>
    <row r="279" spans="7:15" x14ac:dyDescent="0.2">
      <c r="G279" s="73"/>
      <c r="J279" s="73"/>
      <c r="L279" s="73"/>
      <c r="O279" s="73"/>
    </row>
    <row r="280" spans="7:15" x14ac:dyDescent="0.2">
      <c r="G280" s="73"/>
      <c r="J280" s="73"/>
      <c r="L280" s="73"/>
      <c r="O280" s="73"/>
    </row>
    <row r="281" spans="7:15" x14ac:dyDescent="0.2">
      <c r="G281" s="73"/>
      <c r="J281" s="73"/>
      <c r="L281" s="73"/>
      <c r="O281" s="73"/>
    </row>
    <row r="282" spans="7:15" x14ac:dyDescent="0.2">
      <c r="G282" s="73"/>
      <c r="J282" s="73"/>
      <c r="L282" s="73"/>
      <c r="O282" s="73"/>
    </row>
    <row r="283" spans="7:15" x14ac:dyDescent="0.2">
      <c r="G283" s="73"/>
      <c r="J283" s="73"/>
      <c r="L283" s="73"/>
      <c r="O283" s="73"/>
    </row>
    <row r="284" spans="7:15" x14ac:dyDescent="0.2">
      <c r="G284" s="73"/>
      <c r="J284" s="73"/>
      <c r="L284" s="73"/>
      <c r="O284" s="73"/>
    </row>
    <row r="285" spans="7:15" x14ac:dyDescent="0.2">
      <c r="G285" s="73"/>
      <c r="J285" s="73"/>
      <c r="L285" s="73"/>
      <c r="O285" s="73"/>
    </row>
    <row r="286" spans="7:15" x14ac:dyDescent="0.2">
      <c r="G286" s="73"/>
      <c r="J286" s="73"/>
      <c r="L286" s="73"/>
      <c r="O286" s="73"/>
    </row>
    <row r="287" spans="7:15" x14ac:dyDescent="0.2">
      <c r="G287" s="73"/>
      <c r="J287" s="73"/>
      <c r="L287" s="73"/>
      <c r="O287" s="73"/>
    </row>
    <row r="288" spans="7:15" x14ac:dyDescent="0.2">
      <c r="G288" s="73"/>
      <c r="J288" s="73"/>
      <c r="L288" s="73"/>
      <c r="O288" s="73"/>
    </row>
    <row r="289" spans="7:15" x14ac:dyDescent="0.2">
      <c r="G289" s="73"/>
      <c r="J289" s="73"/>
      <c r="L289" s="73"/>
      <c r="O289" s="73"/>
    </row>
    <row r="290" spans="7:15" x14ac:dyDescent="0.2">
      <c r="G290" s="73"/>
      <c r="J290" s="73"/>
      <c r="L290" s="73"/>
      <c r="O290" s="73"/>
    </row>
    <row r="291" spans="7:15" x14ac:dyDescent="0.2">
      <c r="G291" s="73"/>
      <c r="J291" s="73"/>
      <c r="L291" s="73"/>
      <c r="O291" s="73"/>
    </row>
    <row r="292" spans="7:15" x14ac:dyDescent="0.2">
      <c r="G292" s="73"/>
      <c r="J292" s="73"/>
      <c r="L292" s="73"/>
      <c r="O292" s="73"/>
    </row>
    <row r="293" spans="7:15" x14ac:dyDescent="0.2">
      <c r="G293" s="73"/>
      <c r="J293" s="73"/>
      <c r="L293" s="73"/>
      <c r="O293" s="73"/>
    </row>
    <row r="294" spans="7:15" x14ac:dyDescent="0.2">
      <c r="G294" s="73"/>
      <c r="J294" s="73"/>
      <c r="L294" s="73"/>
      <c r="O294" s="73"/>
    </row>
    <row r="295" spans="7:15" x14ac:dyDescent="0.2">
      <c r="G295" s="73"/>
      <c r="J295" s="73"/>
      <c r="L295" s="73"/>
      <c r="O295" s="73"/>
    </row>
    <row r="296" spans="7:15" x14ac:dyDescent="0.2">
      <c r="G296" s="73"/>
      <c r="J296" s="73"/>
      <c r="L296" s="73"/>
      <c r="O296" s="73"/>
    </row>
    <row r="297" spans="7:15" x14ac:dyDescent="0.2">
      <c r="G297" s="73"/>
      <c r="J297" s="73"/>
      <c r="L297" s="73"/>
      <c r="O297" s="73"/>
    </row>
    <row r="298" spans="7:15" x14ac:dyDescent="0.2">
      <c r="G298" s="73"/>
      <c r="J298" s="73"/>
      <c r="L298" s="73"/>
      <c r="O298" s="73"/>
    </row>
    <row r="299" spans="7:15" x14ac:dyDescent="0.2">
      <c r="G299" s="73"/>
      <c r="J299" s="73"/>
      <c r="L299" s="73"/>
      <c r="O299" s="73"/>
    </row>
    <row r="300" spans="7:15" x14ac:dyDescent="0.2">
      <c r="G300" s="73"/>
      <c r="J300" s="73"/>
      <c r="L300" s="73"/>
      <c r="O300" s="73"/>
    </row>
    <row r="301" spans="7:15" x14ac:dyDescent="0.2">
      <c r="G301" s="73"/>
      <c r="J301" s="73"/>
      <c r="L301" s="73"/>
      <c r="O301" s="73"/>
    </row>
    <row r="302" spans="7:15" x14ac:dyDescent="0.2">
      <c r="G302" s="73"/>
      <c r="J302" s="73"/>
      <c r="L302" s="73"/>
      <c r="O302" s="73"/>
    </row>
    <row r="303" spans="7:15" x14ac:dyDescent="0.2">
      <c r="G303" s="73"/>
      <c r="J303" s="73"/>
      <c r="L303" s="73"/>
      <c r="O303" s="73"/>
    </row>
    <row r="304" spans="7:15" x14ac:dyDescent="0.2">
      <c r="G304" s="73"/>
      <c r="J304" s="73"/>
      <c r="L304" s="73"/>
      <c r="O304" s="73"/>
    </row>
    <row r="305" spans="7:15" x14ac:dyDescent="0.2">
      <c r="G305" s="73"/>
      <c r="J305" s="73"/>
      <c r="L305" s="73"/>
      <c r="O305" s="73"/>
    </row>
    <row r="306" spans="7:15" x14ac:dyDescent="0.2">
      <c r="G306" s="73"/>
      <c r="J306" s="73"/>
      <c r="L306" s="73"/>
      <c r="O306" s="73"/>
    </row>
    <row r="307" spans="7:15" x14ac:dyDescent="0.2">
      <c r="G307" s="73"/>
      <c r="J307" s="73"/>
      <c r="L307" s="73"/>
      <c r="O307" s="73"/>
    </row>
    <row r="308" spans="7:15" x14ac:dyDescent="0.2">
      <c r="G308" s="73"/>
      <c r="J308" s="73"/>
      <c r="L308" s="73"/>
      <c r="O308" s="73"/>
    </row>
    <row r="309" spans="7:15" x14ac:dyDescent="0.2">
      <c r="G309" s="73"/>
      <c r="J309" s="73"/>
      <c r="L309" s="73"/>
      <c r="O309" s="73"/>
    </row>
    <row r="310" spans="7:15" x14ac:dyDescent="0.2">
      <c r="G310" s="73"/>
      <c r="J310" s="73"/>
      <c r="L310" s="73"/>
      <c r="O310" s="73"/>
    </row>
    <row r="311" spans="7:15" x14ac:dyDescent="0.2">
      <c r="G311" s="73"/>
      <c r="J311" s="73"/>
      <c r="L311" s="73"/>
      <c r="O311" s="73"/>
    </row>
    <row r="312" spans="7:15" x14ac:dyDescent="0.2">
      <c r="G312" s="73"/>
      <c r="J312" s="73"/>
      <c r="L312" s="73"/>
      <c r="O312" s="73"/>
    </row>
    <row r="313" spans="7:15" x14ac:dyDescent="0.2">
      <c r="G313" s="73"/>
      <c r="J313" s="73"/>
      <c r="L313" s="73"/>
      <c r="O313" s="73"/>
    </row>
    <row r="314" spans="7:15" x14ac:dyDescent="0.2">
      <c r="G314" s="73"/>
      <c r="J314" s="73"/>
      <c r="L314" s="73"/>
      <c r="O314" s="73"/>
    </row>
    <row r="315" spans="7:15" x14ac:dyDescent="0.2">
      <c r="G315" s="73"/>
      <c r="J315" s="73"/>
      <c r="L315" s="73"/>
      <c r="O315" s="73"/>
    </row>
    <row r="316" spans="7:15" x14ac:dyDescent="0.2">
      <c r="G316" s="73"/>
      <c r="J316" s="73"/>
      <c r="L316" s="73"/>
      <c r="O316" s="73"/>
    </row>
    <row r="317" spans="7:15" x14ac:dyDescent="0.2">
      <c r="G317" s="73"/>
      <c r="J317" s="73"/>
      <c r="L317" s="73"/>
      <c r="O317" s="73"/>
    </row>
    <row r="318" spans="7:15" x14ac:dyDescent="0.2">
      <c r="G318" s="73"/>
      <c r="J318" s="73"/>
      <c r="L318" s="73"/>
      <c r="O318" s="73"/>
    </row>
    <row r="319" spans="7:15" x14ac:dyDescent="0.2">
      <c r="G319" s="73"/>
      <c r="J319" s="73"/>
      <c r="L319" s="73"/>
      <c r="O319" s="73"/>
    </row>
    <row r="320" spans="7:15" x14ac:dyDescent="0.2">
      <c r="G320" s="73"/>
      <c r="J320" s="73"/>
      <c r="L320" s="73"/>
      <c r="O320" s="73"/>
    </row>
    <row r="321" spans="7:15" x14ac:dyDescent="0.2">
      <c r="G321" s="73"/>
      <c r="J321" s="73"/>
      <c r="L321" s="73"/>
      <c r="O321" s="73"/>
    </row>
    <row r="322" spans="7:15" x14ac:dyDescent="0.2">
      <c r="G322" s="73"/>
      <c r="J322" s="73"/>
      <c r="L322" s="73"/>
      <c r="O322" s="73"/>
    </row>
    <row r="323" spans="7:15" x14ac:dyDescent="0.2">
      <c r="G323" s="73"/>
      <c r="J323" s="73"/>
      <c r="L323" s="73"/>
      <c r="O323" s="73"/>
    </row>
    <row r="324" spans="7:15" x14ac:dyDescent="0.2">
      <c r="G324" s="73"/>
      <c r="J324" s="73"/>
      <c r="L324" s="73"/>
      <c r="O324" s="73"/>
    </row>
    <row r="325" spans="7:15" x14ac:dyDescent="0.2">
      <c r="G325" s="73"/>
      <c r="J325" s="73"/>
      <c r="L325" s="73"/>
      <c r="O325" s="73"/>
    </row>
    <row r="326" spans="7:15" x14ac:dyDescent="0.2">
      <c r="G326" s="73"/>
      <c r="J326" s="73"/>
      <c r="L326" s="73"/>
      <c r="O326" s="73"/>
    </row>
    <row r="327" spans="7:15" x14ac:dyDescent="0.2">
      <c r="G327" s="73"/>
      <c r="J327" s="73"/>
      <c r="L327" s="73"/>
      <c r="O327" s="73"/>
    </row>
    <row r="328" spans="7:15" x14ac:dyDescent="0.2">
      <c r="G328" s="73"/>
      <c r="J328" s="73"/>
      <c r="L328" s="73"/>
      <c r="O328" s="73"/>
    </row>
    <row r="329" spans="7:15" x14ac:dyDescent="0.2">
      <c r="G329" s="73"/>
      <c r="J329" s="73"/>
      <c r="L329" s="73"/>
      <c r="O329" s="73"/>
    </row>
    <row r="330" spans="7:15" x14ac:dyDescent="0.2">
      <c r="G330" s="73"/>
      <c r="J330" s="73"/>
      <c r="L330" s="73"/>
      <c r="O330" s="73"/>
    </row>
    <row r="331" spans="7:15" x14ac:dyDescent="0.2">
      <c r="G331" s="73"/>
      <c r="J331" s="73"/>
      <c r="L331" s="73"/>
      <c r="O331" s="73"/>
    </row>
    <row r="332" spans="7:15" x14ac:dyDescent="0.2">
      <c r="G332" s="73"/>
      <c r="J332" s="73"/>
      <c r="L332" s="73"/>
      <c r="O332" s="73"/>
    </row>
    <row r="333" spans="7:15" x14ac:dyDescent="0.2">
      <c r="G333" s="73"/>
      <c r="J333" s="73"/>
      <c r="L333" s="73"/>
      <c r="O333" s="73"/>
    </row>
    <row r="334" spans="7:15" x14ac:dyDescent="0.2">
      <c r="G334" s="73"/>
      <c r="J334" s="73"/>
      <c r="L334" s="73"/>
      <c r="O334" s="73"/>
    </row>
    <row r="335" spans="7:15" x14ac:dyDescent="0.2">
      <c r="G335" s="73"/>
      <c r="J335" s="73"/>
      <c r="L335" s="73"/>
      <c r="O335" s="73"/>
    </row>
    <row r="336" spans="7:15" x14ac:dyDescent="0.2">
      <c r="G336" s="73"/>
      <c r="J336" s="73"/>
      <c r="L336" s="73"/>
      <c r="O336" s="73"/>
    </row>
    <row r="337" spans="7:15" x14ac:dyDescent="0.2">
      <c r="G337" s="73"/>
      <c r="J337" s="73"/>
      <c r="L337" s="73"/>
      <c r="O337" s="73"/>
    </row>
    <row r="338" spans="7:15" x14ac:dyDescent="0.2">
      <c r="G338" s="73"/>
      <c r="J338" s="73"/>
      <c r="L338" s="73"/>
      <c r="O338" s="73"/>
    </row>
    <row r="339" spans="7:15" x14ac:dyDescent="0.2">
      <c r="G339" s="73"/>
      <c r="J339" s="73"/>
      <c r="L339" s="73"/>
      <c r="O339" s="73"/>
    </row>
    <row r="340" spans="7:15" x14ac:dyDescent="0.2">
      <c r="G340" s="73"/>
      <c r="J340" s="73"/>
      <c r="L340" s="73"/>
      <c r="O340" s="73"/>
    </row>
    <row r="341" spans="7:15" x14ac:dyDescent="0.2">
      <c r="G341" s="73"/>
      <c r="J341" s="73"/>
      <c r="L341" s="73"/>
      <c r="O341" s="73"/>
    </row>
    <row r="342" spans="7:15" x14ac:dyDescent="0.2">
      <c r="G342" s="73"/>
      <c r="J342" s="73"/>
      <c r="L342" s="73"/>
      <c r="O342" s="73"/>
    </row>
    <row r="343" spans="7:15" x14ac:dyDescent="0.2">
      <c r="G343" s="73"/>
      <c r="J343" s="73"/>
      <c r="L343" s="73"/>
      <c r="O343" s="73"/>
    </row>
    <row r="344" spans="7:15" x14ac:dyDescent="0.2">
      <c r="G344" s="73"/>
      <c r="J344" s="73"/>
      <c r="L344" s="73"/>
      <c r="O344" s="73"/>
    </row>
    <row r="345" spans="7:15" x14ac:dyDescent="0.2">
      <c r="G345" s="73"/>
      <c r="J345" s="73"/>
      <c r="L345" s="73"/>
      <c r="O345" s="73"/>
    </row>
    <row r="346" spans="7:15" x14ac:dyDescent="0.2">
      <c r="G346" s="73"/>
      <c r="J346" s="73"/>
      <c r="L346" s="73"/>
      <c r="O346" s="73"/>
    </row>
    <row r="347" spans="7:15" x14ac:dyDescent="0.2">
      <c r="G347" s="73"/>
      <c r="J347" s="73"/>
      <c r="L347" s="73"/>
      <c r="O347" s="73"/>
    </row>
    <row r="348" spans="7:15" x14ac:dyDescent="0.2">
      <c r="G348" s="73"/>
      <c r="J348" s="73"/>
      <c r="L348" s="73"/>
      <c r="O348" s="73"/>
    </row>
    <row r="349" spans="7:15" x14ac:dyDescent="0.2">
      <c r="G349" s="73"/>
      <c r="J349" s="73"/>
      <c r="L349" s="73"/>
      <c r="O349" s="73"/>
    </row>
    <row r="350" spans="7:15" x14ac:dyDescent="0.2">
      <c r="G350" s="73"/>
      <c r="J350" s="73"/>
      <c r="L350" s="73"/>
      <c r="O350" s="73"/>
    </row>
    <row r="351" spans="7:15" x14ac:dyDescent="0.2">
      <c r="G351" s="73"/>
      <c r="J351" s="73"/>
      <c r="L351" s="73"/>
      <c r="O351" s="73"/>
    </row>
    <row r="352" spans="7:15" x14ac:dyDescent="0.2">
      <c r="G352" s="73"/>
      <c r="J352" s="73"/>
      <c r="L352" s="73"/>
      <c r="O352" s="73"/>
    </row>
    <row r="353" spans="7:15" x14ac:dyDescent="0.2">
      <c r="G353" s="73"/>
      <c r="J353" s="73"/>
      <c r="L353" s="73"/>
      <c r="O353" s="73"/>
    </row>
    <row r="354" spans="7:15" x14ac:dyDescent="0.2">
      <c r="G354" s="73"/>
      <c r="J354" s="73"/>
      <c r="L354" s="73"/>
      <c r="O354" s="73"/>
    </row>
    <row r="355" spans="7:15" x14ac:dyDescent="0.2">
      <c r="G355" s="73"/>
      <c r="J355" s="73"/>
      <c r="L355" s="73"/>
      <c r="O355" s="73"/>
    </row>
    <row r="356" spans="7:15" x14ac:dyDescent="0.2">
      <c r="G356" s="73"/>
      <c r="J356" s="73"/>
      <c r="L356" s="73"/>
      <c r="O356" s="73"/>
    </row>
    <row r="357" spans="7:15" x14ac:dyDescent="0.2">
      <c r="G357" s="73"/>
      <c r="J357" s="73"/>
      <c r="L357" s="73"/>
      <c r="O357" s="73"/>
    </row>
    <row r="358" spans="7:15" x14ac:dyDescent="0.2">
      <c r="G358" s="73"/>
      <c r="J358" s="73"/>
      <c r="L358" s="73"/>
      <c r="O358" s="73"/>
    </row>
    <row r="359" spans="7:15" x14ac:dyDescent="0.2">
      <c r="G359" s="73"/>
      <c r="J359" s="73"/>
      <c r="L359" s="73"/>
      <c r="O359" s="73"/>
    </row>
    <row r="360" spans="7:15" x14ac:dyDescent="0.2">
      <c r="G360" s="73"/>
      <c r="J360" s="73"/>
      <c r="L360" s="73"/>
      <c r="O360" s="73"/>
    </row>
    <row r="361" spans="7:15" x14ac:dyDescent="0.2">
      <c r="G361" s="73"/>
      <c r="J361" s="73"/>
      <c r="L361" s="73"/>
      <c r="O361" s="73"/>
    </row>
    <row r="362" spans="7:15" x14ac:dyDescent="0.2">
      <c r="G362" s="73"/>
      <c r="J362" s="73"/>
      <c r="L362" s="73"/>
      <c r="O362" s="73"/>
    </row>
    <row r="363" spans="7:15" x14ac:dyDescent="0.2">
      <c r="G363" s="73"/>
      <c r="J363" s="73"/>
      <c r="L363" s="73"/>
      <c r="O363" s="73"/>
    </row>
    <row r="364" spans="7:15" x14ac:dyDescent="0.2">
      <c r="G364" s="73"/>
      <c r="J364" s="73"/>
      <c r="L364" s="73"/>
      <c r="O364" s="73"/>
    </row>
    <row r="365" spans="7:15" x14ac:dyDescent="0.2">
      <c r="G365" s="73"/>
      <c r="J365" s="73"/>
      <c r="L365" s="73"/>
      <c r="O365" s="73"/>
    </row>
    <row r="366" spans="7:15" x14ac:dyDescent="0.2">
      <c r="G366" s="73"/>
      <c r="J366" s="73"/>
      <c r="L366" s="73"/>
      <c r="O366" s="73"/>
    </row>
    <row r="367" spans="7:15" x14ac:dyDescent="0.2">
      <c r="G367" s="73"/>
      <c r="J367" s="73"/>
      <c r="L367" s="73"/>
      <c r="O367" s="73"/>
    </row>
    <row r="368" spans="7:15" x14ac:dyDescent="0.2">
      <c r="G368" s="73"/>
      <c r="J368" s="73"/>
      <c r="L368" s="73"/>
      <c r="O368" s="73"/>
    </row>
    <row r="369" spans="7:15" x14ac:dyDescent="0.2">
      <c r="G369" s="73"/>
      <c r="J369" s="73"/>
      <c r="L369" s="73"/>
      <c r="O369" s="73"/>
    </row>
    <row r="370" spans="7:15" x14ac:dyDescent="0.2">
      <c r="G370" s="73"/>
      <c r="J370" s="73"/>
      <c r="L370" s="73"/>
      <c r="O370" s="73"/>
    </row>
    <row r="371" spans="7:15" x14ac:dyDescent="0.2">
      <c r="G371" s="73"/>
      <c r="J371" s="73"/>
      <c r="L371" s="73"/>
      <c r="O371" s="73"/>
    </row>
    <row r="372" spans="7:15" x14ac:dyDescent="0.2">
      <c r="G372" s="73"/>
      <c r="J372" s="73"/>
      <c r="L372" s="73"/>
      <c r="O372" s="73"/>
    </row>
    <row r="373" spans="7:15" x14ac:dyDescent="0.2">
      <c r="G373" s="73"/>
      <c r="J373" s="73"/>
      <c r="L373" s="73"/>
      <c r="O373" s="73"/>
    </row>
    <row r="374" spans="7:15" x14ac:dyDescent="0.2">
      <c r="G374" s="73"/>
      <c r="J374" s="73"/>
      <c r="L374" s="73"/>
      <c r="O374" s="73"/>
    </row>
    <row r="375" spans="7:15" x14ac:dyDescent="0.2">
      <c r="G375" s="73"/>
      <c r="J375" s="73"/>
      <c r="L375" s="73"/>
      <c r="O375" s="73"/>
    </row>
    <row r="376" spans="7:15" x14ac:dyDescent="0.2">
      <c r="G376" s="73"/>
      <c r="J376" s="73"/>
      <c r="L376" s="73"/>
      <c r="O376" s="73"/>
    </row>
    <row r="377" spans="7:15" x14ac:dyDescent="0.2">
      <c r="G377" s="73"/>
      <c r="J377" s="73"/>
      <c r="L377" s="73"/>
      <c r="O377" s="73"/>
    </row>
    <row r="378" spans="7:15" x14ac:dyDescent="0.2">
      <c r="G378" s="73"/>
      <c r="J378" s="73"/>
      <c r="L378" s="73"/>
      <c r="O378" s="73"/>
    </row>
    <row r="379" spans="7:15" x14ac:dyDescent="0.2">
      <c r="G379" s="73"/>
      <c r="J379" s="73"/>
      <c r="L379" s="73"/>
      <c r="O379" s="73"/>
    </row>
    <row r="380" spans="7:15" x14ac:dyDescent="0.2">
      <c r="G380" s="73"/>
      <c r="J380" s="73"/>
      <c r="L380" s="73"/>
      <c r="O380" s="73"/>
    </row>
    <row r="381" spans="7:15" x14ac:dyDescent="0.2">
      <c r="G381" s="73"/>
      <c r="J381" s="73"/>
      <c r="L381" s="73"/>
      <c r="O381" s="73"/>
    </row>
    <row r="382" spans="7:15" x14ac:dyDescent="0.2">
      <c r="G382" s="73"/>
      <c r="J382" s="73"/>
      <c r="L382" s="73"/>
      <c r="O382" s="73"/>
    </row>
    <row r="383" spans="7:15" x14ac:dyDescent="0.2">
      <c r="G383" s="73"/>
      <c r="J383" s="73"/>
      <c r="L383" s="73"/>
      <c r="O383" s="73"/>
    </row>
    <row r="384" spans="7:15" x14ac:dyDescent="0.2">
      <c r="G384" s="73"/>
      <c r="J384" s="73"/>
      <c r="L384" s="73"/>
      <c r="O384" s="73"/>
    </row>
    <row r="385" spans="7:15" x14ac:dyDescent="0.2">
      <c r="G385" s="73"/>
      <c r="J385" s="73"/>
      <c r="L385" s="73"/>
      <c r="O385" s="73"/>
    </row>
    <row r="386" spans="7:15" x14ac:dyDescent="0.2">
      <c r="G386" s="73"/>
      <c r="J386" s="73"/>
      <c r="L386" s="73"/>
      <c r="O386" s="73"/>
    </row>
    <row r="387" spans="7:15" x14ac:dyDescent="0.2">
      <c r="G387" s="73"/>
      <c r="J387" s="73"/>
      <c r="L387" s="73"/>
      <c r="O387" s="73"/>
    </row>
    <row r="388" spans="7:15" x14ac:dyDescent="0.2">
      <c r="G388" s="73"/>
      <c r="J388" s="73"/>
      <c r="L388" s="73"/>
      <c r="O388" s="73"/>
    </row>
    <row r="389" spans="7:15" x14ac:dyDescent="0.2">
      <c r="G389" s="73"/>
      <c r="J389" s="73"/>
      <c r="L389" s="73"/>
      <c r="O389" s="73"/>
    </row>
    <row r="390" spans="7:15" x14ac:dyDescent="0.2">
      <c r="G390" s="73"/>
      <c r="J390" s="73"/>
      <c r="L390" s="73"/>
      <c r="O390" s="73"/>
    </row>
    <row r="391" spans="7:15" x14ac:dyDescent="0.2">
      <c r="G391" s="73"/>
      <c r="J391" s="73"/>
      <c r="L391" s="73"/>
      <c r="O391" s="73"/>
    </row>
    <row r="392" spans="7:15" x14ac:dyDescent="0.2">
      <c r="G392" s="73"/>
      <c r="J392" s="73"/>
      <c r="L392" s="73"/>
      <c r="O392" s="73"/>
    </row>
    <row r="393" spans="7:15" x14ac:dyDescent="0.2">
      <c r="G393" s="73"/>
      <c r="J393" s="73"/>
      <c r="L393" s="73"/>
      <c r="O393" s="73"/>
    </row>
    <row r="394" spans="7:15" x14ac:dyDescent="0.2">
      <c r="G394" s="73"/>
      <c r="J394" s="73"/>
      <c r="L394" s="73"/>
      <c r="O394" s="73"/>
    </row>
    <row r="395" spans="7:15" x14ac:dyDescent="0.2">
      <c r="G395" s="73"/>
      <c r="J395" s="73"/>
      <c r="L395" s="73"/>
      <c r="O395" s="73"/>
    </row>
    <row r="396" spans="7:15" x14ac:dyDescent="0.2">
      <c r="G396" s="73"/>
      <c r="J396" s="73"/>
      <c r="L396" s="73"/>
      <c r="O396" s="73"/>
    </row>
    <row r="397" spans="7:15" x14ac:dyDescent="0.2">
      <c r="G397" s="73"/>
      <c r="J397" s="73"/>
      <c r="L397" s="73"/>
      <c r="O397" s="73"/>
    </row>
    <row r="398" spans="7:15" x14ac:dyDescent="0.2">
      <c r="G398" s="73"/>
      <c r="J398" s="73"/>
      <c r="L398" s="73"/>
      <c r="O398" s="73"/>
    </row>
    <row r="399" spans="7:15" x14ac:dyDescent="0.2">
      <c r="G399" s="73"/>
      <c r="J399" s="73"/>
      <c r="L399" s="73"/>
      <c r="O399" s="73"/>
    </row>
    <row r="400" spans="7:15" x14ac:dyDescent="0.2">
      <c r="G400" s="73"/>
      <c r="J400" s="73"/>
      <c r="L400" s="73"/>
      <c r="O400" s="73"/>
    </row>
    <row r="401" spans="7:15" x14ac:dyDescent="0.2">
      <c r="G401" s="73"/>
      <c r="J401" s="73"/>
      <c r="L401" s="73"/>
      <c r="O401" s="73"/>
    </row>
    <row r="402" spans="7:15" x14ac:dyDescent="0.2">
      <c r="G402" s="73"/>
      <c r="J402" s="73"/>
      <c r="L402" s="73"/>
      <c r="O402" s="73"/>
    </row>
    <row r="403" spans="7:15" x14ac:dyDescent="0.2">
      <c r="G403" s="73"/>
      <c r="J403" s="73"/>
      <c r="L403" s="73"/>
      <c r="O403" s="73"/>
    </row>
    <row r="404" spans="7:15" x14ac:dyDescent="0.2">
      <c r="G404" s="73"/>
      <c r="J404" s="73"/>
      <c r="L404" s="73"/>
      <c r="O404" s="73"/>
    </row>
    <row r="405" spans="7:15" x14ac:dyDescent="0.2">
      <c r="G405" s="73"/>
      <c r="J405" s="73"/>
      <c r="L405" s="73"/>
      <c r="O405" s="73"/>
    </row>
    <row r="406" spans="7:15" x14ac:dyDescent="0.2">
      <c r="G406" s="73"/>
      <c r="J406" s="73"/>
      <c r="L406" s="73"/>
      <c r="O406" s="73"/>
    </row>
    <row r="407" spans="7:15" x14ac:dyDescent="0.2">
      <c r="G407" s="73"/>
      <c r="J407" s="73"/>
      <c r="L407" s="73"/>
      <c r="O407" s="73"/>
    </row>
    <row r="408" spans="7:15" x14ac:dyDescent="0.2">
      <c r="G408" s="73"/>
      <c r="J408" s="73"/>
      <c r="L408" s="73"/>
      <c r="O408" s="73"/>
    </row>
    <row r="409" spans="7:15" x14ac:dyDescent="0.2">
      <c r="G409" s="73"/>
      <c r="J409" s="73"/>
      <c r="L409" s="73"/>
      <c r="O409" s="73"/>
    </row>
    <row r="410" spans="7:15" x14ac:dyDescent="0.2">
      <c r="G410" s="73"/>
      <c r="J410" s="73"/>
      <c r="L410" s="73"/>
      <c r="O410" s="73"/>
    </row>
    <row r="411" spans="7:15" x14ac:dyDescent="0.2">
      <c r="G411" s="73"/>
      <c r="J411" s="73"/>
      <c r="L411" s="73"/>
      <c r="O411" s="73"/>
    </row>
    <row r="412" spans="7:15" x14ac:dyDescent="0.2">
      <c r="G412" s="73"/>
      <c r="J412" s="73"/>
      <c r="L412" s="73"/>
      <c r="O412" s="73"/>
    </row>
    <row r="413" spans="7:15" x14ac:dyDescent="0.2">
      <c r="G413" s="73"/>
      <c r="J413" s="73"/>
      <c r="L413" s="73"/>
      <c r="O413" s="73"/>
    </row>
    <row r="414" spans="7:15" x14ac:dyDescent="0.2">
      <c r="G414" s="73"/>
      <c r="J414" s="73"/>
      <c r="L414" s="73"/>
      <c r="O414" s="73"/>
    </row>
    <row r="415" spans="7:15" x14ac:dyDescent="0.2">
      <c r="G415" s="73"/>
      <c r="J415" s="73"/>
      <c r="L415" s="73"/>
      <c r="O415" s="73"/>
    </row>
    <row r="416" spans="7:15" x14ac:dyDescent="0.2">
      <c r="G416" s="73"/>
      <c r="J416" s="73"/>
      <c r="L416" s="73"/>
      <c r="O416" s="73"/>
    </row>
    <row r="417" spans="7:15" x14ac:dyDescent="0.2">
      <c r="G417" s="73"/>
      <c r="J417" s="73"/>
      <c r="L417" s="73"/>
      <c r="O417" s="73"/>
    </row>
    <row r="418" spans="7:15" x14ac:dyDescent="0.2">
      <c r="G418" s="73"/>
      <c r="J418" s="73"/>
      <c r="L418" s="73"/>
      <c r="O418" s="73"/>
    </row>
    <row r="419" spans="7:15" x14ac:dyDescent="0.2">
      <c r="G419" s="73"/>
      <c r="J419" s="73"/>
      <c r="L419" s="73"/>
      <c r="O419" s="73"/>
    </row>
    <row r="420" spans="7:15" x14ac:dyDescent="0.2">
      <c r="G420" s="73"/>
      <c r="J420" s="73"/>
      <c r="L420" s="73"/>
      <c r="O420" s="73"/>
    </row>
    <row r="421" spans="7:15" x14ac:dyDescent="0.2">
      <c r="G421" s="73"/>
      <c r="J421" s="73"/>
      <c r="L421" s="73"/>
      <c r="O421" s="73"/>
    </row>
    <row r="422" spans="7:15" x14ac:dyDescent="0.2">
      <c r="G422" s="73"/>
      <c r="J422" s="73"/>
      <c r="L422" s="73"/>
      <c r="O422" s="73"/>
    </row>
    <row r="423" spans="7:15" x14ac:dyDescent="0.2">
      <c r="G423" s="73"/>
      <c r="J423" s="73"/>
      <c r="L423" s="73"/>
      <c r="O423" s="73"/>
    </row>
    <row r="424" spans="7:15" x14ac:dyDescent="0.2">
      <c r="G424" s="73"/>
      <c r="J424" s="73"/>
      <c r="L424" s="73"/>
      <c r="O424" s="73"/>
    </row>
    <row r="425" spans="7:15" x14ac:dyDescent="0.2">
      <c r="G425" s="73"/>
      <c r="J425" s="73"/>
      <c r="L425" s="73"/>
      <c r="O425" s="73"/>
    </row>
    <row r="426" spans="7:15" x14ac:dyDescent="0.2">
      <c r="G426" s="73"/>
      <c r="J426" s="73"/>
      <c r="L426" s="73"/>
      <c r="O426" s="73"/>
    </row>
    <row r="427" spans="7:15" x14ac:dyDescent="0.2">
      <c r="G427" s="73"/>
      <c r="J427" s="73"/>
      <c r="L427" s="73"/>
      <c r="O427" s="73"/>
    </row>
    <row r="428" spans="7:15" x14ac:dyDescent="0.2">
      <c r="G428" s="73"/>
      <c r="J428" s="73"/>
      <c r="L428" s="73"/>
      <c r="O428" s="73"/>
    </row>
    <row r="429" spans="7:15" x14ac:dyDescent="0.2">
      <c r="G429" s="73"/>
      <c r="J429" s="73"/>
      <c r="L429" s="73"/>
      <c r="O429" s="73"/>
    </row>
    <row r="430" spans="7:15" x14ac:dyDescent="0.2">
      <c r="G430" s="73"/>
      <c r="J430" s="73"/>
      <c r="L430" s="73"/>
      <c r="O430" s="73"/>
    </row>
    <row r="431" spans="7:15" x14ac:dyDescent="0.2">
      <c r="G431" s="73"/>
      <c r="J431" s="73"/>
      <c r="L431" s="73"/>
      <c r="O431" s="73"/>
    </row>
    <row r="432" spans="7:15" x14ac:dyDescent="0.2">
      <c r="G432" s="73"/>
      <c r="J432" s="73"/>
      <c r="L432" s="73"/>
      <c r="O432" s="73"/>
    </row>
    <row r="433" spans="7:15" x14ac:dyDescent="0.2">
      <c r="G433" s="73"/>
      <c r="J433" s="73"/>
      <c r="L433" s="73"/>
      <c r="O433" s="73"/>
    </row>
    <row r="434" spans="7:15" x14ac:dyDescent="0.2">
      <c r="G434" s="73"/>
      <c r="J434" s="73"/>
      <c r="L434" s="73"/>
      <c r="O434" s="73"/>
    </row>
    <row r="435" spans="7:15" x14ac:dyDescent="0.2">
      <c r="G435" s="73"/>
      <c r="J435" s="73"/>
      <c r="L435" s="73"/>
      <c r="O435" s="73"/>
    </row>
    <row r="436" spans="7:15" x14ac:dyDescent="0.2">
      <c r="G436" s="73"/>
      <c r="J436" s="73"/>
      <c r="L436" s="73"/>
      <c r="O436" s="73"/>
    </row>
    <row r="437" spans="7:15" x14ac:dyDescent="0.2">
      <c r="G437" s="73"/>
      <c r="J437" s="73"/>
      <c r="L437" s="73"/>
      <c r="O437" s="73"/>
    </row>
    <row r="438" spans="7:15" x14ac:dyDescent="0.2">
      <c r="G438" s="73"/>
      <c r="J438" s="73"/>
      <c r="L438" s="73"/>
      <c r="O438" s="73"/>
    </row>
    <row r="439" spans="7:15" x14ac:dyDescent="0.2">
      <c r="G439" s="73"/>
      <c r="J439" s="73"/>
      <c r="L439" s="73"/>
      <c r="O439" s="73"/>
    </row>
    <row r="440" spans="7:15" x14ac:dyDescent="0.2">
      <c r="G440" s="73"/>
      <c r="J440" s="73"/>
      <c r="L440" s="73"/>
      <c r="O440" s="73"/>
    </row>
    <row r="441" spans="7:15" x14ac:dyDescent="0.2">
      <c r="G441" s="73"/>
      <c r="J441" s="73"/>
      <c r="L441" s="73"/>
      <c r="O441" s="73"/>
    </row>
    <row r="442" spans="7:15" x14ac:dyDescent="0.2">
      <c r="G442" s="73"/>
      <c r="J442" s="73"/>
      <c r="L442" s="73"/>
      <c r="O442" s="73"/>
    </row>
    <row r="443" spans="7:15" x14ac:dyDescent="0.2">
      <c r="G443" s="73"/>
      <c r="J443" s="73"/>
      <c r="L443" s="73"/>
      <c r="O443" s="73"/>
    </row>
    <row r="444" spans="7:15" x14ac:dyDescent="0.2">
      <c r="G444" s="73"/>
      <c r="J444" s="73"/>
      <c r="L444" s="73"/>
      <c r="O444" s="73"/>
    </row>
    <row r="445" spans="7:15" x14ac:dyDescent="0.2">
      <c r="G445" s="73"/>
      <c r="J445" s="73"/>
      <c r="L445" s="73"/>
      <c r="O445" s="73"/>
    </row>
    <row r="446" spans="7:15" x14ac:dyDescent="0.2">
      <c r="G446" s="73"/>
      <c r="J446" s="73"/>
      <c r="L446" s="73"/>
      <c r="O446" s="73"/>
    </row>
    <row r="447" spans="7:15" x14ac:dyDescent="0.2">
      <c r="G447" s="73"/>
      <c r="J447" s="73"/>
      <c r="L447" s="73"/>
      <c r="O447" s="73"/>
    </row>
    <row r="448" spans="7:15" x14ac:dyDescent="0.2">
      <c r="G448" s="73"/>
      <c r="J448" s="73"/>
      <c r="L448" s="73"/>
      <c r="O448" s="73"/>
    </row>
    <row r="449" spans="7:15" x14ac:dyDescent="0.2">
      <c r="G449" s="73"/>
      <c r="J449" s="73"/>
      <c r="L449" s="73"/>
      <c r="O449" s="73"/>
    </row>
    <row r="450" spans="7:15" x14ac:dyDescent="0.2">
      <c r="G450" s="73"/>
      <c r="J450" s="73"/>
      <c r="L450" s="73"/>
      <c r="O450" s="73"/>
    </row>
    <row r="451" spans="7:15" x14ac:dyDescent="0.2">
      <c r="G451" s="73"/>
      <c r="J451" s="73"/>
      <c r="L451" s="73"/>
      <c r="O451" s="73"/>
    </row>
    <row r="452" spans="7:15" x14ac:dyDescent="0.2">
      <c r="G452" s="73"/>
      <c r="J452" s="73"/>
      <c r="L452" s="73"/>
      <c r="O452" s="73"/>
    </row>
    <row r="453" spans="7:15" x14ac:dyDescent="0.2">
      <c r="G453" s="73"/>
      <c r="J453" s="73"/>
      <c r="L453" s="73"/>
      <c r="O453" s="73"/>
    </row>
    <row r="454" spans="7:15" x14ac:dyDescent="0.2">
      <c r="G454" s="73"/>
      <c r="J454" s="73"/>
      <c r="L454" s="73"/>
      <c r="O454" s="73"/>
    </row>
    <row r="455" spans="7:15" x14ac:dyDescent="0.2">
      <c r="G455" s="73"/>
      <c r="J455" s="73"/>
      <c r="L455" s="73"/>
      <c r="O455" s="73"/>
    </row>
    <row r="456" spans="7:15" x14ac:dyDescent="0.2">
      <c r="G456" s="73"/>
      <c r="J456" s="73"/>
      <c r="L456" s="73"/>
      <c r="O456" s="73"/>
    </row>
    <row r="457" spans="7:15" x14ac:dyDescent="0.2">
      <c r="G457" s="73"/>
      <c r="J457" s="73"/>
      <c r="L457" s="73"/>
      <c r="O457" s="73"/>
    </row>
    <row r="458" spans="7:15" x14ac:dyDescent="0.2">
      <c r="G458" s="73"/>
      <c r="J458" s="73"/>
      <c r="L458" s="73"/>
      <c r="O458" s="73"/>
    </row>
    <row r="459" spans="7:15" x14ac:dyDescent="0.2">
      <c r="G459" s="73"/>
      <c r="J459" s="73"/>
      <c r="L459" s="73"/>
      <c r="O459" s="73"/>
    </row>
    <row r="460" spans="7:15" x14ac:dyDescent="0.2">
      <c r="G460" s="73"/>
      <c r="J460" s="73"/>
      <c r="L460" s="73"/>
      <c r="O460" s="73"/>
    </row>
    <row r="461" spans="7:15" x14ac:dyDescent="0.2">
      <c r="G461" s="73"/>
      <c r="J461" s="73"/>
      <c r="L461" s="73"/>
      <c r="O461" s="73"/>
    </row>
    <row r="462" spans="7:15" x14ac:dyDescent="0.2">
      <c r="G462" s="73"/>
      <c r="J462" s="73"/>
      <c r="L462" s="73"/>
      <c r="O462" s="73"/>
    </row>
    <row r="463" spans="7:15" x14ac:dyDescent="0.2">
      <c r="G463" s="73"/>
      <c r="J463" s="73"/>
      <c r="L463" s="73"/>
      <c r="O463" s="73"/>
    </row>
    <row r="464" spans="7:15" x14ac:dyDescent="0.2">
      <c r="G464" s="73"/>
      <c r="J464" s="73"/>
      <c r="L464" s="73"/>
      <c r="O464" s="73"/>
    </row>
    <row r="465" spans="7:15" x14ac:dyDescent="0.2">
      <c r="G465" s="73"/>
      <c r="J465" s="73"/>
      <c r="L465" s="73"/>
      <c r="O465" s="73"/>
    </row>
    <row r="466" spans="7:15" x14ac:dyDescent="0.2">
      <c r="G466" s="73"/>
      <c r="J466" s="73"/>
      <c r="L466" s="73"/>
      <c r="O466" s="73"/>
    </row>
    <row r="467" spans="7:15" x14ac:dyDescent="0.2">
      <c r="G467" s="73"/>
      <c r="J467" s="73"/>
      <c r="L467" s="73"/>
      <c r="O467" s="73"/>
    </row>
    <row r="468" spans="7:15" x14ac:dyDescent="0.2">
      <c r="G468" s="73"/>
      <c r="J468" s="73"/>
      <c r="L468" s="73"/>
      <c r="O468" s="73"/>
    </row>
    <row r="469" spans="7:15" x14ac:dyDescent="0.2">
      <c r="G469" s="73"/>
      <c r="J469" s="73"/>
      <c r="L469" s="73"/>
      <c r="O469" s="73"/>
    </row>
    <row r="470" spans="7:15" x14ac:dyDescent="0.2">
      <c r="G470" s="73"/>
      <c r="J470" s="73"/>
      <c r="L470" s="73"/>
      <c r="O470" s="73"/>
    </row>
    <row r="471" spans="7:15" x14ac:dyDescent="0.2">
      <c r="G471" s="73"/>
      <c r="J471" s="73"/>
      <c r="L471" s="73"/>
      <c r="O471" s="73"/>
    </row>
    <row r="472" spans="7:15" x14ac:dyDescent="0.2">
      <c r="G472" s="73"/>
      <c r="J472" s="73"/>
      <c r="L472" s="73"/>
      <c r="O472" s="73"/>
    </row>
    <row r="473" spans="7:15" x14ac:dyDescent="0.2">
      <c r="G473" s="73"/>
      <c r="J473" s="73"/>
      <c r="L473" s="73"/>
      <c r="O473" s="73"/>
    </row>
    <row r="474" spans="7:15" x14ac:dyDescent="0.2">
      <c r="G474" s="73"/>
      <c r="J474" s="73"/>
      <c r="L474" s="73"/>
      <c r="O474" s="73"/>
    </row>
    <row r="475" spans="7:15" x14ac:dyDescent="0.2">
      <c r="G475" s="73"/>
      <c r="J475" s="73"/>
      <c r="L475" s="73"/>
      <c r="O475" s="73"/>
    </row>
    <row r="476" spans="7:15" x14ac:dyDescent="0.2">
      <c r="G476" s="73"/>
      <c r="J476" s="73"/>
      <c r="L476" s="73"/>
      <c r="O476" s="73"/>
    </row>
    <row r="477" spans="7:15" x14ac:dyDescent="0.2">
      <c r="G477" s="73"/>
      <c r="J477" s="73"/>
      <c r="L477" s="73"/>
      <c r="O477" s="73"/>
    </row>
    <row r="478" spans="7:15" x14ac:dyDescent="0.2">
      <c r="G478" s="73"/>
      <c r="J478" s="73"/>
      <c r="L478" s="73"/>
      <c r="O478" s="73"/>
    </row>
    <row r="479" spans="7:15" x14ac:dyDescent="0.2">
      <c r="G479" s="73"/>
      <c r="J479" s="73"/>
      <c r="L479" s="73"/>
      <c r="O479" s="73"/>
    </row>
    <row r="480" spans="7:15" x14ac:dyDescent="0.2">
      <c r="G480" s="73"/>
      <c r="J480" s="73"/>
      <c r="L480" s="73"/>
      <c r="O480" s="73"/>
    </row>
    <row r="481" spans="7:15" x14ac:dyDescent="0.2">
      <c r="G481" s="73"/>
      <c r="J481" s="73"/>
      <c r="L481" s="73"/>
      <c r="O481" s="73"/>
    </row>
    <row r="482" spans="7:15" x14ac:dyDescent="0.2">
      <c r="G482" s="73"/>
      <c r="J482" s="73"/>
      <c r="L482" s="73"/>
      <c r="O482" s="73"/>
    </row>
    <row r="483" spans="7:15" x14ac:dyDescent="0.2">
      <c r="G483" s="73"/>
      <c r="J483" s="73"/>
      <c r="L483" s="73"/>
      <c r="O483" s="73"/>
    </row>
    <row r="484" spans="7:15" x14ac:dyDescent="0.2">
      <c r="G484" s="73"/>
      <c r="J484" s="73"/>
      <c r="L484" s="73"/>
      <c r="O484" s="73"/>
    </row>
    <row r="485" spans="7:15" x14ac:dyDescent="0.2">
      <c r="G485" s="73"/>
      <c r="J485" s="73"/>
      <c r="L485" s="73"/>
      <c r="O485" s="73"/>
    </row>
    <row r="486" spans="7:15" x14ac:dyDescent="0.2">
      <c r="G486" s="73"/>
      <c r="J486" s="73"/>
      <c r="L486" s="73"/>
      <c r="O486" s="73"/>
    </row>
    <row r="487" spans="7:15" x14ac:dyDescent="0.2">
      <c r="G487" s="73"/>
      <c r="J487" s="73"/>
      <c r="L487" s="73"/>
      <c r="O487" s="73"/>
    </row>
    <row r="488" spans="7:15" x14ac:dyDescent="0.2">
      <c r="G488" s="73"/>
      <c r="J488" s="73"/>
      <c r="L488" s="73"/>
      <c r="O488" s="73"/>
    </row>
    <row r="489" spans="7:15" x14ac:dyDescent="0.2">
      <c r="G489" s="73"/>
      <c r="J489" s="73"/>
      <c r="L489" s="73"/>
      <c r="O489" s="73"/>
    </row>
    <row r="490" spans="7:15" x14ac:dyDescent="0.2">
      <c r="G490" s="73"/>
      <c r="J490" s="73"/>
      <c r="L490" s="73"/>
      <c r="O490" s="73"/>
    </row>
    <row r="491" spans="7:15" x14ac:dyDescent="0.2">
      <c r="G491" s="73"/>
      <c r="J491" s="73"/>
      <c r="L491" s="73"/>
      <c r="O491" s="73"/>
    </row>
    <row r="492" spans="7:15" x14ac:dyDescent="0.2">
      <c r="G492" s="73"/>
      <c r="J492" s="73"/>
      <c r="L492" s="73"/>
      <c r="O492" s="73"/>
    </row>
    <row r="493" spans="7:15" x14ac:dyDescent="0.2">
      <c r="G493" s="73"/>
      <c r="J493" s="73"/>
      <c r="L493" s="73"/>
      <c r="O493" s="73"/>
    </row>
    <row r="494" spans="7:15" x14ac:dyDescent="0.2">
      <c r="G494" s="73"/>
      <c r="J494" s="73"/>
      <c r="L494" s="73"/>
      <c r="O494" s="73"/>
    </row>
    <row r="495" spans="7:15" x14ac:dyDescent="0.2">
      <c r="G495" s="73"/>
      <c r="J495" s="73"/>
      <c r="L495" s="73"/>
      <c r="O495" s="73"/>
    </row>
    <row r="496" spans="7:15" x14ac:dyDescent="0.2">
      <c r="G496" s="73"/>
      <c r="J496" s="73"/>
      <c r="L496" s="73"/>
      <c r="O496" s="73"/>
    </row>
    <row r="497" spans="7:15" x14ac:dyDescent="0.2">
      <c r="G497" s="73"/>
      <c r="J497" s="73"/>
      <c r="L497" s="73"/>
      <c r="O497" s="73"/>
    </row>
    <row r="498" spans="7:15" x14ac:dyDescent="0.2">
      <c r="G498" s="73"/>
      <c r="J498" s="73"/>
      <c r="L498" s="73"/>
      <c r="O498" s="73"/>
    </row>
    <row r="499" spans="7:15" x14ac:dyDescent="0.2">
      <c r="G499" s="73"/>
      <c r="J499" s="73"/>
      <c r="L499" s="73"/>
      <c r="O499" s="73"/>
    </row>
    <row r="500" spans="7:15" x14ac:dyDescent="0.2">
      <c r="G500" s="73"/>
      <c r="J500" s="73"/>
      <c r="L500" s="73"/>
      <c r="O500" s="73"/>
    </row>
    <row r="501" spans="7:15" x14ac:dyDescent="0.2">
      <c r="G501" s="73"/>
      <c r="J501" s="73"/>
      <c r="L501" s="73"/>
      <c r="O501" s="73"/>
    </row>
    <row r="502" spans="7:15" x14ac:dyDescent="0.2">
      <c r="G502" s="73"/>
      <c r="J502" s="73"/>
      <c r="L502" s="73"/>
      <c r="O502" s="73"/>
    </row>
    <row r="503" spans="7:15" x14ac:dyDescent="0.2">
      <c r="G503" s="73"/>
      <c r="J503" s="73"/>
      <c r="L503" s="73"/>
      <c r="O503" s="73"/>
    </row>
    <row r="504" spans="7:15" x14ac:dyDescent="0.2">
      <c r="G504" s="73"/>
      <c r="J504" s="73"/>
      <c r="L504" s="73"/>
      <c r="O504" s="73"/>
    </row>
    <row r="505" spans="7:15" x14ac:dyDescent="0.2">
      <c r="G505" s="73"/>
      <c r="J505" s="73"/>
      <c r="L505" s="73"/>
      <c r="O505" s="73"/>
    </row>
    <row r="506" spans="7:15" x14ac:dyDescent="0.2">
      <c r="G506" s="73"/>
      <c r="J506" s="73"/>
      <c r="L506" s="73"/>
      <c r="O506" s="73"/>
    </row>
    <row r="507" spans="7:15" x14ac:dyDescent="0.2">
      <c r="G507" s="73"/>
      <c r="J507" s="73"/>
      <c r="L507" s="73"/>
      <c r="O507" s="73"/>
    </row>
    <row r="508" spans="7:15" x14ac:dyDescent="0.2">
      <c r="G508" s="73"/>
      <c r="J508" s="73"/>
      <c r="L508" s="73"/>
      <c r="O508" s="73"/>
    </row>
    <row r="509" spans="7:15" x14ac:dyDescent="0.2">
      <c r="G509" s="73"/>
      <c r="J509" s="73"/>
      <c r="L509" s="73"/>
      <c r="O509" s="73"/>
    </row>
    <row r="510" spans="7:15" x14ac:dyDescent="0.2">
      <c r="G510" s="73"/>
      <c r="J510" s="73"/>
      <c r="L510" s="73"/>
      <c r="O510" s="73"/>
    </row>
    <row r="511" spans="7:15" x14ac:dyDescent="0.2">
      <c r="G511" s="73"/>
      <c r="J511" s="73"/>
      <c r="L511" s="73"/>
      <c r="O511" s="73"/>
    </row>
    <row r="512" spans="7:15" x14ac:dyDescent="0.2">
      <c r="G512" s="73"/>
      <c r="J512" s="73"/>
      <c r="L512" s="73"/>
      <c r="O512" s="73"/>
    </row>
    <row r="513" spans="7:15" x14ac:dyDescent="0.2">
      <c r="G513" s="73"/>
      <c r="J513" s="73"/>
      <c r="L513" s="73"/>
      <c r="O513" s="73"/>
    </row>
    <row r="514" spans="7:15" x14ac:dyDescent="0.2">
      <c r="G514" s="73"/>
      <c r="J514" s="73"/>
      <c r="L514" s="73"/>
      <c r="O514" s="73"/>
    </row>
    <row r="515" spans="7:15" x14ac:dyDescent="0.2">
      <c r="G515" s="73"/>
      <c r="J515" s="73"/>
      <c r="L515" s="73"/>
      <c r="O515" s="73"/>
    </row>
    <row r="516" spans="7:15" x14ac:dyDescent="0.2">
      <c r="G516" s="73"/>
      <c r="J516" s="73"/>
      <c r="L516" s="73"/>
      <c r="O516" s="73"/>
    </row>
    <row r="517" spans="7:15" x14ac:dyDescent="0.2">
      <c r="G517" s="73"/>
      <c r="J517" s="73"/>
      <c r="L517" s="73"/>
      <c r="O517" s="73"/>
    </row>
    <row r="518" spans="7:15" x14ac:dyDescent="0.2">
      <c r="G518" s="73"/>
      <c r="J518" s="73"/>
      <c r="L518" s="73"/>
      <c r="O518" s="73"/>
    </row>
    <row r="519" spans="7:15" x14ac:dyDescent="0.2">
      <c r="G519" s="73"/>
      <c r="J519" s="73"/>
      <c r="L519" s="73"/>
      <c r="O519" s="73"/>
    </row>
    <row r="520" spans="7:15" x14ac:dyDescent="0.2">
      <c r="G520" s="73"/>
      <c r="J520" s="73"/>
      <c r="L520" s="73"/>
      <c r="O520" s="73"/>
    </row>
    <row r="521" spans="7:15" x14ac:dyDescent="0.2">
      <c r="G521" s="73"/>
      <c r="J521" s="73"/>
      <c r="L521" s="73"/>
      <c r="O521" s="73"/>
    </row>
    <row r="522" spans="7:15" x14ac:dyDescent="0.2">
      <c r="G522" s="73"/>
      <c r="J522" s="73"/>
      <c r="L522" s="73"/>
      <c r="O522" s="73"/>
    </row>
    <row r="523" spans="7:15" x14ac:dyDescent="0.2">
      <c r="G523" s="73"/>
      <c r="J523" s="73"/>
      <c r="L523" s="73"/>
      <c r="O523" s="73"/>
    </row>
    <row r="524" spans="7:15" x14ac:dyDescent="0.2">
      <c r="G524" s="73"/>
      <c r="J524" s="73"/>
      <c r="L524" s="73"/>
      <c r="O524" s="73"/>
    </row>
    <row r="525" spans="7:15" x14ac:dyDescent="0.2">
      <c r="G525" s="73"/>
      <c r="J525" s="73"/>
      <c r="L525" s="73"/>
      <c r="O525" s="73"/>
    </row>
    <row r="526" spans="7:15" x14ac:dyDescent="0.2">
      <c r="G526" s="73"/>
      <c r="J526" s="73"/>
      <c r="L526" s="73"/>
      <c r="O526" s="73"/>
    </row>
    <row r="527" spans="7:15" x14ac:dyDescent="0.2">
      <c r="G527" s="73"/>
      <c r="J527" s="73"/>
      <c r="L527" s="73"/>
      <c r="O527" s="73"/>
    </row>
    <row r="528" spans="7:15" x14ac:dyDescent="0.2">
      <c r="G528" s="73"/>
      <c r="J528" s="73"/>
      <c r="L528" s="73"/>
      <c r="O528" s="73"/>
    </row>
    <row r="529" spans="7:15" x14ac:dyDescent="0.2">
      <c r="G529" s="73"/>
      <c r="J529" s="73"/>
      <c r="L529" s="73"/>
      <c r="O529" s="73"/>
    </row>
    <row r="530" spans="7:15" x14ac:dyDescent="0.2">
      <c r="G530" s="73"/>
      <c r="J530" s="73"/>
      <c r="L530" s="73"/>
      <c r="O530" s="73"/>
    </row>
    <row r="531" spans="7:15" x14ac:dyDescent="0.2">
      <c r="G531" s="73"/>
      <c r="J531" s="73"/>
      <c r="L531" s="73"/>
      <c r="O531" s="73"/>
    </row>
    <row r="532" spans="7:15" x14ac:dyDescent="0.2">
      <c r="G532" s="73"/>
      <c r="J532" s="73"/>
      <c r="L532" s="73"/>
      <c r="O532" s="73"/>
    </row>
    <row r="533" spans="7:15" x14ac:dyDescent="0.2">
      <c r="G533" s="73"/>
      <c r="J533" s="73"/>
      <c r="L533" s="73"/>
      <c r="O533" s="73"/>
    </row>
    <row r="534" spans="7:15" x14ac:dyDescent="0.2">
      <c r="G534" s="73"/>
      <c r="J534" s="73"/>
      <c r="L534" s="73"/>
      <c r="O534" s="73"/>
    </row>
    <row r="535" spans="7:15" x14ac:dyDescent="0.2">
      <c r="G535" s="73"/>
      <c r="J535" s="73"/>
      <c r="L535" s="73"/>
      <c r="O535" s="73"/>
    </row>
    <row r="536" spans="7:15" x14ac:dyDescent="0.2">
      <c r="G536" s="73"/>
      <c r="J536" s="73"/>
      <c r="L536" s="73"/>
      <c r="O536" s="73"/>
    </row>
    <row r="537" spans="7:15" x14ac:dyDescent="0.2">
      <c r="G537" s="73"/>
      <c r="J537" s="73"/>
      <c r="L537" s="73"/>
      <c r="O537" s="73"/>
    </row>
    <row r="538" spans="7:15" x14ac:dyDescent="0.2">
      <c r="G538" s="73"/>
      <c r="J538" s="73"/>
      <c r="L538" s="73"/>
      <c r="O538" s="73"/>
    </row>
    <row r="539" spans="7:15" x14ac:dyDescent="0.2">
      <c r="G539" s="73"/>
      <c r="J539" s="73"/>
      <c r="L539" s="73"/>
      <c r="O539" s="73"/>
    </row>
    <row r="540" spans="7:15" x14ac:dyDescent="0.2">
      <c r="G540" s="73"/>
      <c r="J540" s="73"/>
      <c r="L540" s="73"/>
      <c r="O540" s="73"/>
    </row>
    <row r="541" spans="7:15" x14ac:dyDescent="0.2">
      <c r="G541" s="73"/>
      <c r="J541" s="73"/>
      <c r="L541" s="73"/>
      <c r="O541" s="73"/>
    </row>
    <row r="542" spans="7:15" x14ac:dyDescent="0.2">
      <c r="G542" s="73"/>
      <c r="J542" s="73"/>
      <c r="L542" s="73"/>
      <c r="O542" s="73"/>
    </row>
    <row r="543" spans="7:15" x14ac:dyDescent="0.2">
      <c r="G543" s="73"/>
      <c r="J543" s="73"/>
      <c r="L543" s="73"/>
      <c r="O543" s="73"/>
    </row>
    <row r="544" spans="7:15" x14ac:dyDescent="0.2">
      <c r="G544" s="73"/>
      <c r="J544" s="73"/>
      <c r="L544" s="73"/>
      <c r="O544" s="73"/>
    </row>
    <row r="545" spans="7:15" x14ac:dyDescent="0.2">
      <c r="G545" s="73"/>
      <c r="J545" s="73"/>
      <c r="L545" s="73"/>
      <c r="O545" s="73"/>
    </row>
    <row r="546" spans="7:15" x14ac:dyDescent="0.2">
      <c r="G546" s="73"/>
      <c r="J546" s="73"/>
      <c r="L546" s="73"/>
      <c r="O546" s="73"/>
    </row>
    <row r="547" spans="7:15" x14ac:dyDescent="0.2">
      <c r="G547" s="73"/>
      <c r="J547" s="73"/>
      <c r="L547" s="73"/>
      <c r="O547" s="73"/>
    </row>
    <row r="548" spans="7:15" x14ac:dyDescent="0.2">
      <c r="G548" s="73"/>
      <c r="J548" s="73"/>
      <c r="L548" s="73"/>
      <c r="O548" s="73"/>
    </row>
    <row r="549" spans="7:15" x14ac:dyDescent="0.2">
      <c r="G549" s="73"/>
      <c r="J549" s="73"/>
      <c r="L549" s="73"/>
      <c r="O549" s="73"/>
    </row>
    <row r="550" spans="7:15" x14ac:dyDescent="0.2">
      <c r="G550" s="73"/>
      <c r="J550" s="73"/>
      <c r="L550" s="73"/>
      <c r="O550" s="73"/>
    </row>
    <row r="551" spans="7:15" x14ac:dyDescent="0.2">
      <c r="G551" s="73"/>
      <c r="J551" s="73"/>
      <c r="L551" s="73"/>
      <c r="O551" s="73"/>
    </row>
    <row r="552" spans="7:15" x14ac:dyDescent="0.2">
      <c r="G552" s="73"/>
      <c r="J552" s="73"/>
      <c r="L552" s="73"/>
      <c r="O552" s="73"/>
    </row>
    <row r="553" spans="7:15" x14ac:dyDescent="0.2">
      <c r="G553" s="73"/>
      <c r="J553" s="73"/>
      <c r="L553" s="73"/>
      <c r="O553" s="73"/>
    </row>
    <row r="554" spans="7:15" x14ac:dyDescent="0.2">
      <c r="G554" s="73"/>
      <c r="J554" s="73"/>
      <c r="L554" s="73"/>
      <c r="O554" s="73"/>
    </row>
    <row r="555" spans="7:15" x14ac:dyDescent="0.2">
      <c r="G555" s="73"/>
      <c r="J555" s="73"/>
      <c r="L555" s="73"/>
      <c r="O555" s="73"/>
    </row>
    <row r="556" spans="7:15" x14ac:dyDescent="0.2">
      <c r="G556" s="73"/>
      <c r="J556" s="73"/>
      <c r="L556" s="73"/>
      <c r="O556" s="73"/>
    </row>
    <row r="557" spans="7:15" x14ac:dyDescent="0.2">
      <c r="G557" s="73"/>
      <c r="J557" s="73"/>
      <c r="L557" s="73"/>
      <c r="O557" s="73"/>
    </row>
  </sheetData>
  <sheetProtection password="FFFD" sheet="1" objects="1" scenarios="1" selectLockedCells="1"/>
  <mergeCells count="187">
    <mergeCell ref="C86:F86"/>
    <mergeCell ref="H86:I86"/>
    <mergeCell ref="J86:Q86"/>
    <mergeCell ref="E9:F9"/>
    <mergeCell ref="J9:Q9"/>
    <mergeCell ref="E10:F10"/>
    <mergeCell ref="J10:Q10"/>
    <mergeCell ref="H68:I68"/>
    <mergeCell ref="H69:I69"/>
    <mergeCell ref="H70:I70"/>
    <mergeCell ref="H71:I71"/>
    <mergeCell ref="H76:I76"/>
    <mergeCell ref="E11:F11"/>
    <mergeCell ref="J11:Q11"/>
    <mergeCell ref="E12:F13"/>
    <mergeCell ref="J12:Q12"/>
    <mergeCell ref="J13:Q13"/>
    <mergeCell ref="J28:Q28"/>
    <mergeCell ref="J38:Q38"/>
    <mergeCell ref="E46:F46"/>
    <mergeCell ref="J46:Q46"/>
    <mergeCell ref="E48:F49"/>
    <mergeCell ref="J48:Q48"/>
    <mergeCell ref="C58:F58"/>
    <mergeCell ref="H58:I58"/>
    <mergeCell ref="J58:Q58"/>
    <mergeCell ref="C68:F68"/>
    <mergeCell ref="C4:I4"/>
    <mergeCell ref="J4:Q4"/>
    <mergeCell ref="D5:I5"/>
    <mergeCell ref="J5:K5"/>
    <mergeCell ref="L5:Q5"/>
    <mergeCell ref="D6:I6"/>
    <mergeCell ref="J6:K6"/>
    <mergeCell ref="L6:Q6"/>
    <mergeCell ref="D7:I7"/>
    <mergeCell ref="J7:K7"/>
    <mergeCell ref="L7:Q7"/>
    <mergeCell ref="C63:F63"/>
    <mergeCell ref="H63:I63"/>
    <mergeCell ref="J63:Q63"/>
    <mergeCell ref="C64:F64"/>
    <mergeCell ref="H64:I64"/>
    <mergeCell ref="J64:Q64"/>
    <mergeCell ref="C61:F61"/>
    <mergeCell ref="H61:I61"/>
    <mergeCell ref="J61:Q61"/>
    <mergeCell ref="C62:F62"/>
    <mergeCell ref="U17:W17"/>
    <mergeCell ref="E18:F18"/>
    <mergeCell ref="J18:Q18"/>
    <mergeCell ref="U18:W18"/>
    <mergeCell ref="E19:F24"/>
    <mergeCell ref="J19:Q19"/>
    <mergeCell ref="J20:Q20"/>
    <mergeCell ref="U20:W20"/>
    <mergeCell ref="J21:Q21"/>
    <mergeCell ref="U21:W21"/>
    <mergeCell ref="E14:F17"/>
    <mergeCell ref="J14:Q14"/>
    <mergeCell ref="J15:Q15"/>
    <mergeCell ref="J16:Q16"/>
    <mergeCell ref="J17:Q17"/>
    <mergeCell ref="U28:W29"/>
    <mergeCell ref="J29:Q29"/>
    <mergeCell ref="J30:Q30"/>
    <mergeCell ref="U30:W30"/>
    <mergeCell ref="E31:F31"/>
    <mergeCell ref="J31:Q31"/>
    <mergeCell ref="U31:W31"/>
    <mergeCell ref="J22:Q22"/>
    <mergeCell ref="U22:W24"/>
    <mergeCell ref="J23:Q23"/>
    <mergeCell ref="J24:Q24"/>
    <mergeCell ref="E25:F30"/>
    <mergeCell ref="J25:Q25"/>
    <mergeCell ref="U25:W26"/>
    <mergeCell ref="J26:Q26"/>
    <mergeCell ref="J27:Q27"/>
    <mergeCell ref="U27:W27"/>
    <mergeCell ref="U38:W39"/>
    <mergeCell ref="J39:Q39"/>
    <mergeCell ref="J40:Q40"/>
    <mergeCell ref="U40:W41"/>
    <mergeCell ref="J41:Q41"/>
    <mergeCell ref="E32:F43"/>
    <mergeCell ref="J32:Q32"/>
    <mergeCell ref="U32:W33"/>
    <mergeCell ref="J33:Q33"/>
    <mergeCell ref="J34:Q34"/>
    <mergeCell ref="U34:W35"/>
    <mergeCell ref="J35:Q35"/>
    <mergeCell ref="J36:Q36"/>
    <mergeCell ref="U36:W37"/>
    <mergeCell ref="J37:Q37"/>
    <mergeCell ref="U55:W55"/>
    <mergeCell ref="Q56:R56"/>
    <mergeCell ref="B56:D56"/>
    <mergeCell ref="U46:W46"/>
    <mergeCell ref="E47:F47"/>
    <mergeCell ref="J47:Q47"/>
    <mergeCell ref="U47:W47"/>
    <mergeCell ref="J42:Q42"/>
    <mergeCell ref="U42:W43"/>
    <mergeCell ref="J43:Q43"/>
    <mergeCell ref="E44:F45"/>
    <mergeCell ref="J44:Q44"/>
    <mergeCell ref="J45:Q45"/>
    <mergeCell ref="U45:W45"/>
    <mergeCell ref="U58:W58"/>
    <mergeCell ref="C59:F59"/>
    <mergeCell ref="H59:I59"/>
    <mergeCell ref="J59:Q59"/>
    <mergeCell ref="C60:F60"/>
    <mergeCell ref="H60:I60"/>
    <mergeCell ref="J60:Q60"/>
    <mergeCell ref="U48:W48"/>
    <mergeCell ref="J49:Q49"/>
    <mergeCell ref="U49:W50"/>
    <mergeCell ref="E50:F52"/>
    <mergeCell ref="J50:Q50"/>
    <mergeCell ref="J51:Q51"/>
    <mergeCell ref="U51:W52"/>
    <mergeCell ref="J52:Q52"/>
    <mergeCell ref="C57:F57"/>
    <mergeCell ref="H57:I57"/>
    <mergeCell ref="J57:Q57"/>
    <mergeCell ref="E53:F55"/>
    <mergeCell ref="J53:Q53"/>
    <mergeCell ref="U53:W53"/>
    <mergeCell ref="J54:Q54"/>
    <mergeCell ref="U54:W54"/>
    <mergeCell ref="J55:Q55"/>
    <mergeCell ref="H62:I62"/>
    <mergeCell ref="J62:Q62"/>
    <mergeCell ref="C67:F67"/>
    <mergeCell ref="H67:I67"/>
    <mergeCell ref="J67:Q67"/>
    <mergeCell ref="J68:Q68"/>
    <mergeCell ref="J69:Q69"/>
    <mergeCell ref="C65:F65"/>
    <mergeCell ref="H65:I65"/>
    <mergeCell ref="J65:Q65"/>
    <mergeCell ref="C66:F66"/>
    <mergeCell ref="H66:I66"/>
    <mergeCell ref="J66:Q66"/>
    <mergeCell ref="H73:I73"/>
    <mergeCell ref="J73:Q73"/>
    <mergeCell ref="H74:I74"/>
    <mergeCell ref="J74:Q74"/>
    <mergeCell ref="H75:I75"/>
    <mergeCell ref="J75:Q75"/>
    <mergeCell ref="C70:F70"/>
    <mergeCell ref="J70:Q70"/>
    <mergeCell ref="C71:F71"/>
    <mergeCell ref="J71:Q71"/>
    <mergeCell ref="C72:F72"/>
    <mergeCell ref="H72:I72"/>
    <mergeCell ref="J72:Q72"/>
    <mergeCell ref="C73:F73"/>
    <mergeCell ref="C84:F84"/>
    <mergeCell ref="H84:I84"/>
    <mergeCell ref="J84:Q84"/>
    <mergeCell ref="C85:F85"/>
    <mergeCell ref="H85:I85"/>
    <mergeCell ref="J85:Q85"/>
    <mergeCell ref="C82:F82"/>
    <mergeCell ref="H82:I82"/>
    <mergeCell ref="J82:Q82"/>
    <mergeCell ref="C83:F83"/>
    <mergeCell ref="H83:I83"/>
    <mergeCell ref="J83:Q83"/>
    <mergeCell ref="C79:F79"/>
    <mergeCell ref="H79:I79"/>
    <mergeCell ref="J79:Q79"/>
    <mergeCell ref="C80:F80"/>
    <mergeCell ref="J80:Q80"/>
    <mergeCell ref="C81:F81"/>
    <mergeCell ref="H81:I81"/>
    <mergeCell ref="J81:Q81"/>
    <mergeCell ref="J76:Q76"/>
    <mergeCell ref="H77:I77"/>
    <mergeCell ref="J77:Q77"/>
    <mergeCell ref="C78:F78"/>
    <mergeCell ref="H78:I78"/>
    <mergeCell ref="J78:Q78"/>
    <mergeCell ref="H80:I80"/>
  </mergeCells>
  <conditionalFormatting sqref="I10">
    <cfRule type="cellIs" dxfId="7" priority="8" stopIfTrue="1" operator="notBetween">
      <formula>0</formula>
      <formula>999999999</formula>
    </cfRule>
  </conditionalFormatting>
  <conditionalFormatting sqref="I12:I17">
    <cfRule type="cellIs" dxfId="6" priority="30" stopIfTrue="1" operator="notBetween">
      <formula>0</formula>
      <formula>999999999</formula>
    </cfRule>
  </conditionalFormatting>
  <conditionalFormatting sqref="I19:J30">
    <cfRule type="cellIs" dxfId="5" priority="23" stopIfTrue="1" operator="notBetween">
      <formula>0</formula>
      <formula>999999999</formula>
    </cfRule>
  </conditionalFormatting>
  <conditionalFormatting sqref="J10:J17">
    <cfRule type="cellIs" dxfId="4" priority="27" stopIfTrue="1" operator="notBetween">
      <formula>0</formula>
      <formula>999999999</formula>
    </cfRule>
  </conditionalFormatting>
  <conditionalFormatting sqref="J32:J45">
    <cfRule type="cellIs" dxfId="3" priority="19" stopIfTrue="1" operator="notBetween">
      <formula>0</formula>
      <formula>999999999</formula>
    </cfRule>
  </conditionalFormatting>
  <conditionalFormatting sqref="J47:J55">
    <cfRule type="cellIs" dxfId="2" priority="14" stopIfTrue="1" operator="notBetween">
      <formula>0</formula>
      <formula>999999999</formula>
    </cfRule>
  </conditionalFormatting>
  <conditionalFormatting sqref="J58:J78">
    <cfRule type="cellIs" dxfId="1" priority="1" stopIfTrue="1" operator="notBetween">
      <formula>0</formula>
      <formula>999999999</formula>
    </cfRule>
  </conditionalFormatting>
  <conditionalFormatting sqref="J80:J86">
    <cfRule type="cellIs" dxfId="0" priority="2" stopIfTrue="1" operator="notBetween">
      <formula>0</formula>
      <formula>999999999</formula>
    </cfRule>
  </conditionalFormatting>
  <pageMargins left="0.7" right="0.7" top="0.78740157499999996" bottom="0.78740157499999996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11B2EFAB943A8243A75BB87869A00EEA" ma:contentTypeVersion="11" ma:contentTypeDescription="Ein neues Dokument erstellen." ma:contentTypeScope="" ma:versionID="c71db41d4d32cf0bc833820bf5e13e73">
  <xsd:schema xmlns:xsd="http://www.w3.org/2001/XMLSchema" xmlns:xs="http://www.w3.org/2001/XMLSchema" xmlns:p="http://schemas.microsoft.com/office/2006/metadata/properties" xmlns:ns2="2a42b965-c74a-4404-a567-93067aee2e9a" xmlns:ns3="331f35ef-90b0-4b88-b84c-4fb3063b5202" targetNamespace="http://schemas.microsoft.com/office/2006/metadata/properties" ma:root="true" ma:fieldsID="81465bbba6699fb341c920f2c5918b34" ns2:_="" ns3:_="">
    <xsd:import namespace="2a42b965-c74a-4404-a567-93067aee2e9a"/>
    <xsd:import namespace="331f35ef-90b0-4b88-b84c-4fb3063b520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a42b965-c74a-4404-a567-93067aee2e9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Bildmarkierungen" ma:readOnly="false" ma:fieldId="{5cf76f15-5ced-4ddc-b409-7134ff3c332f}" ma:taxonomyMulti="true" ma:sspId="1dcb103a-b251-4f80-91b0-fd217378354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1f35ef-90b0-4b88-b84c-4fb3063b5202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e80eb231-1678-45b6-bd8b-280968e2974a}" ma:internalName="TaxCatchAll" ma:showField="CatchAllData" ma:web="331f35ef-90b0-4b88-b84c-4fb3063b520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a42b965-c74a-4404-a567-93067aee2e9a">
      <Terms xmlns="http://schemas.microsoft.com/office/infopath/2007/PartnerControls"/>
    </lcf76f155ced4ddcb4097134ff3c332f>
    <TaxCatchAll xmlns="331f35ef-90b0-4b88-b84c-4fb3063b5202" xsi:nil="true"/>
  </documentManagement>
</p:properties>
</file>

<file path=customXml/itemProps1.xml><?xml version="1.0" encoding="utf-8"?>
<ds:datastoreItem xmlns:ds="http://schemas.openxmlformats.org/officeDocument/2006/customXml" ds:itemID="{6B3BCDE6-CDBD-4581-AF83-9818D6BFECB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a42b965-c74a-4404-a567-93067aee2e9a"/>
    <ds:schemaRef ds:uri="331f35ef-90b0-4b88-b84c-4fb3063b520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56EF2F9-80D6-49A6-B53C-6BFB159B8FA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E046241-C448-4A79-82EC-3262AECB216F}">
  <ds:schemaRefs>
    <ds:schemaRef ds:uri="http://schemas.microsoft.com/office/2006/metadata/properties"/>
    <ds:schemaRef ds:uri="http://schemas.microsoft.com/office/infopath/2007/PartnerControls"/>
    <ds:schemaRef ds:uri="2a42b965-c74a-4404-a567-93067aee2e9a"/>
    <ds:schemaRef ds:uri="331f35ef-90b0-4b88-b84c-4fb3063b520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5</vt:i4>
      </vt:variant>
      <vt:variant>
        <vt:lpstr>Benannte Bereiche</vt:lpstr>
      </vt:variant>
      <vt:variant>
        <vt:i4>1</vt:i4>
      </vt:variant>
    </vt:vector>
  </HeadingPairs>
  <TitlesOfParts>
    <vt:vector size="6" baseType="lpstr">
      <vt:lpstr>Overview IB</vt:lpstr>
      <vt:lpstr>1. ZWB </vt:lpstr>
      <vt:lpstr>2. ZWB </vt:lpstr>
      <vt:lpstr>3. ZWB </vt:lpstr>
      <vt:lpstr>EB </vt:lpstr>
      <vt:lpstr>Sprache_und_Bildung</vt:lpstr>
    </vt:vector>
  </TitlesOfParts>
  <Company>BKA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Indikatorenbericht - Vorlage</dc:title>
  <dc:creator>BKA</dc:creator>
  <cp:lastModifiedBy>FA, Arpad</cp:lastModifiedBy>
  <cp:lastPrinted>2023-02-28T13:04:39Z</cp:lastPrinted>
  <dcterms:created xsi:type="dcterms:W3CDTF">2018-04-16T09:43:52Z</dcterms:created>
  <dcterms:modified xsi:type="dcterms:W3CDTF">2026-04-30T11:51:34Z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0x01010011B2EFAB943A8243A75BB87869A00EEA</vt:lpwstr>
  </property>
  <property fmtid="{D5CDD505-2E9C-101B-9397-08002B2CF9AE}" pid="3" name="MediaServiceImageTags">
    <vt:lpwstr/>
  </property>
</Properties>
</file>