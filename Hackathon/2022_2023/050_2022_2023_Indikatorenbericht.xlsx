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BKA\Sektion_II\II_3\3_NATIONAL\13_Monitoring Indikatoren\Hackaton Daten\2022_2023\"/>
    </mc:Choice>
  </mc:AlternateContent>
  <xr:revisionPtr revIDLastSave="0" documentId="13_ncr:1_{89836ED7-2B5F-433E-ABC2-BB2702D1FC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 IB" sheetId="1" r:id="rId1"/>
    <sheet name="1. ZWB " sheetId="6" r:id="rId2"/>
    <sheet name="2. ZWB " sheetId="7" r:id="rId3"/>
    <sheet name="3. ZWB " sheetId="8" r:id="rId4"/>
    <sheet name="EB " sheetId="9" r:id="rId5"/>
  </sheets>
  <externalReferences>
    <externalReference r:id="rId6"/>
    <externalReference r:id="rId7"/>
  </externalReferences>
  <definedNames>
    <definedName name="A_Ja_Nein_Liste">[1]sysAuswahl!$A$5:$A$6</definedName>
    <definedName name="A_Ja_Nein_Rev">[1]sysAuswahl!$F$5:$G$7</definedName>
    <definedName name="A_Ja_Nein_Wert">[1]sysAuswahl!$C$5:$D$7</definedName>
    <definedName name="A_MASSN_Liste">[1]sysAuswahl!$A$23:$A$31</definedName>
    <definedName name="A_MASSN_Rev">[1]sysAuswahl!$F$23:$G$32</definedName>
    <definedName name="A_MASSN_Wert">[1]sysAuswahl!$C$23:$D$32</definedName>
    <definedName name="A_ProjArt_Liste">[1]sysAuswahl!$A$14:$A$16</definedName>
    <definedName name="_xlnm.Print_Area" localSheetId="0">'Overview IB'!$B$2:$S$92,'Overview IB'!#REF!,'Overview IB'!$U$2:$V$92</definedName>
    <definedName name="F_FondsBez">[1]Eingabe_1_bis_4!$F$15</definedName>
    <definedName name="F_Massnahme">[1]Eingabe_1_bis_4!$F$19</definedName>
    <definedName name="F_MONSYS_Aktenzeichen">[1]Eingabe_1_bis_4!$F$7</definedName>
    <definedName name="F_MONSYS_Eingangsdatum">[1]Eingabe_1_bis_4!$F$5</definedName>
    <definedName name="F_MONSYS_eingegangenBei">[1]Eingabe_1_bis_4!$F$4</definedName>
    <definedName name="F_MONSYS_FassungVom">[1]Eingabe_1_bis_4!$F$6</definedName>
    <definedName name="F_MONSYS_Projektcode">[1]Eingabe_1_bis_4!$F$9</definedName>
    <definedName name="F_MONSYS_Vertragsnummer">[1]Eingabe_1_bis_4!$F$8</definedName>
    <definedName name="F_PA1_Ansprech">[1]Eingabe_5!$F$20</definedName>
    <definedName name="F_PA1_Email">[1]Eingabe_5!$F$26</definedName>
    <definedName name="F_PA1_Fax">[1]Eingabe_5!$F$24</definedName>
    <definedName name="F_PA1_Telefon">[1]Eingabe_5!$F$22</definedName>
    <definedName name="F_PA2_Ansprech">[1]Eingabe_5!$F$44</definedName>
    <definedName name="F_PA2_Email">[1]Eingabe_5!$F$50</definedName>
    <definedName name="F_PA2_Fax">[1]Eingabe_5!$F$48</definedName>
    <definedName name="F_PA2_Telefon">[1]Eingabe_5!$F$46</definedName>
    <definedName name="F_PK_KACode_L00">[1]Eingabe_6!$F$48</definedName>
    <definedName name="F_PK_KACode_L01">[1]Eingabe_6!$F$52</definedName>
    <definedName name="F_PK_KACode_L02">[1]Eingabe_6!$F$56</definedName>
    <definedName name="F_PK_KACode_L03">[1]Eingabe_6!$F$60</definedName>
    <definedName name="F_PK_KACode_L04">[1]Eingabe_6!$F$64</definedName>
    <definedName name="F_PK_KACode_L05">[1]Eingabe_6!$F$68</definedName>
    <definedName name="F_PK_KACode_L06">[1]Eingabe_6!$F$72</definedName>
    <definedName name="F_PK_KACode_L07">[1]Eingabe_6!$F$76</definedName>
    <definedName name="F_PK_KACode_L08">[1]Eingabe_6!$F$80</definedName>
    <definedName name="F_PK_KACode_L09">[1]Eingabe_6!$F$84</definedName>
    <definedName name="F_PK_PK_Notiz_L00">[1]Eingabe_6!$F$50</definedName>
    <definedName name="F_PK_PK_Notiz_L01">[1]Eingabe_6!$F$54</definedName>
    <definedName name="F_PK_PK_Notiz_L02">[1]Eingabe_6!$F$58</definedName>
    <definedName name="F_PK_PK_Notiz_L03">[1]Eingabe_6!$F$62</definedName>
    <definedName name="F_PK_PK_Notiz_L04">[1]Eingabe_6!$F$66</definedName>
    <definedName name="F_PK_PK_Notiz_L05">[1]Eingabe_6!$F$70</definedName>
    <definedName name="F_PK_PK_Notiz_L06">[1]Eingabe_6!$F$74</definedName>
    <definedName name="F_PK_PK_Notiz_L07">[1]Eingabe_6!$F$78</definedName>
    <definedName name="F_PK_PK_Notiz_L08">[1]Eingabe_6!$F$82</definedName>
    <definedName name="F_PK_PK_Notiz_L09">[1]Eingabe_6!$F$86</definedName>
    <definedName name="F_PK_Z01">[1]Eingabe_6!$F$34</definedName>
    <definedName name="F_PK_Z02">[1]Eingabe_6!$F$36</definedName>
    <definedName name="F_PK_Z03">[1]Eingabe_6!$F$38</definedName>
    <definedName name="F_PK_Z04">[1]Eingabe_6!$F$40</definedName>
    <definedName name="F_PR_AZVFS">[1]Eingabe_1_bis_4!$F$25</definedName>
    <definedName name="F_PR_FEAnsprech">[1]Eingabe_1_bis_4!$F$71</definedName>
    <definedName name="F_PR_FEAnsprech_Email">[1]Eingabe_1_bis_4!$F$77</definedName>
    <definedName name="F_PR_FEAnsprech_Fax">[1]Eingabe_1_bis_4!$F$75</definedName>
    <definedName name="F_PR_FEAnsprech_Telefon">[1]Eingabe_1_bis_4!$F$73</definedName>
    <definedName name="F_PR_FEBLZ">[1]Eingabe_1_bis_4!$F$87</definedName>
    <definedName name="F_PR_FEKontonr">[1]Eingabe_1_bis_4!$F$85</definedName>
    <definedName name="F_PR_FeMWST">[1]Eingabe_1_bis_4!$F$61</definedName>
    <definedName name="F_PR_FEZeichBerecht">[1]Eingabe_1_bis_4!$F$57</definedName>
    <definedName name="F_PR_Grenzland">[1]Eingabe_1_bis_4!$F$67</definedName>
    <definedName name="F_PR_Link">[1]Eingabe_1_bis_4!$F$81</definedName>
    <definedName name="F_PR_Projdf_anf">[1]Eingabe_6!$F$7</definedName>
    <definedName name="F_PR_Projdf_end">[1]Eingabe_6!$F$9</definedName>
    <definedName name="F_PR_Projektbeschreibung1">[1]Eingabe_6!$F$27</definedName>
    <definedName name="F_PR_Projektbeschreibung2">[1]Eingabe_6!$F$28</definedName>
    <definedName name="F_PR_Projinfo">[1]Eingabe_6!$F$25</definedName>
    <definedName name="F_PR_Projtitel">[1]Eingabe_1_bis_4!$F$23</definedName>
    <definedName name="F_PR_Standort">[1]Eingabe_6!$F$44</definedName>
    <definedName name="F_PR_Ziele">[1]Eingabe_6!$F$30</definedName>
    <definedName name="Handlungsfeld">'[2]Angaben zum Projekt'!$D$6</definedName>
    <definedName name="Maßnahmenbereich" localSheetId="1">#REF!</definedName>
    <definedName name="Maßnahmenbereich" localSheetId="2">#REF!</definedName>
    <definedName name="Maßnahmenbereich" localSheetId="3">#REF!</definedName>
    <definedName name="Maßnahmenbereich" localSheetId="4">#REF!</definedName>
    <definedName name="Maßnahmenbereich">#REF!</definedName>
    <definedName name="Sprache_und_Bildung">'Overview IB'!$D$7</definedName>
    <definedName name="Version_Dok">[1]Version!$B$1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87" i="1" l="1"/>
  <c r="Q88" i="1"/>
  <c r="Q89" i="1"/>
  <c r="Q90" i="1"/>
  <c r="Q91" i="1"/>
  <c r="Q92" i="1"/>
  <c r="Q86" i="1"/>
  <c r="N87" i="1"/>
  <c r="N88" i="1"/>
  <c r="N89" i="1"/>
  <c r="N90" i="1"/>
  <c r="N91" i="1"/>
  <c r="N92" i="1"/>
  <c r="N86" i="1"/>
  <c r="K87" i="1"/>
  <c r="K88" i="1"/>
  <c r="K89" i="1"/>
  <c r="K90" i="1"/>
  <c r="K91" i="1"/>
  <c r="K92" i="1"/>
  <c r="K86" i="1"/>
  <c r="Q66" i="1"/>
  <c r="Q67" i="1"/>
  <c r="Q68" i="1"/>
  <c r="Q69" i="1"/>
  <c r="Q70" i="1"/>
  <c r="Q71" i="1"/>
  <c r="Q73" i="1"/>
  <c r="Q74" i="1"/>
  <c r="Q75" i="1"/>
  <c r="Q76" i="1"/>
  <c r="Q78" i="1"/>
  <c r="Q79" i="1"/>
  <c r="Q80" i="1"/>
  <c r="Q81" i="1"/>
  <c r="Q82" i="1"/>
  <c r="Q83" i="1"/>
  <c r="Q84" i="1"/>
  <c r="N66" i="1"/>
  <c r="N67" i="1"/>
  <c r="N68" i="1"/>
  <c r="N69" i="1"/>
  <c r="N70" i="1"/>
  <c r="N71" i="1"/>
  <c r="N73" i="1"/>
  <c r="N74" i="1"/>
  <c r="N75" i="1"/>
  <c r="N76" i="1"/>
  <c r="N78" i="1"/>
  <c r="N79" i="1"/>
  <c r="N80" i="1"/>
  <c r="N81" i="1"/>
  <c r="N82" i="1"/>
  <c r="N83" i="1"/>
  <c r="N84" i="1"/>
  <c r="K66" i="1"/>
  <c r="K67" i="1"/>
  <c r="K68" i="1"/>
  <c r="K69" i="1"/>
  <c r="K70" i="1"/>
  <c r="K71" i="1"/>
  <c r="K73" i="1"/>
  <c r="K74" i="1"/>
  <c r="K75" i="1"/>
  <c r="K76" i="1"/>
  <c r="K78" i="1"/>
  <c r="K79" i="1"/>
  <c r="K80" i="1"/>
  <c r="K81" i="1"/>
  <c r="K82" i="1"/>
  <c r="K83" i="1"/>
  <c r="K84" i="1"/>
  <c r="H65" i="1"/>
  <c r="Q65" i="1"/>
  <c r="N65" i="1"/>
  <c r="K65" i="1"/>
  <c r="H87" i="1"/>
  <c r="H88" i="1"/>
  <c r="H89" i="1"/>
  <c r="H90" i="1"/>
  <c r="H91" i="1"/>
  <c r="H92" i="1"/>
  <c r="H86" i="1"/>
  <c r="H66" i="1"/>
  <c r="H67" i="1"/>
  <c r="H68" i="1"/>
  <c r="H69" i="1"/>
  <c r="H70" i="1"/>
  <c r="H71" i="1"/>
  <c r="H73" i="1"/>
  <c r="H74" i="1"/>
  <c r="H75" i="1"/>
  <c r="H76" i="1"/>
  <c r="H78" i="1"/>
  <c r="H79" i="1"/>
  <c r="H80" i="1"/>
  <c r="H81" i="1"/>
  <c r="H82" i="1"/>
  <c r="H83" i="1"/>
  <c r="H84" i="1"/>
  <c r="D15" i="8" l="1"/>
  <c r="E12" i="8"/>
  <c r="E14" i="6"/>
  <c r="E10" i="9" l="1"/>
  <c r="E10" i="8"/>
  <c r="E10" i="7"/>
  <c r="E50" i="9"/>
  <c r="E50" i="8"/>
  <c r="E48" i="9"/>
  <c r="E48" i="8"/>
  <c r="E47" i="9"/>
  <c r="E47" i="8"/>
  <c r="E44" i="9"/>
  <c r="E44" i="8"/>
  <c r="E32" i="9"/>
  <c r="E32" i="8"/>
  <c r="E25" i="9"/>
  <c r="E25" i="8"/>
  <c r="E19" i="9"/>
  <c r="E19" i="8"/>
  <c r="E14" i="9"/>
  <c r="E14" i="8"/>
  <c r="E12" i="9"/>
  <c r="E53" i="9"/>
  <c r="E53" i="8"/>
  <c r="E53" i="7"/>
  <c r="E50" i="7"/>
  <c r="E48" i="7"/>
  <c r="E47" i="7"/>
  <c r="E44" i="7"/>
  <c r="E32" i="7"/>
  <c r="E25" i="7"/>
  <c r="E19" i="7"/>
  <c r="E19" i="6"/>
  <c r="E14" i="7"/>
  <c r="E12" i="7"/>
  <c r="E53" i="6"/>
  <c r="E50" i="6"/>
  <c r="E48" i="6"/>
  <c r="E47" i="6"/>
  <c r="E44" i="6"/>
  <c r="E32" i="6"/>
  <c r="E25" i="6"/>
  <c r="E12" i="6"/>
  <c r="E10" i="6"/>
  <c r="Q54" i="1"/>
  <c r="Q55" i="1"/>
  <c r="Q56" i="1"/>
  <c r="Q57" i="1"/>
  <c r="Q58" i="1"/>
  <c r="Q59" i="1"/>
  <c r="Q60" i="1"/>
  <c r="Q61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26" i="1"/>
  <c r="Q27" i="1"/>
  <c r="Q28" i="1"/>
  <c r="Q29" i="1"/>
  <c r="Q30" i="1"/>
  <c r="Q31" i="1"/>
  <c r="Q32" i="1"/>
  <c r="Q33" i="1"/>
  <c r="Q34" i="1"/>
  <c r="Q35" i="1"/>
  <c r="Q36" i="1"/>
  <c r="Q19" i="1"/>
  <c r="Q20" i="1"/>
  <c r="Q21" i="1"/>
  <c r="Q22" i="1"/>
  <c r="Q23" i="1"/>
  <c r="N54" i="1"/>
  <c r="N55" i="1"/>
  <c r="N56" i="1"/>
  <c r="N57" i="1"/>
  <c r="N58" i="1"/>
  <c r="N59" i="1"/>
  <c r="N60" i="1"/>
  <c r="N61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26" i="1"/>
  <c r="N27" i="1"/>
  <c r="N28" i="1"/>
  <c r="N29" i="1"/>
  <c r="N30" i="1"/>
  <c r="N31" i="1"/>
  <c r="N32" i="1"/>
  <c r="N33" i="1"/>
  <c r="N34" i="1"/>
  <c r="N35" i="1"/>
  <c r="N36" i="1"/>
  <c r="N19" i="1"/>
  <c r="N20" i="1"/>
  <c r="N21" i="1"/>
  <c r="N22" i="1"/>
  <c r="N23" i="1"/>
  <c r="D48" i="9"/>
  <c r="D49" i="9"/>
  <c r="D50" i="9"/>
  <c r="D51" i="9"/>
  <c r="D52" i="9"/>
  <c r="D53" i="9"/>
  <c r="D54" i="9"/>
  <c r="D55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20" i="9"/>
  <c r="D21" i="9"/>
  <c r="D22" i="9"/>
  <c r="D23" i="9"/>
  <c r="D24" i="9"/>
  <c r="D25" i="9"/>
  <c r="D26" i="9"/>
  <c r="D27" i="9"/>
  <c r="D28" i="9"/>
  <c r="D29" i="9"/>
  <c r="D30" i="9"/>
  <c r="D13" i="9"/>
  <c r="D14" i="9"/>
  <c r="D15" i="9"/>
  <c r="D16" i="9"/>
  <c r="D17" i="9"/>
  <c r="D48" i="8"/>
  <c r="D49" i="8"/>
  <c r="D50" i="8"/>
  <c r="D51" i="8"/>
  <c r="D52" i="8"/>
  <c r="D53" i="8"/>
  <c r="D54" i="8"/>
  <c r="D55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20" i="8"/>
  <c r="D21" i="8"/>
  <c r="D22" i="8"/>
  <c r="D23" i="8"/>
  <c r="D24" i="8"/>
  <c r="D25" i="8"/>
  <c r="D26" i="8"/>
  <c r="D27" i="8"/>
  <c r="D28" i="8"/>
  <c r="D29" i="8"/>
  <c r="D30" i="8"/>
  <c r="D13" i="8"/>
  <c r="D14" i="8"/>
  <c r="D16" i="8"/>
  <c r="D17" i="8"/>
  <c r="D47" i="9"/>
  <c r="D19" i="9"/>
  <c r="D12" i="9"/>
  <c r="D10" i="9"/>
  <c r="D47" i="8"/>
  <c r="D19" i="8"/>
  <c r="D12" i="8"/>
  <c r="D10" i="8"/>
  <c r="D48" i="7"/>
  <c r="D49" i="7"/>
  <c r="D50" i="7"/>
  <c r="D51" i="7"/>
  <c r="D52" i="7"/>
  <c r="D53" i="7"/>
  <c r="D54" i="7"/>
  <c r="D55" i="7"/>
  <c r="D47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20" i="7"/>
  <c r="D21" i="7"/>
  <c r="D22" i="7"/>
  <c r="D23" i="7"/>
  <c r="D24" i="7"/>
  <c r="D25" i="7"/>
  <c r="D26" i="7"/>
  <c r="D27" i="7"/>
  <c r="D28" i="7"/>
  <c r="D29" i="7"/>
  <c r="D30" i="7"/>
  <c r="D19" i="7"/>
  <c r="D13" i="7"/>
  <c r="D14" i="7"/>
  <c r="D15" i="7"/>
  <c r="D16" i="7"/>
  <c r="D17" i="7"/>
  <c r="D12" i="7"/>
  <c r="D48" i="6"/>
  <c r="D49" i="6"/>
  <c r="D50" i="6"/>
  <c r="D51" i="6"/>
  <c r="D52" i="6"/>
  <c r="D53" i="6"/>
  <c r="D54" i="6"/>
  <c r="D55" i="6"/>
  <c r="D47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20" i="6"/>
  <c r="D21" i="6"/>
  <c r="D22" i="6"/>
  <c r="D23" i="6"/>
  <c r="D24" i="6"/>
  <c r="D25" i="6"/>
  <c r="D26" i="6"/>
  <c r="D27" i="6"/>
  <c r="D28" i="6"/>
  <c r="D29" i="6"/>
  <c r="D30" i="6"/>
  <c r="D19" i="6"/>
  <c r="D14" i="6"/>
  <c r="D13" i="6"/>
  <c r="D15" i="6"/>
  <c r="D16" i="6"/>
  <c r="D17" i="6"/>
  <c r="D12" i="6"/>
  <c r="D10" i="6"/>
  <c r="D10" i="7"/>
  <c r="L6" i="9" l="1"/>
  <c r="L5" i="9"/>
  <c r="L6" i="8"/>
  <c r="L5" i="8"/>
  <c r="L6" i="7"/>
  <c r="L5" i="7"/>
  <c r="I10" i="7"/>
  <c r="I12" i="7"/>
  <c r="L7" i="7" l="1"/>
  <c r="D7" i="7" s="1"/>
  <c r="L14" i="1" s="1"/>
  <c r="L7" i="8"/>
  <c r="D7" i="8" s="1"/>
  <c r="O14" i="1" s="1"/>
  <c r="L7" i="9"/>
  <c r="D7" i="9" s="1"/>
  <c r="R14" i="1" s="1"/>
  <c r="D13" i="1"/>
  <c r="L6" i="6"/>
  <c r="L5" i="6"/>
  <c r="L7" i="6" l="1"/>
  <c r="D7" i="6" s="1"/>
  <c r="I14" i="1" s="1"/>
  <c r="I10" i="6"/>
  <c r="H32" i="9" l="1"/>
  <c r="H32" i="8"/>
  <c r="H32" i="7"/>
  <c r="H32" i="6"/>
  <c r="Q53" i="1" l="1"/>
  <c r="Q38" i="1"/>
  <c r="Q25" i="1"/>
  <c r="Q18" i="1"/>
  <c r="Q16" i="1"/>
  <c r="N53" i="1"/>
  <c r="N38" i="1"/>
  <c r="N25" i="1"/>
  <c r="N18" i="1"/>
  <c r="N16" i="1"/>
  <c r="K54" i="1"/>
  <c r="K55" i="1"/>
  <c r="K56" i="1"/>
  <c r="K57" i="1"/>
  <c r="K58" i="1"/>
  <c r="K59" i="1"/>
  <c r="K60" i="1"/>
  <c r="K61" i="1"/>
  <c r="K53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38" i="1"/>
  <c r="H54" i="1"/>
  <c r="H55" i="1"/>
  <c r="H56" i="1"/>
  <c r="H57" i="1"/>
  <c r="H58" i="1"/>
  <c r="H59" i="1"/>
  <c r="H60" i="1"/>
  <c r="H61" i="1"/>
  <c r="H53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38" i="1"/>
  <c r="K26" i="1"/>
  <c r="K27" i="1"/>
  <c r="K28" i="1"/>
  <c r="K29" i="1"/>
  <c r="K30" i="1"/>
  <c r="K31" i="1"/>
  <c r="K32" i="1"/>
  <c r="K33" i="1"/>
  <c r="K34" i="1"/>
  <c r="K35" i="1"/>
  <c r="K36" i="1"/>
  <c r="K25" i="1"/>
  <c r="L18" i="1"/>
  <c r="L16" i="1"/>
  <c r="K19" i="1"/>
  <c r="K20" i="1"/>
  <c r="K21" i="1"/>
  <c r="K22" i="1"/>
  <c r="K23" i="1"/>
  <c r="K18" i="1"/>
  <c r="K16" i="1"/>
  <c r="D38" i="1"/>
  <c r="H26" i="1"/>
  <c r="H27" i="1"/>
  <c r="H28" i="1"/>
  <c r="H29" i="1"/>
  <c r="H30" i="1"/>
  <c r="H31" i="1"/>
  <c r="H32" i="1"/>
  <c r="H33" i="1"/>
  <c r="H34" i="1"/>
  <c r="H35" i="1"/>
  <c r="H36" i="1"/>
  <c r="H25" i="1"/>
  <c r="H16" i="1"/>
  <c r="H18" i="1"/>
  <c r="H19" i="1"/>
  <c r="H20" i="1"/>
  <c r="H21" i="1"/>
  <c r="H22" i="1"/>
  <c r="H23" i="1"/>
  <c r="I55" i="9"/>
  <c r="R61" i="1" s="1"/>
  <c r="I54" i="9"/>
  <c r="R60" i="1" s="1"/>
  <c r="I53" i="9"/>
  <c r="R59" i="1" s="1"/>
  <c r="I52" i="9"/>
  <c r="R58" i="1" s="1"/>
  <c r="I51" i="9"/>
  <c r="R57" i="1" s="1"/>
  <c r="I50" i="9"/>
  <c r="R56" i="1" s="1"/>
  <c r="I49" i="9"/>
  <c r="R55" i="1" s="1"/>
  <c r="I48" i="9"/>
  <c r="R54" i="1" s="1"/>
  <c r="I47" i="9"/>
  <c r="R53" i="1" s="1"/>
  <c r="I45" i="9"/>
  <c r="R51" i="1" s="1"/>
  <c r="I44" i="9"/>
  <c r="R50" i="1" s="1"/>
  <c r="I43" i="9"/>
  <c r="R49" i="1" s="1"/>
  <c r="I42" i="9"/>
  <c r="R48" i="1" s="1"/>
  <c r="I41" i="9"/>
  <c r="R47" i="1" s="1"/>
  <c r="I40" i="9"/>
  <c r="R46" i="1" s="1"/>
  <c r="I39" i="9"/>
  <c r="R45" i="1" s="1"/>
  <c r="I38" i="9"/>
  <c r="R44" i="1" s="1"/>
  <c r="I37" i="9"/>
  <c r="R43" i="1" s="1"/>
  <c r="I36" i="9"/>
  <c r="R42" i="1" s="1"/>
  <c r="I35" i="9"/>
  <c r="R41" i="1" s="1"/>
  <c r="I34" i="9"/>
  <c r="R40" i="1" s="1"/>
  <c r="I33" i="9"/>
  <c r="R39" i="1" s="1"/>
  <c r="I32" i="9"/>
  <c r="R38" i="1" s="1"/>
  <c r="I30" i="9"/>
  <c r="R36" i="1" s="1"/>
  <c r="I29" i="9"/>
  <c r="R35" i="1" s="1"/>
  <c r="I28" i="9"/>
  <c r="R34" i="1" s="1"/>
  <c r="I27" i="9"/>
  <c r="R33" i="1" s="1"/>
  <c r="I26" i="9"/>
  <c r="R32" i="1" s="1"/>
  <c r="I25" i="9"/>
  <c r="R31" i="1" s="1"/>
  <c r="I24" i="9"/>
  <c r="R30" i="1" s="1"/>
  <c r="I23" i="9"/>
  <c r="R29" i="1" s="1"/>
  <c r="I22" i="9"/>
  <c r="R28" i="1" s="1"/>
  <c r="I21" i="9"/>
  <c r="R27" i="1" s="1"/>
  <c r="I20" i="9"/>
  <c r="R26" i="1" s="1"/>
  <c r="I19" i="9"/>
  <c r="R25" i="1" s="1"/>
  <c r="I17" i="9"/>
  <c r="R23" i="1" s="1"/>
  <c r="I16" i="9"/>
  <c r="R22" i="1" s="1"/>
  <c r="I15" i="9"/>
  <c r="R21" i="1" s="1"/>
  <c r="I14" i="9"/>
  <c r="R20" i="1" s="1"/>
  <c r="I13" i="9"/>
  <c r="R19" i="1" s="1"/>
  <c r="I12" i="9"/>
  <c r="R18" i="1" s="1"/>
  <c r="I10" i="9"/>
  <c r="R16" i="1" s="1"/>
  <c r="I55" i="8"/>
  <c r="O61" i="1" s="1"/>
  <c r="I54" i="8"/>
  <c r="O60" i="1" s="1"/>
  <c r="I53" i="8"/>
  <c r="O59" i="1" s="1"/>
  <c r="I52" i="8"/>
  <c r="O58" i="1" s="1"/>
  <c r="I51" i="8"/>
  <c r="O57" i="1" s="1"/>
  <c r="I50" i="8"/>
  <c r="O56" i="1" s="1"/>
  <c r="I49" i="8"/>
  <c r="O55" i="1" s="1"/>
  <c r="I48" i="8"/>
  <c r="O54" i="1" s="1"/>
  <c r="I47" i="8"/>
  <c r="O53" i="1" s="1"/>
  <c r="I45" i="8"/>
  <c r="O51" i="1" s="1"/>
  <c r="I44" i="8"/>
  <c r="O50" i="1" s="1"/>
  <c r="I43" i="8"/>
  <c r="O49" i="1" s="1"/>
  <c r="I42" i="8"/>
  <c r="O48" i="1" s="1"/>
  <c r="I41" i="8"/>
  <c r="O47" i="1" s="1"/>
  <c r="I40" i="8"/>
  <c r="O46" i="1" s="1"/>
  <c r="I39" i="8"/>
  <c r="O45" i="1" s="1"/>
  <c r="I38" i="8"/>
  <c r="O44" i="1" s="1"/>
  <c r="I37" i="8"/>
  <c r="O43" i="1" s="1"/>
  <c r="I36" i="8"/>
  <c r="O42" i="1" s="1"/>
  <c r="I35" i="8"/>
  <c r="O41" i="1" s="1"/>
  <c r="I34" i="8"/>
  <c r="O40" i="1" s="1"/>
  <c r="I33" i="8"/>
  <c r="O39" i="1" s="1"/>
  <c r="I32" i="8"/>
  <c r="O38" i="1" s="1"/>
  <c r="I30" i="8"/>
  <c r="O36" i="1" s="1"/>
  <c r="I29" i="8"/>
  <c r="O35" i="1" s="1"/>
  <c r="I28" i="8"/>
  <c r="O34" i="1" s="1"/>
  <c r="I27" i="8"/>
  <c r="O33" i="1" s="1"/>
  <c r="I26" i="8"/>
  <c r="O32" i="1" s="1"/>
  <c r="I25" i="8"/>
  <c r="O31" i="1" s="1"/>
  <c r="I24" i="8"/>
  <c r="O30" i="1" s="1"/>
  <c r="I23" i="8"/>
  <c r="O29" i="1" s="1"/>
  <c r="I22" i="8"/>
  <c r="O28" i="1" s="1"/>
  <c r="I21" i="8"/>
  <c r="O27" i="1" s="1"/>
  <c r="I20" i="8"/>
  <c r="O26" i="1" s="1"/>
  <c r="I19" i="8"/>
  <c r="O25" i="1" s="1"/>
  <c r="I17" i="8"/>
  <c r="O23" i="1" s="1"/>
  <c r="I16" i="8"/>
  <c r="O22" i="1" s="1"/>
  <c r="I15" i="8"/>
  <c r="O21" i="1" s="1"/>
  <c r="I14" i="8"/>
  <c r="O20" i="1" s="1"/>
  <c r="I13" i="8"/>
  <c r="O19" i="1" s="1"/>
  <c r="I12" i="8"/>
  <c r="O18" i="1" s="1"/>
  <c r="I10" i="8"/>
  <c r="O16" i="1" s="1"/>
  <c r="I55" i="7"/>
  <c r="L61" i="1" s="1"/>
  <c r="I54" i="7"/>
  <c r="L60" i="1" s="1"/>
  <c r="I53" i="7"/>
  <c r="L59" i="1" s="1"/>
  <c r="I52" i="7"/>
  <c r="L58" i="1" s="1"/>
  <c r="I51" i="7"/>
  <c r="L57" i="1" s="1"/>
  <c r="I50" i="7"/>
  <c r="L56" i="1" s="1"/>
  <c r="I49" i="7"/>
  <c r="L55" i="1" s="1"/>
  <c r="I48" i="7"/>
  <c r="L54" i="1" s="1"/>
  <c r="I47" i="7"/>
  <c r="L53" i="1" s="1"/>
  <c r="I45" i="7"/>
  <c r="L51" i="1" s="1"/>
  <c r="I44" i="7"/>
  <c r="L50" i="1" s="1"/>
  <c r="I43" i="7"/>
  <c r="L49" i="1" s="1"/>
  <c r="I42" i="7"/>
  <c r="L48" i="1" s="1"/>
  <c r="I41" i="7"/>
  <c r="L47" i="1" s="1"/>
  <c r="I40" i="7"/>
  <c r="L46" i="1" s="1"/>
  <c r="I39" i="7"/>
  <c r="L45" i="1" s="1"/>
  <c r="I38" i="7"/>
  <c r="L44" i="1" s="1"/>
  <c r="I37" i="7"/>
  <c r="L43" i="1" s="1"/>
  <c r="I36" i="7"/>
  <c r="L42" i="1" s="1"/>
  <c r="I35" i="7"/>
  <c r="L41" i="1" s="1"/>
  <c r="I34" i="7"/>
  <c r="L40" i="1" s="1"/>
  <c r="I33" i="7"/>
  <c r="L39" i="1" s="1"/>
  <c r="I32" i="7"/>
  <c r="L38" i="1" s="1"/>
  <c r="I30" i="7"/>
  <c r="L36" i="1" s="1"/>
  <c r="I29" i="7"/>
  <c r="L35" i="1" s="1"/>
  <c r="I28" i="7"/>
  <c r="L34" i="1" s="1"/>
  <c r="I27" i="7"/>
  <c r="L33" i="1" s="1"/>
  <c r="I26" i="7"/>
  <c r="L32" i="1" s="1"/>
  <c r="I25" i="7"/>
  <c r="L31" i="1" s="1"/>
  <c r="I24" i="7"/>
  <c r="L30" i="1" s="1"/>
  <c r="I23" i="7"/>
  <c r="L29" i="1" s="1"/>
  <c r="I22" i="7"/>
  <c r="L28" i="1" s="1"/>
  <c r="I21" i="7"/>
  <c r="L27" i="1" s="1"/>
  <c r="I20" i="7"/>
  <c r="L26" i="1" s="1"/>
  <c r="I19" i="7"/>
  <c r="L25" i="1" s="1"/>
  <c r="I17" i="7"/>
  <c r="L23" i="1" s="1"/>
  <c r="I16" i="7"/>
  <c r="L22" i="1" s="1"/>
  <c r="I15" i="7"/>
  <c r="L21" i="1" s="1"/>
  <c r="I14" i="7"/>
  <c r="L20" i="1" s="1"/>
  <c r="I13" i="7"/>
  <c r="L19" i="1" s="1"/>
  <c r="D32" i="7" l="1"/>
  <c r="D32" i="9"/>
  <c r="D32" i="6"/>
  <c r="D32" i="8"/>
  <c r="I48" i="6"/>
  <c r="I54" i="1" s="1"/>
  <c r="I49" i="6"/>
  <c r="I55" i="1" s="1"/>
  <c r="I50" i="6"/>
  <c r="I56" i="1" s="1"/>
  <c r="I51" i="6"/>
  <c r="I57" i="1" s="1"/>
  <c r="I52" i="6"/>
  <c r="I58" i="1" s="1"/>
  <c r="I53" i="6"/>
  <c r="I59" i="1" s="1"/>
  <c r="I54" i="6"/>
  <c r="I60" i="1" s="1"/>
  <c r="I55" i="6"/>
  <c r="I61" i="1" s="1"/>
  <c r="I47" i="6"/>
  <c r="I53" i="1" s="1"/>
  <c r="I33" i="6"/>
  <c r="I39" i="1" s="1"/>
  <c r="I34" i="6"/>
  <c r="I40" i="1" s="1"/>
  <c r="I35" i="6"/>
  <c r="I41" i="1" s="1"/>
  <c r="I36" i="6"/>
  <c r="I42" i="1" s="1"/>
  <c r="I37" i="6"/>
  <c r="I43" i="1" s="1"/>
  <c r="I38" i="6"/>
  <c r="I44" i="1" s="1"/>
  <c r="I39" i="6"/>
  <c r="I45" i="1" s="1"/>
  <c r="I40" i="6"/>
  <c r="I46" i="1" s="1"/>
  <c r="I41" i="6"/>
  <c r="I47" i="1" s="1"/>
  <c r="I42" i="6"/>
  <c r="I48" i="1" s="1"/>
  <c r="I43" i="6"/>
  <c r="I49" i="1" s="1"/>
  <c r="I44" i="6"/>
  <c r="I50" i="1" s="1"/>
  <c r="I45" i="6"/>
  <c r="I51" i="1" s="1"/>
  <c r="I32" i="6"/>
  <c r="I38" i="1" s="1"/>
  <c r="I20" i="6"/>
  <c r="I26" i="1" s="1"/>
  <c r="I21" i="6"/>
  <c r="I27" i="1" s="1"/>
  <c r="I22" i="6"/>
  <c r="I28" i="1" s="1"/>
  <c r="I23" i="6"/>
  <c r="I29" i="1" s="1"/>
  <c r="I24" i="6"/>
  <c r="I30" i="1" s="1"/>
  <c r="I25" i="6"/>
  <c r="I31" i="1" s="1"/>
  <c r="I26" i="6"/>
  <c r="I32" i="1" s="1"/>
  <c r="I27" i="6"/>
  <c r="I33" i="1" s="1"/>
  <c r="I28" i="6"/>
  <c r="I34" i="1" s="1"/>
  <c r="I29" i="6"/>
  <c r="I35" i="1" s="1"/>
  <c r="I30" i="6"/>
  <c r="I36" i="1" s="1"/>
  <c r="I19" i="6"/>
  <c r="I25" i="1" s="1"/>
  <c r="I13" i="6"/>
  <c r="I19" i="1" s="1"/>
  <c r="I14" i="6"/>
  <c r="I20" i="1" s="1"/>
  <c r="I15" i="6"/>
  <c r="I21" i="1" s="1"/>
  <c r="I16" i="6"/>
  <c r="I22" i="1" s="1"/>
  <c r="I17" i="6"/>
  <c r="I23" i="1" s="1"/>
  <c r="I12" i="6"/>
  <c r="I18" i="1" s="1"/>
  <c r="I16" i="1" l="1"/>
  <c r="P16" i="1" l="1"/>
</calcChain>
</file>

<file path=xl/sharedStrings.xml><?xml version="1.0" encoding="utf-8"?>
<sst xmlns="http://schemas.openxmlformats.org/spreadsheetml/2006/main" count="676" uniqueCount="144">
  <si>
    <t xml:space="preserve"> </t>
  </si>
  <si>
    <t>Frauen</t>
  </si>
  <si>
    <t>Deutsch</t>
  </si>
  <si>
    <t>Arbeitsmarkt</t>
  </si>
  <si>
    <t>Wohnen und die regionale Dimension der Integration</t>
  </si>
  <si>
    <t>Sport und Freizeit</t>
  </si>
  <si>
    <t>Interkultureller Dialog</t>
  </si>
  <si>
    <t>Gesundheit und Soziales</t>
  </si>
  <si>
    <t>Rechtsstaat und Werte</t>
  </si>
  <si>
    <t>Arbeit und Beruf</t>
  </si>
  <si>
    <t>Sprache und Bildung</t>
  </si>
  <si>
    <t>Erfüllt in %</t>
  </si>
  <si>
    <t>Projekttitel</t>
  </si>
  <si>
    <t>Projektnummer</t>
  </si>
  <si>
    <t>Anzahl der Hausbesuche</t>
  </si>
  <si>
    <t>Handlungsfeld</t>
  </si>
  <si>
    <t>Förderschwerpunkt</t>
  </si>
  <si>
    <t>Laufzeit Beginn</t>
  </si>
  <si>
    <t>Laufzeit Ende</t>
  </si>
  <si>
    <t>Burgenland</t>
  </si>
  <si>
    <t>Wien</t>
  </si>
  <si>
    <t>Vorarlberg</t>
  </si>
  <si>
    <t>Tirol</t>
  </si>
  <si>
    <t>Steiermark</t>
  </si>
  <si>
    <t>Salzburg</t>
  </si>
  <si>
    <t>Kärnten</t>
  </si>
  <si>
    <t>Niederösterreich</t>
  </si>
  <si>
    <t>Oberösterreich</t>
  </si>
  <si>
    <t>x</t>
  </si>
  <si>
    <t>Bitte auswählen!</t>
  </si>
  <si>
    <t>Anzahl der Unterrichtseinheiten gesamt</t>
  </si>
  <si>
    <t>Kinder, Jugendliche und Elternarbeit</t>
  </si>
  <si>
    <t>Gemeinde und Identität</t>
  </si>
  <si>
    <t>Standort Projektmanagment</t>
  </si>
  <si>
    <t>Haupttprojektstandort</t>
  </si>
  <si>
    <t>Projektträger/-in</t>
  </si>
  <si>
    <t>Anteil an Laufzeit</t>
  </si>
  <si>
    <t>IST</t>
  </si>
  <si>
    <t>Evaluierungsindikatoren</t>
  </si>
  <si>
    <t>Anzahl der erstmalig am Projekt teilnehmenden Personen</t>
  </si>
  <si>
    <t>Anzahl der Frauen</t>
  </si>
  <si>
    <t>Anzahl der Männer</t>
  </si>
  <si>
    <t>Zielindikatoren</t>
  </si>
  <si>
    <t>Anzahl der Asyl- und subsidiär Schutzberechtigten</t>
  </si>
  <si>
    <t>Anzahl der Drittstaatsangehörigen</t>
  </si>
  <si>
    <t>Anzahl der Personen aus der Mehrheitsbevölkerung</t>
  </si>
  <si>
    <t>Wirkungsindikatoren</t>
  </si>
  <si>
    <t>davon Alphabetisierung</t>
  </si>
  <si>
    <t>davon A1</t>
  </si>
  <si>
    <t>davon A2</t>
  </si>
  <si>
    <t>davon B1</t>
  </si>
  <si>
    <t>davon B2</t>
  </si>
  <si>
    <t>Anteil der Teilnehmenden mit positiv absolvierter Abschlussprüfung in %</t>
  </si>
  <si>
    <t>Anzahl der niederschwelligen Sprachlerntreffen</t>
  </si>
  <si>
    <t>Anzahl der durchgeführten wissenschaftlichen Studien</t>
  </si>
  <si>
    <t>Bereich Beratung</t>
  </si>
  <si>
    <t>Anzahl der Gruppenberatungs-/Betreuungsstunden</t>
  </si>
  <si>
    <t>Anzahl der in Einzelberatung beratenen, betreuten oder gecoachten Personen</t>
  </si>
  <si>
    <t>Anzahl der in Gruppenberatung beratenen oder betreuten Personen</t>
  </si>
  <si>
    <t>Anzahl der Familienberatungen (pro Familie)</t>
  </si>
  <si>
    <t>Anzahl der Beratungs-/Betreuungsstunden für Familien</t>
  </si>
  <si>
    <t>Anzahl der familienberatenen oder betreuten Personen</t>
  </si>
  <si>
    <t>Bereich Sprache</t>
  </si>
  <si>
    <t>Anzahl der Kursangebote mit Kinderbetreuung</t>
  </si>
  <si>
    <t>Bereich Sonstige Maßnahmen</t>
  </si>
  <si>
    <t xml:space="preserve">Anzahl der Kurs-, Workshop- bzw. Trainingsplätze </t>
  </si>
  <si>
    <t>Anzahl der Teilnehmenden an Kursen/Workshops/ Trainings</t>
  </si>
  <si>
    <t xml:space="preserve">Anzahl der Veranstaltungen </t>
  </si>
  <si>
    <t>Anzahl der Kurse/Workshops/Trainings</t>
  </si>
  <si>
    <t>davon ÖIF zertifiziert</t>
  </si>
  <si>
    <t>Anzahl der Kurs-, Workshop- bzw. Trainingsstunden</t>
  </si>
  <si>
    <t xml:space="preserve">Anzahl der Einzelberatungs-/Betreuungs-/ Coachingstunden </t>
  </si>
  <si>
    <t>Projektdauer in Monaten</t>
  </si>
  <si>
    <t>Anzahl der unbegleiteten minderjährigen Flüchtlinge</t>
  </si>
  <si>
    <t>Anmerkungen</t>
  </si>
  <si>
    <t>Anzahl besuchter Haushalte</t>
  </si>
  <si>
    <t>Anzahl besuchter Personen</t>
  </si>
  <si>
    <t>von diesen geleistete Gesamtstunden</t>
  </si>
  <si>
    <t>Anzahl der betreuten Kinder</t>
  </si>
  <si>
    <t>Anzahl der Fachsprach- bzw. Sprachkurse gesamt</t>
  </si>
  <si>
    <t>Anzahl der Fachsprach- bzw. Sprachkursplätze gesamt</t>
  </si>
  <si>
    <t>Anzahl der Fachsprach- bzw. Sprachkursteilnehmenden gesamt</t>
  </si>
  <si>
    <t>Anzahl der Ehrenamtlichen</t>
  </si>
  <si>
    <t>Anzahl der Einzelberatungen bzw. -betreuung</t>
  </si>
  <si>
    <t>Anzahl der Gruppenberatungen bzw. -betreuung  
(min 3 Personen)</t>
  </si>
  <si>
    <r>
      <t xml:space="preserve">FSWP </t>
    </r>
    <r>
      <rPr>
        <sz val="8"/>
        <rFont val="Calibri"/>
        <family val="2"/>
      </rPr>
      <t>(Drop-down-Menü)</t>
    </r>
  </si>
  <si>
    <t>Anzahl SOLL</t>
  </si>
  <si>
    <t>Bereich Veranstaltungen</t>
  </si>
  <si>
    <t>Anzahl der erreichten Teilnehmenden durch Medien</t>
  </si>
  <si>
    <t>davon erreichte Teilnehmende durch digitale Medien</t>
  </si>
  <si>
    <t>davon erreichte Teilnehmende durch Printmedien</t>
  </si>
  <si>
    <t>Bezeichnung der Maßnahme 
(lt. Projektbeschreibung)</t>
  </si>
  <si>
    <t>Anzahl der Teilnehmenden mit einer Verbesserung um eine Schulnote bis zwei Monate nach Projektteilnahme</t>
  </si>
  <si>
    <t>Anzahl der Teilnehmenden in weiterführenden externen Bildungsmaßnahmen, auf die im Projekt vorbereitet wurde, bis zwei Monate nach Projektteilnahme</t>
  </si>
  <si>
    <t>Anzahl der Teilnehmenden mit erfolgreicher Arbeitsmarktintegration bis zwei Monate nach Projektteilnahme</t>
  </si>
  <si>
    <t>Anzahl der Teilnehmenden mit Praktikumsplatz bis zwei Monate nach Projektteilnahme</t>
  </si>
  <si>
    <t>Anzahl der Teilnehmenden, die innerhalb von zwei Monaten nach Projektteilnahme ein Zertifikat erwerben</t>
  </si>
  <si>
    <t>Anzahl der Teilnehmenden an niederschwelligem Sprachlernangebot</t>
  </si>
  <si>
    <t>Anzahl der Personen über 30 Jahre</t>
  </si>
  <si>
    <t>Anzahl der Personen - divers</t>
  </si>
  <si>
    <t>Anzahl der Personen - offen</t>
  </si>
  <si>
    <t>Anzahl der Personen - eigene Angaben</t>
  </si>
  <si>
    <t>Anzahl der Personen - keine Angaben</t>
  </si>
  <si>
    <t>Anzahl der Personen bis 14 Jahre</t>
  </si>
  <si>
    <t>Anzahl der Personen von 15 -17 Jahre</t>
  </si>
  <si>
    <t>Anzahl der Personen von 18 -29 Jahre</t>
  </si>
  <si>
    <t>Anzahl der Multiplikator*innen mit konkreter Aktivität bis zwei Monate nach Projektteilnahme</t>
  </si>
  <si>
    <t>Anzahl der Österreicher*innen mit Migrationshintergrund</t>
  </si>
  <si>
    <t>Anzahl der EU-Bürger*innen</t>
  </si>
  <si>
    <t>Zeitraum des Indikatorenberichts</t>
  </si>
  <si>
    <t>von</t>
  </si>
  <si>
    <t>bis</t>
  </si>
  <si>
    <t>IST
bis 1.ZWB</t>
  </si>
  <si>
    <t>IST
bis 2.ZWB</t>
  </si>
  <si>
    <t>IST
bis 3.ZWB</t>
  </si>
  <si>
    <t>IST
bis Endbericht</t>
  </si>
  <si>
    <r>
      <t xml:space="preserve">FSWP </t>
    </r>
    <r>
      <rPr>
        <sz val="11"/>
        <rFont val="Calibri"/>
        <family val="2"/>
      </rPr>
      <t>(Drop-down-Menü)</t>
    </r>
  </si>
  <si>
    <t>Projektteilnehmende nach Alter</t>
  </si>
  <si>
    <t xml:space="preserve">Projektteilnehmende nach Geschlecht </t>
  </si>
  <si>
    <t>Angaben zum Projekt</t>
  </si>
  <si>
    <r>
      <t xml:space="preserve">Indikatorenbericht
</t>
    </r>
    <r>
      <rPr>
        <b/>
        <sz val="14"/>
        <color indexed="9"/>
        <rFont val="Calibri"/>
        <family val="2"/>
      </rPr>
      <t>Nationale Integrationsförderung 2022 und 2023</t>
    </r>
  </si>
  <si>
    <t>Anzahl der Projektteilnehmenden gesamt</t>
  </si>
  <si>
    <t>Anzahl der Veranstaltungsteilnehmenden gesamt</t>
  </si>
  <si>
    <t>Anzahl der Teilnehmenden, die Elternteil betreuter Kinder sind</t>
  </si>
  <si>
    <t>Anzahl der Gruppenberatungen bzw. -betreuung  
(min. 3 Personen)</t>
  </si>
  <si>
    <t xml:space="preserve">Projektteilnehmende nach Zielgruppe </t>
  </si>
  <si>
    <t>Anzahl der Teilnehmenden an einer zertifizierten Abschlussprüfung</t>
  </si>
  <si>
    <t>Anzahl der Teilnehmenden mit einer vermittelten Lehrstelle bis zwei Monate nach Projektteilnahme</t>
  </si>
  <si>
    <t>Anzahl der Vertriebenen gemäß § 62 AsylG 2005</t>
  </si>
  <si>
    <t>z.B. ganzheitliches Lernen, Sommerprogramm, Corona-spezifische Maßnahmen zur Bekämpfung der Folgend der Pandemie</t>
  </si>
  <si>
    <t>z.B. ganzheitliches Lernen, Sommerprogramm, Elternarbeit, Digitalisierung</t>
  </si>
  <si>
    <t>z.B. Freiwilligenmanagement</t>
  </si>
  <si>
    <t>371 von 702 Kinder und Jugendlichen sind weiblich</t>
  </si>
  <si>
    <t>331 von 702 Kinder und Jugendlichen sind männlich</t>
  </si>
  <si>
    <t>257 Asylberechtigte, 22 subsidiär Schutzberechtigte</t>
  </si>
  <si>
    <t>471 von 899 Kinder und Jugendlichen sind weiblich</t>
  </si>
  <si>
    <t>428 von 899 Kinder und Jugendlichen sind männlich</t>
  </si>
  <si>
    <t>307 Asylberechtigte; 20 subsidär Schutzberechtigte</t>
  </si>
  <si>
    <t>484 von 905 Kinder und Jugendlichen sind weiblich</t>
  </si>
  <si>
    <t>421 von 905 Kinder und Jugendlichen sind weiblich</t>
  </si>
  <si>
    <t>608 von 1167 Kinder und Jugendlichen sind weiblich</t>
  </si>
  <si>
    <t>559 von 1167 Kinder und Jugendlichen sind männlich</t>
  </si>
  <si>
    <t>Helpservice Österreich</t>
  </si>
  <si>
    <t>Lernstube - Kostenlose Lernbegleitung für Kinder und Jugendliche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</si>
</sst>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21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1"/>
      <name val="Calibri"/>
      <family val="2"/>
    </font>
    <font>
      <b/>
      <sz val="14"/>
      <color theme="0"/>
      <name val="Calibri"/>
      <family val="2"/>
      <scheme val="minor"/>
    </font>
    <font>
      <b/>
      <sz val="14"/>
      <color indexed="9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DDDDDD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44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</cellStyleXfs>
  <cellXfs count="320">
    <xf numFmtId="0" fontId="0" fillId="0" borderId="0" xfId="0"/>
    <xf numFmtId="0" fontId="9" fillId="0" borderId="1" xfId="0" applyFont="1" applyFill="1" applyBorder="1" applyProtection="1"/>
    <xf numFmtId="0" fontId="9" fillId="0" borderId="2" xfId="0" applyFont="1" applyFill="1" applyBorder="1" applyProtection="1"/>
    <xf numFmtId="0" fontId="9" fillId="0" borderId="3" xfId="0" applyFont="1" applyFill="1" applyBorder="1" applyProtection="1"/>
    <xf numFmtId="0" fontId="9" fillId="16" borderId="0" xfId="0" applyFont="1" applyFill="1" applyProtection="1"/>
    <xf numFmtId="0" fontId="9" fillId="0" borderId="4" xfId="0" applyFont="1" applyFill="1" applyBorder="1" applyProtection="1"/>
    <xf numFmtId="0" fontId="7" fillId="0" borderId="5" xfId="0" applyFont="1" applyFill="1" applyBorder="1" applyProtection="1"/>
    <xf numFmtId="0" fontId="9" fillId="0" borderId="6" xfId="0" applyFont="1" applyFill="1" applyBorder="1" applyProtection="1"/>
    <xf numFmtId="0" fontId="8" fillId="17" borderId="7" xfId="0" applyFont="1" applyFill="1" applyBorder="1" applyAlignment="1" applyProtection="1">
      <alignment vertical="center" wrapText="1"/>
    </xf>
    <xf numFmtId="0" fontId="9" fillId="16" borderId="0" xfId="0" applyFont="1" applyFill="1" applyAlignment="1" applyProtection="1">
      <alignment vertical="center"/>
    </xf>
    <xf numFmtId="0" fontId="9" fillId="0" borderId="2" xfId="0" applyFont="1" applyFill="1" applyBorder="1" applyAlignment="1" applyProtection="1">
      <alignment horizontal="center" wrapText="1"/>
    </xf>
    <xf numFmtId="0" fontId="9" fillId="18" borderId="8" xfId="0" applyFont="1" applyFill="1" applyBorder="1" applyAlignment="1" applyProtection="1">
      <alignment horizontal="center" vertical="center" wrapText="1"/>
    </xf>
    <xf numFmtId="0" fontId="9" fillId="16" borderId="0" xfId="0" applyFont="1" applyFill="1" applyAlignment="1" applyProtection="1">
      <alignment horizontal="center" wrapText="1"/>
    </xf>
    <xf numFmtId="0" fontId="7" fillId="0" borderId="2" xfId="0" applyFont="1" applyFill="1" applyBorder="1" applyProtection="1"/>
    <xf numFmtId="0" fontId="7" fillId="18" borderId="8" xfId="0" applyFont="1" applyFill="1" applyBorder="1" applyAlignment="1" applyProtection="1">
      <alignment vertical="center"/>
    </xf>
    <xf numFmtId="0" fontId="7" fillId="16" borderId="0" xfId="0" applyFont="1" applyFill="1" applyProtection="1"/>
    <xf numFmtId="0" fontId="9" fillId="0" borderId="4" xfId="0" applyFont="1" applyFill="1" applyBorder="1" applyAlignment="1" applyProtection="1">
      <alignment horizontal="center" vertical="center"/>
    </xf>
    <xf numFmtId="0" fontId="9" fillId="0" borderId="6" xfId="0" applyFont="1" applyFill="1" applyBorder="1" applyAlignment="1" applyProtection="1">
      <alignment horizontal="center" vertical="center"/>
    </xf>
    <xf numFmtId="0" fontId="9" fillId="16" borderId="0" xfId="0" applyFont="1" applyFill="1" applyAlignment="1" applyProtection="1">
      <alignment horizontal="center" vertical="center"/>
    </xf>
    <xf numFmtId="0" fontId="9" fillId="0" borderId="4" xfId="0" applyFont="1" applyFill="1" applyBorder="1" applyAlignment="1" applyProtection="1">
      <alignment horizontal="left" vertical="center"/>
    </xf>
    <xf numFmtId="0" fontId="9" fillId="0" borderId="6" xfId="0" applyFont="1" applyFill="1" applyBorder="1" applyAlignment="1" applyProtection="1">
      <alignment horizontal="left" vertical="center"/>
    </xf>
    <xf numFmtId="0" fontId="9" fillId="16" borderId="0" xfId="0" applyFont="1" applyFill="1" applyAlignment="1" applyProtection="1">
      <alignment horizontal="left" vertical="center"/>
    </xf>
    <xf numFmtId="9" fontId="7" fillId="18" borderId="0" xfId="0" applyNumberFormat="1" applyFont="1" applyFill="1" applyBorder="1" applyAlignment="1" applyProtection="1">
      <alignment horizontal="center" vertical="center"/>
    </xf>
    <xf numFmtId="0" fontId="7" fillId="18" borderId="5" xfId="0" applyFont="1" applyFill="1" applyBorder="1" applyProtection="1"/>
    <xf numFmtId="0" fontId="8" fillId="18" borderId="5" xfId="0" applyFont="1" applyFill="1" applyBorder="1" applyAlignment="1" applyProtection="1">
      <alignment horizontal="center" vertical="center"/>
    </xf>
    <xf numFmtId="3" fontId="10" fillId="18" borderId="5" xfId="0" applyNumberFormat="1" applyFont="1" applyFill="1" applyBorder="1" applyAlignment="1" applyProtection="1">
      <alignment horizontal="center" vertical="center"/>
    </xf>
    <xf numFmtId="0" fontId="8" fillId="18" borderId="5" xfId="0" applyFont="1" applyFill="1" applyBorder="1" applyAlignment="1" applyProtection="1">
      <alignment horizontal="left" vertical="center" wrapText="1"/>
    </xf>
    <xf numFmtId="9" fontId="8" fillId="18" borderId="5" xfId="0" applyNumberFormat="1" applyFont="1" applyFill="1" applyBorder="1" applyAlignment="1" applyProtection="1">
      <alignment horizontal="center" vertical="center"/>
    </xf>
    <xf numFmtId="9" fontId="7" fillId="18" borderId="5" xfId="0" applyNumberFormat="1" applyFont="1" applyFill="1" applyBorder="1" applyAlignment="1" applyProtection="1">
      <alignment horizontal="center" vertical="center"/>
    </xf>
    <xf numFmtId="9" fontId="10" fillId="18" borderId="5" xfId="0" applyNumberFormat="1" applyFont="1" applyFill="1" applyBorder="1" applyAlignment="1" applyProtection="1">
      <alignment horizontal="center" vertical="center"/>
    </xf>
    <xf numFmtId="9" fontId="9" fillId="18" borderId="5" xfId="0" applyNumberFormat="1" applyFont="1" applyFill="1" applyBorder="1" applyAlignment="1" applyProtection="1">
      <alignment horizontal="center" vertical="center"/>
    </xf>
    <xf numFmtId="0" fontId="9" fillId="18" borderId="0" xfId="0" applyFont="1" applyFill="1" applyProtection="1"/>
    <xf numFmtId="0" fontId="9" fillId="18" borderId="6" xfId="0" applyFont="1" applyFill="1" applyBorder="1" applyProtection="1"/>
    <xf numFmtId="0" fontId="10" fillId="18" borderId="5" xfId="0" applyFont="1" applyFill="1" applyBorder="1" applyAlignment="1" applyProtection="1">
      <alignment horizontal="center" vertical="center"/>
    </xf>
    <xf numFmtId="0" fontId="7" fillId="0" borderId="6" xfId="0" applyFont="1" applyFill="1" applyBorder="1" applyProtection="1"/>
    <xf numFmtId="0" fontId="9" fillId="18" borderId="8" xfId="0" applyFont="1" applyFill="1" applyBorder="1" applyAlignment="1" applyProtection="1">
      <alignment vertical="center"/>
    </xf>
    <xf numFmtId="0" fontId="11" fillId="18" borderId="4" xfId="0" applyFont="1" applyFill="1" applyBorder="1" applyProtection="1"/>
    <xf numFmtId="0" fontId="12" fillId="18" borderId="5" xfId="0" applyFont="1" applyFill="1" applyBorder="1" applyAlignment="1" applyProtection="1">
      <alignment horizontal="center" vertical="center"/>
    </xf>
    <xf numFmtId="0" fontId="13" fillId="17" borderId="11" xfId="0" applyFont="1" applyFill="1" applyBorder="1" applyAlignment="1" applyProtection="1">
      <alignment horizontal="center" vertical="center" wrapText="1"/>
    </xf>
    <xf numFmtId="0" fontId="13" fillId="17" borderId="12" xfId="0" applyFont="1" applyFill="1" applyBorder="1" applyAlignment="1" applyProtection="1">
      <alignment horizontal="center" vertical="center" wrapText="1"/>
    </xf>
    <xf numFmtId="3" fontId="14" fillId="18" borderId="5" xfId="0" applyNumberFormat="1" applyFont="1" applyFill="1" applyBorder="1" applyAlignment="1" applyProtection="1">
      <alignment horizontal="center" vertical="center"/>
      <protection locked="0"/>
    </xf>
    <xf numFmtId="3" fontId="11" fillId="18" borderId="5" xfId="0" applyNumberFormat="1" applyFont="1" applyFill="1" applyBorder="1" applyAlignment="1" applyProtection="1">
      <alignment horizontal="center" vertical="center"/>
      <protection locked="0"/>
    </xf>
    <xf numFmtId="0" fontId="13" fillId="18" borderId="5" xfId="0" applyFont="1" applyFill="1" applyBorder="1" applyAlignment="1" applyProtection="1">
      <alignment horizontal="center" vertical="center"/>
    </xf>
    <xf numFmtId="3" fontId="13" fillId="18" borderId="5" xfId="0" applyNumberFormat="1" applyFont="1" applyFill="1" applyBorder="1" applyAlignment="1" applyProtection="1">
      <alignment horizontal="center" vertical="center"/>
      <protection locked="0"/>
    </xf>
    <xf numFmtId="3" fontId="12" fillId="18" borderId="5" xfId="0" applyNumberFormat="1" applyFont="1" applyFill="1" applyBorder="1" applyAlignment="1" applyProtection="1">
      <alignment horizontal="center" vertical="center"/>
    </xf>
    <xf numFmtId="3" fontId="12" fillId="18" borderId="9" xfId="0" applyNumberFormat="1" applyFont="1" applyFill="1" applyBorder="1" applyAlignment="1" applyProtection="1">
      <alignment horizontal="center" vertical="center"/>
    </xf>
    <xf numFmtId="9" fontId="12" fillId="20" borderId="13" xfId="0" applyNumberFormat="1" applyFont="1" applyFill="1" applyBorder="1" applyAlignment="1" applyProtection="1">
      <alignment horizontal="center" vertical="center"/>
    </xf>
    <xf numFmtId="3" fontId="11" fillId="18" borderId="9" xfId="0" applyNumberFormat="1" applyFont="1" applyFill="1" applyBorder="1" applyAlignment="1" applyProtection="1">
      <alignment horizontal="center" vertical="center"/>
      <protection locked="0"/>
    </xf>
    <xf numFmtId="9" fontId="11" fillId="20" borderId="13" xfId="0" applyNumberFormat="1" applyFont="1" applyFill="1" applyBorder="1" applyAlignment="1" applyProtection="1">
      <alignment horizontal="center" vertical="center"/>
    </xf>
    <xf numFmtId="3" fontId="13" fillId="18" borderId="10" xfId="0" applyNumberFormat="1" applyFont="1" applyFill="1" applyBorder="1" applyAlignment="1" applyProtection="1">
      <alignment horizontal="center" vertical="center"/>
      <protection locked="0"/>
    </xf>
    <xf numFmtId="3" fontId="13" fillId="18" borderId="0" xfId="0" applyNumberFormat="1" applyFont="1" applyFill="1" applyBorder="1" applyAlignment="1" applyProtection="1">
      <alignment horizontal="center" vertical="center"/>
      <protection locked="0"/>
    </xf>
    <xf numFmtId="9" fontId="14" fillId="18" borderId="10" xfId="0" applyNumberFormat="1" applyFont="1" applyFill="1" applyBorder="1" applyAlignment="1" applyProtection="1">
      <alignment horizontal="center" vertical="center"/>
    </xf>
    <xf numFmtId="9" fontId="14" fillId="18" borderId="0" xfId="0" applyNumberFormat="1" applyFont="1" applyFill="1" applyBorder="1" applyAlignment="1" applyProtection="1">
      <alignment horizontal="center" vertical="center"/>
    </xf>
    <xf numFmtId="0" fontId="11" fillId="18" borderId="8" xfId="0" applyFont="1" applyFill="1" applyBorder="1" applyAlignment="1" applyProtection="1">
      <alignment vertical="center"/>
    </xf>
    <xf numFmtId="0" fontId="11" fillId="18" borderId="8" xfId="0" applyFont="1" applyFill="1" applyBorder="1" applyAlignment="1" applyProtection="1">
      <alignment horizontal="center" vertical="center" wrapText="1"/>
    </xf>
    <xf numFmtId="0" fontId="14" fillId="18" borderId="8" xfId="0" applyFont="1" applyFill="1" applyBorder="1" applyAlignment="1" applyProtection="1">
      <alignment vertical="center"/>
    </xf>
    <xf numFmtId="0" fontId="9" fillId="0" borderId="0" xfId="0" applyFont="1" applyFill="1" applyBorder="1" applyProtection="1"/>
    <xf numFmtId="0" fontId="9" fillId="0" borderId="5" xfId="0" applyFont="1" applyFill="1" applyBorder="1" applyAlignment="1" applyProtection="1">
      <alignment horizontal="left" vertical="center"/>
    </xf>
    <xf numFmtId="0" fontId="9" fillId="0" borderId="0" xfId="0" applyFont="1" applyFill="1" applyAlignment="1" applyProtection="1">
      <alignment horizontal="left" vertical="center"/>
    </xf>
    <xf numFmtId="0" fontId="9" fillId="18" borderId="12" xfId="0" applyFont="1" applyFill="1" applyBorder="1" applyAlignment="1" applyProtection="1">
      <alignment vertical="center"/>
    </xf>
    <xf numFmtId="0" fontId="10" fillId="0" borderId="4" xfId="0" applyFont="1" applyFill="1" applyBorder="1" applyAlignment="1" applyProtection="1">
      <alignment horizontal="center" vertical="center"/>
    </xf>
    <xf numFmtId="0" fontId="10" fillId="0" borderId="6" xfId="0" applyFont="1" applyFill="1" applyBorder="1" applyAlignment="1" applyProtection="1">
      <alignment horizontal="center" vertical="center"/>
    </xf>
    <xf numFmtId="0" fontId="10" fillId="16" borderId="0" xfId="0" applyFont="1" applyFill="1" applyProtection="1"/>
    <xf numFmtId="0" fontId="10" fillId="16" borderId="0" xfId="0" applyFont="1" applyFill="1" applyAlignment="1" applyProtection="1">
      <alignment horizontal="center" vertical="center"/>
    </xf>
    <xf numFmtId="0" fontId="10" fillId="0" borderId="4" xfId="0" applyFont="1" applyFill="1" applyBorder="1" applyProtection="1"/>
    <xf numFmtId="0" fontId="10" fillId="0" borderId="6" xfId="0" applyFont="1" applyFill="1" applyBorder="1" applyProtection="1"/>
    <xf numFmtId="3" fontId="14" fillId="18" borderId="10" xfId="0" applyNumberFormat="1" applyFont="1" applyFill="1" applyBorder="1" applyAlignment="1" applyProtection="1">
      <alignment horizontal="center" vertical="center"/>
      <protection locked="0"/>
    </xf>
    <xf numFmtId="0" fontId="9" fillId="21" borderId="0" xfId="0" applyFont="1" applyFill="1" applyProtection="1"/>
    <xf numFmtId="0" fontId="15" fillId="16" borderId="0" xfId="0" applyFont="1" applyFill="1" applyProtection="1"/>
    <xf numFmtId="0" fontId="16" fillId="16" borderId="0" xfId="0" applyFont="1" applyFill="1" applyProtection="1"/>
    <xf numFmtId="0" fontId="9" fillId="0" borderId="0" xfId="0" applyFont="1" applyFill="1" applyBorder="1" applyAlignment="1" applyProtection="1">
      <alignment horizontal="center" vertical="center"/>
    </xf>
    <xf numFmtId="0" fontId="11" fillId="21" borderId="0" xfId="0" applyFont="1" applyFill="1" applyProtection="1"/>
    <xf numFmtId="0" fontId="11" fillId="21" borderId="0" xfId="0" applyFont="1" applyFill="1" applyAlignment="1" applyProtection="1">
      <alignment horizontal="center" wrapText="1"/>
    </xf>
    <xf numFmtId="0" fontId="14" fillId="21" borderId="0" xfId="0" applyFont="1" applyFill="1" applyProtection="1"/>
    <xf numFmtId="0" fontId="14" fillId="21" borderId="0" xfId="0" applyFont="1" applyFill="1" applyBorder="1" applyProtection="1"/>
    <xf numFmtId="0" fontId="11" fillId="21" borderId="0" xfId="0" applyFont="1" applyFill="1" applyBorder="1" applyProtection="1"/>
    <xf numFmtId="0" fontId="11" fillId="21" borderId="0" xfId="0" applyFont="1" applyFill="1" applyAlignment="1" applyProtection="1">
      <alignment horizontal="center" vertical="center"/>
    </xf>
    <xf numFmtId="0" fontId="11" fillId="21" borderId="0" xfId="0" applyFont="1" applyFill="1" applyBorder="1" applyAlignment="1" applyProtection="1">
      <alignment horizontal="center" vertical="center"/>
    </xf>
    <xf numFmtId="0" fontId="12" fillId="21" borderId="0" xfId="0" applyFont="1" applyFill="1" applyBorder="1" applyAlignment="1" applyProtection="1">
      <alignment horizontal="left" vertical="center" wrapText="1"/>
    </xf>
    <xf numFmtId="0" fontId="11" fillId="21" borderId="0" xfId="0" applyFont="1" applyFill="1" applyAlignment="1" applyProtection="1">
      <alignment vertical="center"/>
    </xf>
    <xf numFmtId="0" fontId="14" fillId="21" borderId="0" xfId="0" applyFont="1" applyFill="1" applyBorder="1" applyAlignment="1" applyProtection="1">
      <alignment vertical="center"/>
    </xf>
    <xf numFmtId="0" fontId="11" fillId="21" borderId="0" xfId="0" applyFont="1" applyFill="1" applyBorder="1" applyAlignment="1" applyProtection="1">
      <alignment vertical="center"/>
    </xf>
    <xf numFmtId="1" fontId="14" fillId="21" borderId="0" xfId="0" applyNumberFormat="1" applyFont="1" applyFill="1" applyBorder="1" applyAlignment="1" applyProtection="1">
      <alignment vertical="center"/>
    </xf>
    <xf numFmtId="44" fontId="14" fillId="21" borderId="0" xfId="0" applyNumberFormat="1" applyFont="1" applyFill="1" applyBorder="1" applyAlignment="1" applyProtection="1">
      <alignment vertical="center"/>
    </xf>
    <xf numFmtId="0" fontId="11" fillId="21" borderId="0" xfId="0" applyFont="1" applyFill="1" applyBorder="1" applyAlignment="1" applyProtection="1">
      <alignment horizontal="center" wrapText="1"/>
    </xf>
    <xf numFmtId="0" fontId="14" fillId="21" borderId="5" xfId="0" applyFont="1" applyFill="1" applyBorder="1" applyProtection="1"/>
    <xf numFmtId="0" fontId="11" fillId="18" borderId="1" xfId="0" applyFont="1" applyFill="1" applyBorder="1" applyAlignment="1" applyProtection="1">
      <alignment horizontal="center" vertical="center"/>
    </xf>
    <xf numFmtId="0" fontId="11" fillId="18" borderId="4" xfId="0" applyFont="1" applyFill="1" applyBorder="1" applyAlignment="1" applyProtection="1">
      <alignment horizontal="center" vertical="center"/>
    </xf>
    <xf numFmtId="0" fontId="11" fillId="18" borderId="0" xfId="0" applyFont="1" applyFill="1" applyBorder="1" applyAlignment="1" applyProtection="1">
      <alignment horizontal="center" vertical="center"/>
    </xf>
    <xf numFmtId="0" fontId="11" fillId="18" borderId="6" xfId="0" applyFont="1" applyFill="1" applyBorder="1" applyAlignment="1" applyProtection="1">
      <alignment horizontal="center" vertical="center"/>
    </xf>
    <xf numFmtId="0" fontId="11" fillId="18" borderId="5" xfId="0" applyFont="1" applyFill="1" applyBorder="1" applyAlignment="1" applyProtection="1">
      <alignment horizontal="center" vertical="center"/>
    </xf>
    <xf numFmtId="0" fontId="11" fillId="18" borderId="5" xfId="0" applyFont="1" applyFill="1" applyBorder="1" applyProtection="1"/>
    <xf numFmtId="0" fontId="11" fillId="18" borderId="11" xfId="0" applyFont="1" applyFill="1" applyBorder="1" applyAlignment="1" applyProtection="1">
      <alignment horizontal="center" vertical="center" wrapText="1"/>
    </xf>
    <xf numFmtId="0" fontId="8" fillId="17" borderId="14" xfId="0" applyFont="1" applyFill="1" applyBorder="1" applyAlignment="1" applyProtection="1">
      <alignment horizontal="center" vertical="center"/>
    </xf>
    <xf numFmtId="0" fontId="10" fillId="22" borderId="7" xfId="0" quotePrefix="1" applyFont="1" applyFill="1" applyBorder="1" applyAlignment="1" applyProtection="1">
      <alignment horizontal="left" vertical="center" wrapText="1"/>
    </xf>
    <xf numFmtId="0" fontId="10" fillId="22" borderId="7" xfId="0" applyFont="1" applyFill="1" applyBorder="1" applyAlignment="1" applyProtection="1">
      <alignment horizontal="left" vertical="center" wrapText="1"/>
    </xf>
    <xf numFmtId="0" fontId="9" fillId="22" borderId="7" xfId="0" applyFont="1" applyFill="1" applyBorder="1" applyAlignment="1" applyProtection="1">
      <alignment horizontal="left" vertical="center" wrapText="1" indent="1"/>
    </xf>
    <xf numFmtId="0" fontId="9" fillId="22" borderId="7" xfId="0" quotePrefix="1" applyFont="1" applyFill="1" applyBorder="1" applyAlignment="1" applyProtection="1">
      <alignment horizontal="left" vertical="center" wrapText="1" indent="1"/>
    </xf>
    <xf numFmtId="0" fontId="9" fillId="22" borderId="7" xfId="0" applyFont="1" applyFill="1" applyBorder="1" applyAlignment="1" applyProtection="1">
      <alignment horizontal="left" vertical="center" wrapText="1"/>
    </xf>
    <xf numFmtId="0" fontId="10" fillId="22" borderId="13" xfId="0" quotePrefix="1" applyFont="1" applyFill="1" applyBorder="1" applyAlignment="1" applyProtection="1">
      <alignment vertical="center" wrapText="1"/>
    </xf>
    <xf numFmtId="0" fontId="10" fillId="22" borderId="1" xfId="0" applyFont="1" applyFill="1" applyBorder="1" applyAlignment="1" applyProtection="1">
      <alignment horizontal="left" vertical="center" wrapText="1"/>
    </xf>
    <xf numFmtId="0" fontId="15" fillId="16" borderId="4" xfId="0" applyFont="1" applyFill="1" applyBorder="1" applyProtection="1"/>
    <xf numFmtId="0" fontId="9" fillId="0" borderId="11" xfId="0" applyFont="1" applyFill="1" applyBorder="1" applyProtection="1"/>
    <xf numFmtId="0" fontId="8" fillId="17" borderId="11" xfId="0" applyFont="1" applyFill="1" applyBorder="1" applyAlignment="1" applyProtection="1">
      <alignment horizontal="center" vertical="center" wrapText="1"/>
    </xf>
    <xf numFmtId="0" fontId="8" fillId="17" borderId="9" xfId="0" applyFont="1" applyFill="1" applyBorder="1" applyAlignment="1" applyProtection="1">
      <alignment horizontal="center" vertical="center"/>
    </xf>
    <xf numFmtId="3" fontId="8" fillId="17" borderId="9" xfId="0" applyNumberFormat="1" applyFont="1" applyFill="1" applyBorder="1" applyAlignment="1" applyProtection="1">
      <alignment horizontal="center" vertical="center"/>
    </xf>
    <xf numFmtId="0" fontId="11" fillId="18" borderId="12" xfId="0" applyFont="1" applyFill="1" applyBorder="1" applyProtection="1"/>
    <xf numFmtId="3" fontId="11" fillId="0" borderId="9" xfId="0" applyNumberFormat="1" applyFont="1" applyFill="1" applyBorder="1" applyAlignment="1" applyProtection="1">
      <alignment horizontal="center" vertical="center"/>
      <protection locked="0"/>
    </xf>
    <xf numFmtId="0" fontId="9" fillId="22" borderId="13" xfId="0" quotePrefix="1" applyFont="1" applyFill="1" applyBorder="1" applyAlignment="1" applyProtection="1">
      <alignment horizontal="left" vertical="center" wrapText="1" indent="1"/>
    </xf>
    <xf numFmtId="0" fontId="8" fillId="17" borderId="13" xfId="0" applyFont="1" applyFill="1" applyBorder="1" applyAlignment="1" applyProtection="1">
      <alignment horizontal="center" vertical="center" wrapText="1"/>
    </xf>
    <xf numFmtId="0" fontId="11" fillId="21" borderId="0" xfId="0" applyFont="1" applyFill="1" applyBorder="1" applyAlignment="1" applyProtection="1">
      <alignment horizontal="left" vertical="center" wrapText="1"/>
    </xf>
    <xf numFmtId="3" fontId="14" fillId="18" borderId="0" xfId="0" applyNumberFormat="1" applyFont="1" applyFill="1" applyBorder="1" applyAlignment="1" applyProtection="1">
      <alignment horizontal="center" vertical="center"/>
      <protection locked="0"/>
    </xf>
    <xf numFmtId="0" fontId="11" fillId="21" borderId="0" xfId="0" applyFont="1" applyFill="1" applyBorder="1" applyAlignment="1" applyProtection="1">
      <alignment horizontal="center" vertical="center" wrapText="1"/>
    </xf>
    <xf numFmtId="0" fontId="11" fillId="21" borderId="0" xfId="0" applyFont="1" applyFill="1" applyBorder="1" applyAlignment="1" applyProtection="1">
      <alignment horizontal="left" vertical="center"/>
    </xf>
    <xf numFmtId="0" fontId="13" fillId="17" borderId="13" xfId="0" applyFont="1" applyFill="1" applyBorder="1" applyAlignment="1" applyProtection="1">
      <alignment horizontal="left" vertical="center" wrapText="1"/>
    </xf>
    <xf numFmtId="3" fontId="11" fillId="19" borderId="9" xfId="0" applyNumberFormat="1" applyFont="1" applyFill="1" applyBorder="1" applyAlignment="1" applyProtection="1">
      <alignment horizontal="center" vertical="center"/>
      <protection locked="0"/>
    </xf>
    <xf numFmtId="3" fontId="12" fillId="18" borderId="9" xfId="0" applyNumberFormat="1" applyFont="1" applyFill="1" applyBorder="1" applyAlignment="1" applyProtection="1">
      <alignment horizontal="center" vertical="center"/>
      <protection locked="0"/>
    </xf>
    <xf numFmtId="3" fontId="12" fillId="19" borderId="9" xfId="0" applyNumberFormat="1" applyFont="1" applyFill="1" applyBorder="1" applyAlignment="1" applyProtection="1">
      <alignment horizontal="center" vertical="center"/>
      <protection locked="0"/>
    </xf>
    <xf numFmtId="0" fontId="8" fillId="17" borderId="13" xfId="0" applyFont="1" applyFill="1" applyBorder="1" applyAlignment="1" applyProtection="1">
      <alignment horizontal="center" vertical="center" wrapText="1"/>
    </xf>
    <xf numFmtId="0" fontId="11" fillId="21" borderId="0" xfId="0" applyFont="1" applyFill="1" applyBorder="1" applyAlignment="1" applyProtection="1">
      <alignment horizontal="left" vertical="center" wrapText="1"/>
    </xf>
    <xf numFmtId="0" fontId="0" fillId="16" borderId="0" xfId="0" applyFill="1" applyAlignment="1" applyProtection="1">
      <alignment vertical="center" wrapText="1"/>
    </xf>
    <xf numFmtId="0" fontId="14" fillId="18" borderId="0" xfId="0" applyFont="1" applyFill="1" applyBorder="1" applyProtection="1"/>
    <xf numFmtId="0" fontId="0" fillId="18" borderId="6" xfId="0" applyFill="1" applyBorder="1" applyAlignment="1" applyProtection="1">
      <alignment vertical="center" wrapText="1"/>
    </xf>
    <xf numFmtId="0" fontId="11" fillId="18" borderId="2" xfId="0" applyFont="1" applyFill="1" applyBorder="1" applyProtection="1"/>
    <xf numFmtId="0" fontId="11" fillId="18" borderId="2" xfId="0" applyFont="1" applyFill="1" applyBorder="1" applyAlignment="1" applyProtection="1">
      <alignment horizontal="center" wrapText="1"/>
    </xf>
    <xf numFmtId="0" fontId="14" fillId="18" borderId="2" xfId="0" applyFont="1" applyFill="1" applyBorder="1" applyProtection="1"/>
    <xf numFmtId="0" fontId="11" fillId="18" borderId="3" xfId="0" applyFont="1" applyFill="1" applyBorder="1" applyProtection="1"/>
    <xf numFmtId="0" fontId="14" fillId="16" borderId="0" xfId="0" applyFont="1" applyFill="1" applyProtection="1"/>
    <xf numFmtId="0" fontId="14" fillId="0" borderId="2" xfId="0" applyFont="1" applyFill="1" applyBorder="1" applyProtection="1"/>
    <xf numFmtId="0" fontId="11" fillId="0" borderId="0" xfId="0" applyFont="1" applyFill="1" applyAlignment="1" applyProtection="1">
      <alignment horizontal="left" vertical="center"/>
    </xf>
    <xf numFmtId="9" fontId="11" fillId="22" borderId="7" xfId="21" applyFont="1" applyFill="1" applyBorder="1" applyAlignment="1" applyProtection="1">
      <alignment vertical="center" wrapText="1"/>
    </xf>
    <xf numFmtId="0" fontId="17" fillId="16" borderId="0" xfId="0" applyFont="1" applyFill="1" applyProtection="1"/>
    <xf numFmtId="9" fontId="7" fillId="18" borderId="4" xfId="0" applyNumberFormat="1" applyFont="1" applyFill="1" applyBorder="1" applyAlignment="1" applyProtection="1">
      <alignment horizontal="center" vertical="center"/>
    </xf>
    <xf numFmtId="0" fontId="14" fillId="17" borderId="12" xfId="0" applyFont="1" applyFill="1" applyBorder="1" applyAlignment="1" applyProtection="1">
      <alignment horizontal="center" vertical="center" wrapText="1"/>
    </xf>
    <xf numFmtId="0" fontId="14" fillId="17" borderId="14" xfId="0" applyFont="1" applyFill="1" applyBorder="1" applyAlignment="1" applyProtection="1">
      <alignment horizontal="center" vertical="center" wrapText="1"/>
    </xf>
    <xf numFmtId="0" fontId="14" fillId="17" borderId="11" xfId="0" applyFont="1" applyFill="1" applyBorder="1" applyAlignment="1" applyProtection="1">
      <alignment horizontal="center" vertical="center" wrapText="1"/>
    </xf>
    <xf numFmtId="0" fontId="14" fillId="17" borderId="13" xfId="0" applyFont="1" applyFill="1" applyBorder="1" applyAlignment="1" applyProtection="1">
      <alignment horizontal="left" vertical="center" wrapText="1"/>
    </xf>
    <xf numFmtId="0" fontId="14" fillId="17" borderId="7" xfId="0" applyFont="1" applyFill="1" applyBorder="1" applyAlignment="1" applyProtection="1">
      <alignment horizontal="left" vertical="center" wrapText="1"/>
    </xf>
    <xf numFmtId="0" fontId="11" fillId="18" borderId="6" xfId="0" applyFont="1" applyFill="1" applyBorder="1" applyProtection="1"/>
    <xf numFmtId="0" fontId="11" fillId="0" borderId="0" xfId="0" applyFont="1" applyFill="1" applyAlignment="1" applyProtection="1">
      <alignment horizontal="left" wrapText="1"/>
    </xf>
    <xf numFmtId="9" fontId="11" fillId="0" borderId="0" xfId="0" applyNumberFormat="1" applyFont="1" applyFill="1" applyAlignment="1" applyProtection="1">
      <alignment horizontal="right"/>
    </xf>
    <xf numFmtId="9" fontId="12" fillId="22" borderId="7" xfId="21" applyFont="1" applyFill="1" applyBorder="1" applyAlignment="1" applyProtection="1">
      <alignment horizontal="center" vertical="center" wrapText="1"/>
    </xf>
    <xf numFmtId="0" fontId="10" fillId="22" borderId="7" xfId="0" applyFont="1" applyFill="1" applyBorder="1" applyAlignment="1" applyProtection="1">
      <alignment vertical="center" wrapText="1"/>
    </xf>
    <xf numFmtId="0" fontId="12" fillId="22" borderId="7" xfId="0" applyFont="1" applyFill="1" applyBorder="1" applyAlignment="1" applyProtection="1">
      <alignment vertical="center" wrapText="1"/>
    </xf>
    <xf numFmtId="3" fontId="8" fillId="18" borderId="5" xfId="0" applyNumberFormat="1" applyFont="1" applyFill="1" applyBorder="1" applyAlignment="1" applyProtection="1">
      <alignment horizontal="center" vertical="center"/>
    </xf>
    <xf numFmtId="3" fontId="7" fillId="18" borderId="5" xfId="0" applyNumberFormat="1" applyFont="1" applyFill="1" applyBorder="1" applyAlignment="1" applyProtection="1">
      <alignment horizontal="center" vertical="center"/>
    </xf>
    <xf numFmtId="3" fontId="9" fillId="18" borderId="5" xfId="0" applyNumberFormat="1" applyFont="1" applyFill="1" applyBorder="1" applyAlignment="1" applyProtection="1">
      <alignment horizontal="center" vertical="center"/>
    </xf>
    <xf numFmtId="0" fontId="10" fillId="18" borderId="5" xfId="0" applyFont="1" applyFill="1" applyBorder="1" applyAlignment="1" applyProtection="1">
      <alignment horizontal="center" vertical="center" wrapText="1"/>
    </xf>
    <xf numFmtId="3" fontId="8" fillId="18" borderId="4" xfId="0" applyNumberFormat="1" applyFont="1" applyFill="1" applyBorder="1" applyAlignment="1" applyProtection="1">
      <alignment horizontal="center" vertical="center"/>
    </xf>
    <xf numFmtId="3" fontId="8" fillId="18" borderId="0" xfId="0" applyNumberFormat="1" applyFont="1" applyFill="1" applyBorder="1" applyAlignment="1" applyProtection="1">
      <alignment horizontal="center" vertical="center"/>
    </xf>
    <xf numFmtId="3" fontId="8" fillId="18" borderId="10" xfId="0" applyNumberFormat="1" applyFont="1" applyFill="1" applyBorder="1" applyAlignment="1" applyProtection="1">
      <alignment horizontal="center" vertical="center"/>
    </xf>
    <xf numFmtId="0" fontId="10" fillId="18" borderId="8" xfId="0" applyFont="1" applyFill="1" applyBorder="1" applyAlignment="1" applyProtection="1">
      <alignment horizontal="center" vertical="center" wrapText="1"/>
    </xf>
    <xf numFmtId="3" fontId="7" fillId="18" borderId="10" xfId="0" applyNumberFormat="1" applyFont="1" applyFill="1" applyBorder="1" applyAlignment="1" applyProtection="1">
      <alignment horizontal="center" vertical="center"/>
    </xf>
    <xf numFmtId="1" fontId="10" fillId="22" borderId="7" xfId="0" applyNumberFormat="1" applyFont="1" applyFill="1" applyBorder="1" applyAlignment="1" applyProtection="1">
      <alignment horizontal="center" vertical="center" wrapText="1"/>
    </xf>
    <xf numFmtId="3" fontId="10" fillId="22" borderId="9" xfId="0" applyNumberFormat="1" applyFont="1" applyFill="1" applyBorder="1" applyAlignment="1" applyProtection="1">
      <alignment horizontal="center" vertical="center"/>
    </xf>
    <xf numFmtId="3" fontId="10" fillId="22" borderId="7" xfId="0" applyNumberFormat="1" applyFont="1" applyFill="1" applyBorder="1" applyAlignment="1" applyProtection="1">
      <alignment horizontal="center" vertical="center"/>
    </xf>
    <xf numFmtId="1" fontId="10" fillId="22" borderId="10" xfId="0" applyNumberFormat="1" applyFont="1" applyFill="1" applyBorder="1" applyAlignment="1" applyProtection="1">
      <alignment vertical="center" wrapText="1"/>
    </xf>
    <xf numFmtId="1" fontId="10" fillId="22" borderId="9" xfId="0" applyNumberFormat="1" applyFont="1" applyFill="1" applyBorder="1" applyAlignment="1" applyProtection="1">
      <alignment vertical="center" wrapText="1"/>
    </xf>
    <xf numFmtId="3" fontId="10" fillId="22" borderId="9" xfId="0" applyNumberFormat="1" applyFont="1" applyFill="1" applyBorder="1" applyAlignment="1" applyProtection="1">
      <alignment horizontal="center" vertical="center" wrapText="1"/>
    </xf>
    <xf numFmtId="9" fontId="11" fillId="0" borderId="0" xfId="20" applyFont="1" applyFill="1" applyAlignment="1" applyProtection="1">
      <alignment horizontal="right"/>
    </xf>
    <xf numFmtId="1" fontId="10" fillId="22" borderId="10" xfId="0" applyNumberFormat="1" applyFont="1" applyFill="1" applyBorder="1" applyAlignment="1" applyProtection="1">
      <alignment vertical="center" wrapText="1"/>
      <protection hidden="1"/>
    </xf>
    <xf numFmtId="9" fontId="11" fillId="0" borderId="0" xfId="20" applyFont="1" applyFill="1" applyAlignment="1" applyProtection="1">
      <alignment horizontal="left" wrapText="1"/>
    </xf>
    <xf numFmtId="0" fontId="9" fillId="22" borderId="13" xfId="0" quotePrefix="1" applyFont="1" applyFill="1" applyBorder="1" applyAlignment="1" applyProtection="1">
      <alignment horizontal="left" vertical="center" wrapText="1" indent="2"/>
    </xf>
    <xf numFmtId="0" fontId="9" fillId="22" borderId="10" xfId="0" quotePrefix="1" applyFont="1" applyFill="1" applyBorder="1" applyAlignment="1" applyProtection="1">
      <alignment horizontal="left" vertical="center" wrapText="1" indent="2"/>
    </xf>
    <xf numFmtId="0" fontId="9" fillId="22" borderId="13" xfId="0" quotePrefix="1" applyFont="1" applyFill="1" applyBorder="1" applyAlignment="1" applyProtection="1">
      <alignment horizontal="left" vertical="center" wrapText="1" indent="1"/>
    </xf>
    <xf numFmtId="0" fontId="8" fillId="17" borderId="13" xfId="0" applyFont="1" applyFill="1" applyBorder="1" applyAlignment="1" applyProtection="1">
      <alignment horizontal="center" vertical="center" wrapText="1"/>
    </xf>
    <xf numFmtId="0" fontId="9" fillId="22" borderId="7" xfId="0" applyFont="1" applyFill="1" applyBorder="1" applyAlignment="1" applyProtection="1">
      <alignment horizontal="left" vertical="center" wrapText="1"/>
    </xf>
    <xf numFmtId="0" fontId="11" fillId="21" borderId="0" xfId="0" applyFont="1" applyFill="1" applyBorder="1" applyAlignment="1" applyProtection="1">
      <alignment horizontal="left" vertical="center" wrapText="1"/>
    </xf>
    <xf numFmtId="3" fontId="14" fillId="18" borderId="0" xfId="0" applyNumberFormat="1" applyFont="1" applyFill="1" applyBorder="1" applyAlignment="1" applyProtection="1">
      <alignment horizontal="center" vertical="center"/>
      <protection locked="0"/>
    </xf>
    <xf numFmtId="0" fontId="11" fillId="21" borderId="0" xfId="0" applyFont="1" applyFill="1" applyBorder="1" applyAlignment="1" applyProtection="1">
      <alignment horizontal="center" vertical="center" wrapText="1"/>
    </xf>
    <xf numFmtId="0" fontId="11" fillId="21" borderId="0" xfId="0" applyFont="1" applyFill="1" applyBorder="1" applyAlignment="1" applyProtection="1">
      <alignment horizontal="left" vertical="center"/>
    </xf>
    <xf numFmtId="3" fontId="14" fillId="18" borderId="10" xfId="0" applyNumberFormat="1" applyFont="1" applyFill="1" applyBorder="1" applyAlignment="1" applyProtection="1">
      <alignment horizontal="center" vertical="center"/>
      <protection locked="0"/>
    </xf>
    <xf numFmtId="1" fontId="10" fillId="0" borderId="7" xfId="0" applyNumberFormat="1" applyFont="1" applyFill="1" applyBorder="1" applyAlignment="1" applyProtection="1">
      <alignment horizontal="center" vertical="center" wrapText="1"/>
      <protection locked="0"/>
    </xf>
    <xf numFmtId="1" fontId="10" fillId="18" borderId="7" xfId="0" applyNumberFormat="1" applyFont="1" applyFill="1" applyBorder="1" applyAlignment="1" applyProtection="1">
      <alignment horizontal="center" vertical="center" wrapText="1"/>
      <protection locked="0"/>
    </xf>
    <xf numFmtId="1" fontId="9" fillId="18" borderId="7" xfId="0" applyNumberFormat="1" applyFont="1" applyFill="1" applyBorder="1" applyAlignment="1" applyProtection="1">
      <alignment horizontal="center" vertical="center" wrapText="1"/>
      <protection locked="0"/>
    </xf>
    <xf numFmtId="0" fontId="8" fillId="17" borderId="10" xfId="0" applyFont="1" applyFill="1" applyBorder="1" applyAlignment="1" applyProtection="1">
      <alignment horizontal="center" vertical="center" wrapText="1"/>
    </xf>
    <xf numFmtId="0" fontId="12" fillId="21" borderId="0" xfId="0" applyFont="1" applyFill="1" applyBorder="1" applyAlignment="1" applyProtection="1">
      <alignment horizontal="center" vertical="center"/>
    </xf>
    <xf numFmtId="0" fontId="14" fillId="18" borderId="10" xfId="0" applyFont="1" applyFill="1" applyBorder="1" applyProtection="1"/>
    <xf numFmtId="0" fontId="12" fillId="18" borderId="0" xfId="0" applyFont="1" applyFill="1" applyBorder="1" applyAlignment="1" applyProtection="1">
      <alignment horizontal="center" vertical="center"/>
    </xf>
    <xf numFmtId="0" fontId="12" fillId="18" borderId="10" xfId="0" quotePrefix="1" applyFont="1" applyFill="1" applyBorder="1" applyAlignment="1" applyProtection="1">
      <alignment vertical="center" wrapText="1"/>
    </xf>
    <xf numFmtId="3" fontId="12" fillId="0" borderId="9" xfId="0" applyNumberFormat="1" applyFont="1" applyFill="1" applyBorder="1" applyAlignment="1" applyProtection="1">
      <alignment horizontal="center" vertical="center"/>
      <protection locked="0"/>
    </xf>
    <xf numFmtId="9" fontId="12" fillId="20" borderId="13" xfId="20" applyFont="1" applyFill="1" applyBorder="1" applyAlignment="1" applyProtection="1">
      <alignment horizontal="center" vertical="center"/>
    </xf>
    <xf numFmtId="9" fontId="11" fillId="20" borderId="13" xfId="20" applyFont="1" applyFill="1" applyBorder="1" applyAlignment="1" applyProtection="1">
      <alignment horizontal="center" vertical="center"/>
    </xf>
    <xf numFmtId="0" fontId="9" fillId="22" borderId="13" xfId="0" quotePrefix="1" applyFont="1" applyFill="1" applyBorder="1" applyAlignment="1" applyProtection="1">
      <alignment horizontal="left" vertical="center" wrapText="1" indent="2"/>
    </xf>
    <xf numFmtId="0" fontId="9" fillId="22" borderId="10" xfId="0" quotePrefix="1" applyFont="1" applyFill="1" applyBorder="1" applyAlignment="1" applyProtection="1">
      <alignment horizontal="left" vertical="center" wrapText="1" indent="2"/>
    </xf>
    <xf numFmtId="0" fontId="9" fillId="22" borderId="9" xfId="0" quotePrefix="1" applyFont="1" applyFill="1" applyBorder="1" applyAlignment="1" applyProtection="1">
      <alignment horizontal="left" vertical="center" wrapText="1" indent="2"/>
    </xf>
    <xf numFmtId="0" fontId="9" fillId="22" borderId="13" xfId="0" quotePrefix="1" applyFont="1" applyFill="1" applyBorder="1" applyAlignment="1" applyProtection="1">
      <alignment horizontal="left" vertical="center" wrapText="1" indent="1"/>
    </xf>
    <xf numFmtId="0" fontId="10" fillId="22" borderId="13" xfId="0" applyFont="1" applyFill="1" applyBorder="1" applyAlignment="1" applyProtection="1">
      <alignment horizontal="left" vertical="center" wrapText="1"/>
    </xf>
    <xf numFmtId="0" fontId="8" fillId="17" borderId="13" xfId="0" applyFont="1" applyFill="1" applyBorder="1" applyAlignment="1" applyProtection="1">
      <alignment horizontal="center" vertical="center" wrapText="1"/>
    </xf>
    <xf numFmtId="0" fontId="11" fillId="21" borderId="0" xfId="0" applyFont="1" applyFill="1" applyBorder="1" applyAlignment="1" applyProtection="1">
      <alignment horizontal="left" vertical="center" wrapText="1"/>
    </xf>
    <xf numFmtId="0" fontId="9" fillId="22" borderId="7" xfId="0" applyFont="1" applyFill="1" applyBorder="1" applyAlignment="1" applyProtection="1">
      <alignment horizontal="left" vertical="center" wrapText="1"/>
    </xf>
    <xf numFmtId="0" fontId="10" fillId="22" borderId="9" xfId="0" applyFont="1" applyFill="1" applyBorder="1" applyAlignment="1" applyProtection="1">
      <alignment horizontal="left" vertical="center" wrapText="1"/>
    </xf>
    <xf numFmtId="1" fontId="7" fillId="18" borderId="5" xfId="0" applyNumberFormat="1" applyFont="1" applyFill="1" applyBorder="1" applyAlignment="1" applyProtection="1">
      <alignment horizontal="center" vertical="center"/>
    </xf>
    <xf numFmtId="1" fontId="10" fillId="18" borderId="7" xfId="0" applyNumberFormat="1" applyFont="1" applyFill="1" applyBorder="1" applyAlignment="1" applyProtection="1">
      <alignment horizontal="center" vertical="center" wrapText="1"/>
      <protection hidden="1"/>
    </xf>
    <xf numFmtId="14" fontId="10" fillId="18" borderId="13" xfId="0" applyNumberFormat="1" applyFont="1" applyFill="1" applyBorder="1" applyAlignment="1" applyProtection="1">
      <alignment horizontal="left" vertical="center" wrapText="1"/>
      <protection locked="0" hidden="1"/>
    </xf>
    <xf numFmtId="14" fontId="10" fillId="18" borderId="10" xfId="0" applyNumberFormat="1" applyFont="1" applyFill="1" applyBorder="1" applyAlignment="1" applyProtection="1">
      <alignment horizontal="left" vertical="center" wrapText="1"/>
      <protection locked="0" hidden="1"/>
    </xf>
    <xf numFmtId="14" fontId="10" fillId="18" borderId="9" xfId="0" applyNumberFormat="1" applyFont="1" applyFill="1" applyBorder="1" applyAlignment="1" applyProtection="1">
      <alignment horizontal="left" vertical="center" wrapText="1"/>
      <protection locked="0" hidden="1"/>
    </xf>
    <xf numFmtId="1" fontId="9" fillId="22" borderId="13" xfId="0" applyNumberFormat="1" applyFont="1" applyFill="1" applyBorder="1" applyAlignment="1" applyProtection="1">
      <alignment horizontal="center" vertical="center"/>
    </xf>
    <xf numFmtId="1" fontId="9" fillId="22" borderId="9" xfId="0" applyNumberFormat="1" applyFont="1" applyFill="1" applyBorder="1" applyAlignment="1" applyProtection="1">
      <alignment horizontal="center" vertical="center"/>
    </xf>
    <xf numFmtId="1" fontId="7" fillId="22" borderId="9" xfId="0" applyNumberFormat="1" applyFont="1" applyFill="1" applyBorder="1" applyAlignment="1" applyProtection="1">
      <alignment horizontal="center" vertical="center"/>
    </xf>
    <xf numFmtId="0" fontId="9" fillId="18" borderId="4" xfId="0" applyFont="1" applyFill="1" applyBorder="1" applyAlignment="1" applyProtection="1">
      <alignment horizontal="center"/>
    </xf>
    <xf numFmtId="0" fontId="9" fillId="18" borderId="0" xfId="0" applyFont="1" applyFill="1" applyBorder="1" applyAlignment="1" applyProtection="1">
      <alignment horizontal="center"/>
    </xf>
    <xf numFmtId="0" fontId="10" fillId="22" borderId="13" xfId="0" quotePrefix="1" applyFont="1" applyFill="1" applyBorder="1" applyAlignment="1" applyProtection="1">
      <alignment horizontal="left" vertical="center" wrapText="1"/>
    </xf>
    <xf numFmtId="0" fontId="10" fillId="22" borderId="10" xfId="0" quotePrefix="1" applyFont="1" applyFill="1" applyBorder="1" applyAlignment="1" applyProtection="1">
      <alignment horizontal="left" vertical="center" wrapText="1"/>
    </xf>
    <xf numFmtId="0" fontId="10" fillId="22" borderId="9" xfId="0" quotePrefix="1" applyFont="1" applyFill="1" applyBorder="1" applyAlignment="1" applyProtection="1">
      <alignment horizontal="left" vertical="center" wrapText="1"/>
    </xf>
    <xf numFmtId="0" fontId="8" fillId="17" borderId="13" xfId="0" applyFont="1" applyFill="1" applyBorder="1" applyAlignment="1" applyProtection="1">
      <alignment horizontal="left" vertical="center" wrapText="1"/>
    </xf>
    <xf numFmtId="0" fontId="8" fillId="17" borderId="10" xfId="0" applyFont="1" applyFill="1" applyBorder="1" applyAlignment="1" applyProtection="1">
      <alignment horizontal="left" vertical="center" wrapText="1"/>
    </xf>
    <xf numFmtId="0" fontId="8" fillId="17" borderId="9" xfId="0" applyFont="1" applyFill="1" applyBorder="1" applyAlignment="1" applyProtection="1">
      <alignment horizontal="left" vertical="center" wrapText="1"/>
    </xf>
    <xf numFmtId="0" fontId="9" fillId="22" borderId="13" xfId="0" quotePrefix="1" applyFont="1" applyFill="1" applyBorder="1" applyAlignment="1" applyProtection="1">
      <alignment horizontal="left" vertical="center" wrapText="1" indent="2"/>
    </xf>
    <xf numFmtId="0" fontId="9" fillId="22" borderId="10" xfId="0" quotePrefix="1" applyFont="1" applyFill="1" applyBorder="1" applyAlignment="1" applyProtection="1">
      <alignment horizontal="left" vertical="center" wrapText="1" indent="2"/>
    </xf>
    <xf numFmtId="0" fontId="9" fillId="22" borderId="9" xfId="0" quotePrefix="1" applyFont="1" applyFill="1" applyBorder="1" applyAlignment="1" applyProtection="1">
      <alignment horizontal="left" vertical="center" wrapText="1" indent="2"/>
    </xf>
    <xf numFmtId="0" fontId="9" fillId="22" borderId="13" xfId="0" quotePrefix="1" applyFont="1" applyFill="1" applyBorder="1" applyAlignment="1" applyProtection="1">
      <alignment horizontal="left" vertical="center" wrapText="1" indent="1"/>
    </xf>
    <xf numFmtId="0" fontId="9" fillId="22" borderId="10" xfId="0" quotePrefix="1" applyFont="1" applyFill="1" applyBorder="1" applyAlignment="1" applyProtection="1">
      <alignment horizontal="left" vertical="center" wrapText="1" indent="1"/>
    </xf>
    <xf numFmtId="0" fontId="9" fillId="22" borderId="9" xfId="0" quotePrefix="1" applyFont="1" applyFill="1" applyBorder="1" applyAlignment="1" applyProtection="1">
      <alignment horizontal="left" vertical="center" wrapText="1" indent="1"/>
    </xf>
    <xf numFmtId="0" fontId="8" fillId="17" borderId="13" xfId="0" applyFont="1" applyFill="1" applyBorder="1" applyAlignment="1" applyProtection="1">
      <alignment horizontal="center" vertical="center" wrapText="1"/>
    </xf>
    <xf numFmtId="0" fontId="8" fillId="17" borderId="9" xfId="0" applyFont="1" applyFill="1" applyBorder="1" applyAlignment="1" applyProtection="1">
      <alignment horizontal="center" vertical="center" wrapText="1"/>
    </xf>
    <xf numFmtId="0" fontId="8" fillId="17" borderId="10" xfId="0" applyNumberFormat="1" applyFont="1" applyFill="1" applyBorder="1" applyAlignment="1" applyProtection="1">
      <alignment horizontal="center" vertical="center" wrapText="1"/>
    </xf>
    <xf numFmtId="0" fontId="8" fillId="17" borderId="9" xfId="0" applyNumberFormat="1" applyFont="1" applyFill="1" applyBorder="1" applyAlignment="1" applyProtection="1">
      <alignment horizontal="center" vertical="center" wrapText="1"/>
    </xf>
    <xf numFmtId="0" fontId="9" fillId="18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18" borderId="3" xfId="0" applyNumberFormat="1" applyFont="1" applyFill="1" applyBorder="1" applyAlignment="1" applyProtection="1">
      <alignment horizontal="center" vertical="center" wrapText="1"/>
      <protection locked="0"/>
    </xf>
    <xf numFmtId="0" fontId="9" fillId="18" borderId="12" xfId="0" applyNumberFormat="1" applyFont="1" applyFill="1" applyBorder="1" applyAlignment="1" applyProtection="1">
      <alignment horizontal="center" vertical="center" wrapText="1"/>
      <protection locked="0"/>
    </xf>
    <xf numFmtId="0" fontId="9" fillId="18" borderId="1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 applyProtection="1">
      <alignment horizontal="center" vertical="center" wrapText="1"/>
      <protection locked="0"/>
    </xf>
    <xf numFmtId="0" fontId="10" fillId="0" borderId="15" xfId="0" applyFont="1" applyFill="1" applyBorder="1" applyAlignment="1" applyProtection="1">
      <alignment horizontal="center" vertical="center" wrapText="1"/>
      <protection locked="0"/>
    </xf>
    <xf numFmtId="0" fontId="10" fillId="0" borderId="4" xfId="0" applyFont="1" applyFill="1" applyBorder="1" applyAlignment="1" applyProtection="1">
      <alignment horizontal="center" vertical="center" wrapText="1"/>
      <protection locked="0"/>
    </xf>
    <xf numFmtId="0" fontId="10" fillId="0" borderId="5" xfId="0" applyFont="1" applyFill="1" applyBorder="1" applyAlignment="1" applyProtection="1">
      <alignment horizontal="center" vertical="center" wrapText="1"/>
      <protection locked="0"/>
    </xf>
    <xf numFmtId="0" fontId="10" fillId="0" borderId="12" xfId="0" applyFont="1" applyFill="1" applyBorder="1" applyAlignment="1" applyProtection="1">
      <alignment horizontal="center" vertical="center" wrapText="1"/>
      <protection locked="0"/>
    </xf>
    <xf numFmtId="0" fontId="10" fillId="0" borderId="14" xfId="0" applyFont="1" applyFill="1" applyBorder="1" applyAlignment="1" applyProtection="1">
      <alignment horizontal="center" vertical="center" wrapText="1"/>
      <protection locked="0"/>
    </xf>
    <xf numFmtId="0" fontId="10" fillId="18" borderId="1" xfId="0" applyFont="1" applyFill="1" applyBorder="1" applyAlignment="1" applyProtection="1">
      <alignment horizontal="center" vertical="center" wrapText="1"/>
      <protection locked="0"/>
    </xf>
    <xf numFmtId="0" fontId="10" fillId="18" borderId="15" xfId="0" applyFont="1" applyFill="1" applyBorder="1" applyAlignment="1" applyProtection="1">
      <alignment horizontal="center" vertical="center" wrapText="1"/>
      <protection locked="0"/>
    </xf>
    <xf numFmtId="0" fontId="10" fillId="18" borderId="4" xfId="0" applyFont="1" applyFill="1" applyBorder="1" applyAlignment="1" applyProtection="1">
      <alignment horizontal="center" vertical="center" wrapText="1"/>
      <protection locked="0"/>
    </xf>
    <xf numFmtId="0" fontId="10" fillId="18" borderId="5" xfId="0" applyFont="1" applyFill="1" applyBorder="1" applyAlignment="1" applyProtection="1">
      <alignment horizontal="center" vertical="center" wrapText="1"/>
      <protection locked="0"/>
    </xf>
    <xf numFmtId="0" fontId="10" fillId="18" borderId="12" xfId="0" applyFont="1" applyFill="1" applyBorder="1" applyAlignment="1" applyProtection="1">
      <alignment horizontal="center" vertical="center" wrapText="1"/>
      <protection locked="0"/>
    </xf>
    <xf numFmtId="0" fontId="10" fillId="18" borderId="14" xfId="0" applyFont="1" applyFill="1" applyBorder="1" applyAlignment="1" applyProtection="1">
      <alignment horizontal="center" vertical="center" wrapText="1"/>
      <protection locked="0"/>
    </xf>
    <xf numFmtId="0" fontId="10" fillId="18" borderId="1" xfId="0" quotePrefix="1" applyFont="1" applyFill="1" applyBorder="1" applyAlignment="1" applyProtection="1">
      <alignment horizontal="center" vertical="center" wrapText="1"/>
      <protection locked="0"/>
    </xf>
    <xf numFmtId="0" fontId="10" fillId="18" borderId="15" xfId="0" quotePrefix="1" applyFont="1" applyFill="1" applyBorder="1" applyAlignment="1" applyProtection="1">
      <alignment horizontal="center" vertical="center" wrapText="1"/>
      <protection locked="0"/>
    </xf>
    <xf numFmtId="0" fontId="10" fillId="18" borderId="4" xfId="0" quotePrefix="1" applyFont="1" applyFill="1" applyBorder="1" applyAlignment="1" applyProtection="1">
      <alignment horizontal="center" vertical="center" wrapText="1"/>
      <protection locked="0"/>
    </xf>
    <xf numFmtId="0" fontId="10" fillId="18" borderId="5" xfId="0" quotePrefix="1" applyFont="1" applyFill="1" applyBorder="1" applyAlignment="1" applyProtection="1">
      <alignment horizontal="center" vertical="center" wrapText="1"/>
      <protection locked="0"/>
    </xf>
    <xf numFmtId="0" fontId="10" fillId="18" borderId="12" xfId="0" quotePrefix="1" applyFont="1" applyFill="1" applyBorder="1" applyAlignment="1" applyProtection="1">
      <alignment horizontal="center" vertical="center" wrapText="1"/>
      <protection locked="0"/>
    </xf>
    <xf numFmtId="0" fontId="10" fillId="18" borderId="14" xfId="0" quotePrefix="1" applyFont="1" applyFill="1" applyBorder="1" applyAlignment="1" applyProtection="1">
      <alignment horizontal="center" vertical="center" wrapText="1"/>
      <protection locked="0"/>
    </xf>
    <xf numFmtId="0" fontId="10" fillId="22" borderId="13" xfId="0" applyFont="1" applyFill="1" applyBorder="1" applyAlignment="1" applyProtection="1">
      <alignment horizontal="left" vertical="center" wrapText="1"/>
    </xf>
    <xf numFmtId="0" fontId="10" fillId="22" borderId="10" xfId="0" applyFont="1" applyFill="1" applyBorder="1" applyAlignment="1" applyProtection="1">
      <alignment horizontal="left" vertical="center" wrapText="1"/>
    </xf>
    <xf numFmtId="1" fontId="10" fillId="22" borderId="13" xfId="0" applyNumberFormat="1" applyFont="1" applyFill="1" applyBorder="1" applyAlignment="1" applyProtection="1">
      <alignment horizontal="left" vertical="center"/>
      <protection hidden="1"/>
    </xf>
    <xf numFmtId="1" fontId="10" fillId="22" borderId="10" xfId="0" applyNumberFormat="1" applyFont="1" applyFill="1" applyBorder="1" applyAlignment="1" applyProtection="1">
      <alignment horizontal="left" vertical="center"/>
      <protection hidden="1"/>
    </xf>
    <xf numFmtId="9" fontId="9" fillId="18" borderId="10" xfId="20" applyFont="1" applyFill="1" applyBorder="1" applyAlignment="1" applyProtection="1">
      <alignment horizontal="left"/>
      <protection locked="0"/>
    </xf>
    <xf numFmtId="9" fontId="9" fillId="18" borderId="9" xfId="20" applyFont="1" applyFill="1" applyBorder="1" applyAlignment="1" applyProtection="1">
      <alignment horizontal="left"/>
      <protection locked="0"/>
    </xf>
    <xf numFmtId="0" fontId="10" fillId="0" borderId="13" xfId="0" applyFont="1" applyFill="1" applyBorder="1" applyAlignment="1" applyProtection="1">
      <alignment horizontal="center" vertical="center" wrapText="1"/>
      <protection locked="0"/>
    </xf>
    <xf numFmtId="0" fontId="10" fillId="0" borderId="9" xfId="0" applyFont="1" applyFill="1" applyBorder="1" applyAlignment="1" applyProtection="1">
      <alignment horizontal="center" vertical="center" wrapText="1"/>
      <protection locked="0"/>
    </xf>
    <xf numFmtId="0" fontId="10" fillId="18" borderId="13" xfId="0" applyFont="1" applyFill="1" applyBorder="1" applyAlignment="1" applyProtection="1">
      <alignment horizontal="left" vertical="center" wrapText="1"/>
      <protection locked="0"/>
    </xf>
    <xf numFmtId="0" fontId="10" fillId="18" borderId="10" xfId="0" applyFont="1" applyFill="1" applyBorder="1" applyAlignment="1" applyProtection="1">
      <alignment horizontal="left" vertical="center" wrapText="1"/>
      <protection locked="0"/>
    </xf>
    <xf numFmtId="0" fontId="10" fillId="18" borderId="9" xfId="0" applyFont="1" applyFill="1" applyBorder="1" applyAlignment="1" applyProtection="1">
      <alignment horizontal="left" vertical="center" wrapText="1"/>
      <protection locked="0"/>
    </xf>
    <xf numFmtId="0" fontId="10" fillId="18" borderId="13" xfId="0" applyFont="1" applyFill="1" applyBorder="1" applyAlignment="1" applyProtection="1">
      <alignment horizontal="left" vertical="center" wrapText="1"/>
      <protection locked="0" hidden="1"/>
    </xf>
    <xf numFmtId="0" fontId="10" fillId="18" borderId="10" xfId="0" applyFont="1" applyFill="1" applyBorder="1" applyAlignment="1" applyProtection="1">
      <alignment horizontal="left" vertical="center" wrapText="1"/>
      <protection locked="0" hidden="1"/>
    </xf>
    <xf numFmtId="0" fontId="10" fillId="18" borderId="9" xfId="0" applyFont="1" applyFill="1" applyBorder="1" applyAlignment="1" applyProtection="1">
      <alignment horizontal="left" vertical="center" wrapText="1"/>
      <protection locked="0" hidden="1"/>
    </xf>
    <xf numFmtId="0" fontId="9" fillId="18" borderId="13" xfId="0" applyFont="1" applyFill="1" applyBorder="1" applyAlignment="1" applyProtection="1">
      <alignment horizontal="left" vertical="center" wrapText="1"/>
      <protection locked="0" hidden="1"/>
    </xf>
    <xf numFmtId="0" fontId="9" fillId="18" borderId="10" xfId="0" applyFont="1" applyFill="1" applyBorder="1" applyAlignment="1" applyProtection="1">
      <alignment horizontal="left" vertical="center" wrapText="1"/>
      <protection locked="0" hidden="1"/>
    </xf>
    <xf numFmtId="0" fontId="9" fillId="18" borderId="9" xfId="0" applyFont="1" applyFill="1" applyBorder="1" applyAlignment="1" applyProtection="1">
      <alignment horizontal="left" vertical="center" wrapText="1"/>
      <protection locked="0" hidden="1"/>
    </xf>
    <xf numFmtId="0" fontId="19" fillId="17" borderId="1" xfId="0" applyFont="1" applyFill="1" applyBorder="1" applyAlignment="1" applyProtection="1">
      <alignment horizontal="center" vertical="center" wrapText="1"/>
    </xf>
    <xf numFmtId="0" fontId="19" fillId="17" borderId="2" xfId="0" applyFont="1" applyFill="1" applyBorder="1" applyAlignment="1" applyProtection="1">
      <alignment horizontal="center" vertical="center" wrapText="1"/>
    </xf>
    <xf numFmtId="0" fontId="19" fillId="17" borderId="3" xfId="0" applyFont="1" applyFill="1" applyBorder="1" applyAlignment="1" applyProtection="1">
      <alignment horizontal="center" vertical="center" wrapText="1"/>
    </xf>
    <xf numFmtId="0" fontId="8" fillId="17" borderId="12" xfId="0" applyFont="1" applyFill="1" applyBorder="1" applyAlignment="1" applyProtection="1">
      <alignment horizontal="center" vertical="center"/>
    </xf>
    <xf numFmtId="0" fontId="8" fillId="17" borderId="11" xfId="0" applyFont="1" applyFill="1" applyBorder="1" applyAlignment="1" applyProtection="1">
      <alignment horizontal="center" vertical="center"/>
    </xf>
    <xf numFmtId="0" fontId="9" fillId="18" borderId="4" xfId="0" applyNumberFormat="1" applyFont="1" applyFill="1" applyBorder="1" applyAlignment="1" applyProtection="1">
      <alignment horizontal="center" vertical="center" wrapText="1"/>
      <protection locked="0"/>
    </xf>
    <xf numFmtId="0" fontId="9" fillId="18" borderId="6" xfId="0" applyNumberFormat="1" applyFont="1" applyFill="1" applyBorder="1" applyAlignment="1" applyProtection="1">
      <alignment horizontal="center" vertical="center" wrapText="1"/>
      <protection locked="0"/>
    </xf>
    <xf numFmtId="9" fontId="9" fillId="18" borderId="8" xfId="20" applyFont="1" applyFill="1" applyBorder="1" applyAlignment="1" applyProtection="1">
      <alignment horizontal="left"/>
      <protection locked="0"/>
    </xf>
    <xf numFmtId="9" fontId="9" fillId="18" borderId="11" xfId="20" applyFont="1" applyFill="1" applyBorder="1" applyAlignment="1" applyProtection="1">
      <alignment horizontal="left"/>
      <protection locked="0"/>
    </xf>
    <xf numFmtId="14" fontId="10" fillId="18" borderId="7" xfId="0" applyNumberFormat="1" applyFont="1" applyFill="1" applyBorder="1" applyAlignment="1" applyProtection="1">
      <alignment horizontal="left" vertical="center" wrapText="1"/>
      <protection locked="0"/>
    </xf>
    <xf numFmtId="3" fontId="11" fillId="18" borderId="7" xfId="0" applyNumberFormat="1" applyFont="1" applyFill="1" applyBorder="1" applyAlignment="1" applyProtection="1">
      <alignment horizontal="left" vertical="center"/>
      <protection locked="0"/>
    </xf>
    <xf numFmtId="3" fontId="11" fillId="18" borderId="10" xfId="0" applyNumberFormat="1" applyFont="1" applyFill="1" applyBorder="1" applyAlignment="1" applyProtection="1">
      <alignment horizontal="center" vertical="center"/>
      <protection locked="0"/>
    </xf>
    <xf numFmtId="3" fontId="11" fillId="18" borderId="9" xfId="0" applyNumberFormat="1" applyFont="1" applyFill="1" applyBorder="1" applyAlignment="1" applyProtection="1">
      <alignment horizontal="center" vertical="center"/>
      <protection locked="0"/>
    </xf>
    <xf numFmtId="0" fontId="8" fillId="17" borderId="8" xfId="0" applyFont="1" applyFill="1" applyBorder="1" applyAlignment="1" applyProtection="1">
      <alignment horizontal="center" vertical="center"/>
    </xf>
    <xf numFmtId="0" fontId="10" fillId="22" borderId="1" xfId="0" applyFont="1" applyFill="1" applyBorder="1" applyAlignment="1" applyProtection="1">
      <alignment horizontal="center" vertical="center" wrapText="1"/>
    </xf>
    <xf numFmtId="0" fontId="10" fillId="22" borderId="4" xfId="0" applyFont="1" applyFill="1" applyBorder="1" applyAlignment="1" applyProtection="1">
      <alignment horizontal="center" vertical="center" wrapText="1"/>
    </xf>
    <xf numFmtId="0" fontId="10" fillId="22" borderId="12" xfId="0" applyFont="1" applyFill="1" applyBorder="1" applyAlignment="1" applyProtection="1">
      <alignment horizontal="center" vertical="center" wrapText="1"/>
    </xf>
    <xf numFmtId="0" fontId="10" fillId="22" borderId="13" xfId="0" applyFont="1" applyFill="1" applyBorder="1" applyAlignment="1" applyProtection="1">
      <alignment horizontal="center" vertical="center" wrapText="1"/>
    </xf>
    <xf numFmtId="0" fontId="10" fillId="22" borderId="10" xfId="0" applyFont="1" applyFill="1" applyBorder="1" applyAlignment="1" applyProtection="1">
      <alignment horizontal="center" vertical="center" wrapText="1"/>
    </xf>
    <xf numFmtId="0" fontId="8" fillId="17" borderId="13" xfId="0" applyNumberFormat="1" applyFont="1" applyFill="1" applyBorder="1" applyAlignment="1" applyProtection="1">
      <alignment horizontal="center" vertical="center" wrapText="1"/>
    </xf>
    <xf numFmtId="3" fontId="11" fillId="18" borderId="13" xfId="0" applyNumberFormat="1" applyFont="1" applyFill="1" applyBorder="1" applyAlignment="1" applyProtection="1">
      <alignment horizontal="left" vertical="center"/>
      <protection locked="0"/>
    </xf>
    <xf numFmtId="3" fontId="11" fillId="18" borderId="10" xfId="0" applyNumberFormat="1" applyFont="1" applyFill="1" applyBorder="1" applyAlignment="1" applyProtection="1">
      <alignment horizontal="left" vertical="center"/>
      <protection locked="0"/>
    </xf>
    <xf numFmtId="3" fontId="11" fillId="18" borderId="9" xfId="0" applyNumberFormat="1" applyFont="1" applyFill="1" applyBorder="1" applyAlignment="1" applyProtection="1">
      <alignment horizontal="left" vertical="center"/>
      <protection locked="0"/>
    </xf>
    <xf numFmtId="3" fontId="11" fillId="18" borderId="13" xfId="0" applyNumberFormat="1" applyFont="1" applyFill="1" applyBorder="1" applyAlignment="1" applyProtection="1">
      <alignment horizontal="center" vertical="center"/>
      <protection locked="0"/>
    </xf>
    <xf numFmtId="0" fontId="13" fillId="17" borderId="13" xfId="0" applyFont="1" applyFill="1" applyBorder="1" applyAlignment="1" applyProtection="1">
      <alignment horizontal="center" vertical="center" wrapText="1"/>
    </xf>
    <xf numFmtId="0" fontId="13" fillId="17" borderId="10" xfId="0" applyFont="1" applyFill="1" applyBorder="1" applyAlignment="1" applyProtection="1">
      <alignment horizontal="center" vertical="center" wrapText="1"/>
    </xf>
    <xf numFmtId="0" fontId="13" fillId="17" borderId="9" xfId="0" applyFont="1" applyFill="1" applyBorder="1" applyAlignment="1" applyProtection="1">
      <alignment horizontal="center" vertical="center" wrapText="1"/>
    </xf>
    <xf numFmtId="0" fontId="11" fillId="18" borderId="4" xfId="0" applyFont="1" applyFill="1" applyBorder="1" applyAlignment="1" applyProtection="1">
      <alignment horizontal="center"/>
    </xf>
    <xf numFmtId="0" fontId="11" fillId="18" borderId="0" xfId="0" applyFont="1" applyFill="1" applyBorder="1" applyAlignment="1" applyProtection="1">
      <alignment horizontal="center"/>
    </xf>
    <xf numFmtId="0" fontId="8" fillId="17" borderId="7" xfId="0" applyFont="1" applyFill="1" applyBorder="1" applyAlignment="1" applyProtection="1">
      <alignment horizontal="left" vertical="center" wrapText="1"/>
    </xf>
    <xf numFmtId="0" fontId="10" fillId="22" borderId="1" xfId="0" quotePrefix="1" applyFont="1" applyFill="1" applyBorder="1" applyAlignment="1" applyProtection="1">
      <alignment horizontal="center" vertical="center" wrapText="1"/>
    </xf>
    <xf numFmtId="0" fontId="10" fillId="22" borderId="4" xfId="0" quotePrefix="1" applyFont="1" applyFill="1" applyBorder="1" applyAlignment="1" applyProtection="1">
      <alignment horizontal="center" vertical="center" wrapText="1"/>
    </xf>
    <xf numFmtId="0" fontId="10" fillId="22" borderId="12" xfId="0" quotePrefix="1" applyFont="1" applyFill="1" applyBorder="1" applyAlignment="1" applyProtection="1">
      <alignment horizontal="center" vertical="center" wrapText="1"/>
    </xf>
    <xf numFmtId="0" fontId="13" fillId="17" borderId="1" xfId="0" applyFont="1" applyFill="1" applyBorder="1" applyAlignment="1" applyProtection="1">
      <alignment horizontal="center" vertical="center" wrapText="1"/>
    </xf>
    <xf numFmtId="0" fontId="13" fillId="17" borderId="2" xfId="0" applyFont="1" applyFill="1" applyBorder="1" applyAlignment="1" applyProtection="1">
      <alignment horizontal="center" vertical="center" wrapText="1"/>
    </xf>
    <xf numFmtId="0" fontId="9" fillId="22" borderId="7" xfId="0" applyFont="1" applyFill="1" applyBorder="1" applyAlignment="1" applyProtection="1">
      <alignment horizontal="left" vertical="center" wrapText="1"/>
    </xf>
    <xf numFmtId="14" fontId="9" fillId="22" borderId="7" xfId="0" applyNumberFormat="1" applyFont="1" applyFill="1" applyBorder="1" applyAlignment="1" applyProtection="1">
      <alignment horizontal="left" vertical="center" wrapText="1"/>
    </xf>
    <xf numFmtId="1" fontId="9" fillId="22" borderId="7" xfId="20" applyNumberFormat="1" applyFont="1" applyFill="1" applyBorder="1" applyAlignment="1" applyProtection="1">
      <alignment horizontal="left" vertical="center" wrapText="1"/>
    </xf>
    <xf numFmtId="9" fontId="12" fillId="22" borderId="7" xfId="20" applyFont="1" applyFill="1" applyBorder="1" applyAlignment="1" applyProtection="1">
      <alignment horizontal="left" vertical="center" wrapText="1"/>
    </xf>
    <xf numFmtId="9" fontId="12" fillId="22" borderId="15" xfId="20" applyFont="1" applyFill="1" applyBorder="1" applyAlignment="1" applyProtection="1">
      <alignment horizontal="left" vertical="center" wrapText="1"/>
    </xf>
    <xf numFmtId="0" fontId="11" fillId="21" borderId="0" xfId="0" applyFont="1" applyFill="1" applyBorder="1" applyAlignment="1" applyProtection="1">
      <alignment horizontal="left" vertical="center" wrapText="1"/>
    </xf>
    <xf numFmtId="3" fontId="11" fillId="18" borderId="4" xfId="0" applyNumberFormat="1" applyFont="1" applyFill="1" applyBorder="1" applyAlignment="1" applyProtection="1">
      <alignment horizontal="left" vertical="center"/>
      <protection locked="0"/>
    </xf>
    <xf numFmtId="3" fontId="11" fillId="18" borderId="0" xfId="0" applyNumberFormat="1" applyFont="1" applyFill="1" applyBorder="1" applyAlignment="1" applyProtection="1">
      <alignment horizontal="left" vertical="center"/>
      <protection locked="0"/>
    </xf>
    <xf numFmtId="0" fontId="11" fillId="21" borderId="0" xfId="0" applyFont="1" applyFill="1" applyBorder="1" applyAlignment="1" applyProtection="1">
      <alignment horizontal="center" vertical="center" wrapText="1"/>
    </xf>
    <xf numFmtId="0" fontId="11" fillId="21" borderId="0" xfId="0" applyFont="1" applyFill="1" applyBorder="1" applyAlignment="1" applyProtection="1">
      <alignment horizontal="left" vertical="center"/>
    </xf>
    <xf numFmtId="0" fontId="13" fillId="17" borderId="7" xfId="0" applyFont="1" applyFill="1" applyBorder="1" applyAlignment="1" applyProtection="1">
      <alignment horizontal="center" vertical="center" wrapText="1"/>
    </xf>
    <xf numFmtId="0" fontId="12" fillId="21" borderId="0" xfId="0" applyFont="1" applyFill="1" applyBorder="1" applyAlignment="1" applyProtection="1">
      <alignment horizontal="left" vertical="center"/>
    </xf>
    <xf numFmtId="3" fontId="14" fillId="17" borderId="13" xfId="0" applyNumberFormat="1" applyFont="1" applyFill="1" applyBorder="1" applyAlignment="1" applyProtection="1">
      <alignment horizontal="center" vertical="center"/>
      <protection locked="0"/>
    </xf>
    <xf numFmtId="3" fontId="14" fillId="17" borderId="10" xfId="0" applyNumberFormat="1" applyFont="1" applyFill="1" applyBorder="1" applyAlignment="1" applyProtection="1">
      <alignment horizontal="center" vertical="center"/>
      <protection locked="0"/>
    </xf>
    <xf numFmtId="3" fontId="14" fillId="17" borderId="9" xfId="0" applyNumberFormat="1" applyFont="1" applyFill="1" applyBorder="1" applyAlignment="1" applyProtection="1">
      <alignment horizontal="center" vertical="center"/>
      <protection locked="0"/>
    </xf>
    <xf numFmtId="3" fontId="14" fillId="18" borderId="0" xfId="0" applyNumberFormat="1" applyFont="1" applyFill="1" applyBorder="1" applyAlignment="1" applyProtection="1">
      <alignment horizontal="center" vertical="center"/>
      <protection locked="0"/>
    </xf>
    <xf numFmtId="3" fontId="14" fillId="18" borderId="6" xfId="0" applyNumberFormat="1" applyFont="1" applyFill="1" applyBorder="1" applyAlignment="1" applyProtection="1">
      <alignment horizontal="center" vertical="center"/>
      <protection locked="0"/>
    </xf>
    <xf numFmtId="0" fontId="10" fillId="22" borderId="15" xfId="0" applyFont="1" applyFill="1" applyBorder="1" applyAlignment="1" applyProtection="1">
      <alignment horizontal="center" vertical="center" wrapText="1"/>
    </xf>
    <xf numFmtId="0" fontId="10" fillId="22" borderId="5" xfId="0" applyFont="1" applyFill="1" applyBorder="1" applyAlignment="1" applyProtection="1">
      <alignment horizontal="center" vertical="center" wrapText="1"/>
    </xf>
    <xf numFmtId="0" fontId="10" fillId="22" borderId="14" xfId="0" applyFont="1" applyFill="1" applyBorder="1" applyAlignment="1" applyProtection="1">
      <alignment horizontal="center" vertical="center" wrapText="1"/>
    </xf>
    <xf numFmtId="0" fontId="10" fillId="22" borderId="9" xfId="0" applyFont="1" applyFill="1" applyBorder="1" applyAlignment="1" applyProtection="1">
      <alignment horizontal="center" vertical="center" wrapText="1"/>
    </xf>
    <xf numFmtId="0" fontId="10" fillId="22" borderId="15" xfId="0" quotePrefix="1" applyFont="1" applyFill="1" applyBorder="1" applyAlignment="1" applyProtection="1">
      <alignment horizontal="center" vertical="center" wrapText="1"/>
    </xf>
    <xf numFmtId="0" fontId="10" fillId="22" borderId="5" xfId="0" quotePrefix="1" applyFont="1" applyFill="1" applyBorder="1" applyAlignment="1" applyProtection="1">
      <alignment horizontal="center" vertical="center" wrapText="1"/>
    </xf>
    <xf numFmtId="0" fontId="10" fillId="22" borderId="14" xfId="0" quotePrefix="1" applyFont="1" applyFill="1" applyBorder="1" applyAlignment="1" applyProtection="1">
      <alignment horizontal="center" vertical="center" wrapText="1"/>
    </xf>
    <xf numFmtId="0" fontId="12" fillId="18" borderId="10" xfId="0" quotePrefix="1" applyFont="1" applyFill="1" applyBorder="1" applyAlignment="1" applyProtection="1">
      <alignment horizontal="center" vertical="center" wrapText="1"/>
    </xf>
    <xf numFmtId="9" fontId="14" fillId="18" borderId="0" xfId="0" applyNumberFormat="1" applyFont="1" applyFill="1" applyBorder="1" applyAlignment="1" applyProtection="1">
      <alignment horizontal="center" vertical="center"/>
    </xf>
    <xf numFmtId="9" fontId="14" fillId="18" borderId="6" xfId="0" applyNumberFormat="1" applyFont="1" applyFill="1" applyBorder="1" applyAlignment="1" applyProtection="1">
      <alignment horizontal="center" vertical="center"/>
    </xf>
    <xf numFmtId="3" fontId="14" fillId="17" borderId="7" xfId="0" applyNumberFormat="1" applyFont="1" applyFill="1" applyBorder="1" applyAlignment="1" applyProtection="1">
      <alignment horizontal="center" vertical="center"/>
      <protection locked="0"/>
    </xf>
  </cellXfs>
  <cellStyles count="24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Euro" xfId="19" xr:uid="{00000000-0005-0000-0000-000012000000}"/>
    <cellStyle name="Prozent" xfId="20" builtinId="5"/>
    <cellStyle name="Prozent 2" xfId="21" xr:uid="{00000000-0005-0000-0000-000014000000}"/>
    <cellStyle name="Standard" xfId="0" builtinId="0"/>
    <cellStyle name="Standard 2" xfId="22" xr:uid="{00000000-0005-0000-0000-000016000000}"/>
    <cellStyle name="Währung 2" xfId="23" xr:uid="{00000000-0005-0000-0000-000017000000}"/>
  </cellStyles>
  <dxfs count="40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egrationsfonds.local\Pers&#246;nliche%20Dateien\Dokumente%20und%20Einstellungen\haitze1\Lokale%20Einstellungen\Temporary%20Internet%20Files\OLKC4\Anlage_2__Projekteinreichung_zum_EFF_20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-vie-hq-fs04\shared$\SEKTION%20VIII\VIII.3\3_NATIONAL\4_AUFRUF\Aufruf_2017\1_Aufruf\finale_Unterlagen\2_Antragsformula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"/>
      <sheetName val="Navigation"/>
      <sheetName val="Hinweise"/>
      <sheetName val="Eingabe_1_bis_4"/>
      <sheetName val="Eingabe_5"/>
      <sheetName val="Eingabe_6"/>
      <sheetName val="Druck0"/>
      <sheetName val="Druck1"/>
      <sheetName val="Druck2"/>
      <sheetName val="sysHilfe"/>
      <sheetName val="sysAuswahl"/>
      <sheetName val="sysTextGen"/>
      <sheetName val="sysGUI"/>
      <sheetName val="Version"/>
      <sheetName val="Cockpit"/>
      <sheetName val="HT"/>
      <sheetName val="Datenquelle"/>
    </sheetNames>
    <sheetDataSet>
      <sheetData sheetId="0"/>
      <sheetData sheetId="1"/>
      <sheetData sheetId="2"/>
      <sheetData sheetId="3" refreshError="1">
        <row r="15">
          <cell r="F15" t="str">
            <v>EFF 2010</v>
          </cell>
        </row>
      </sheetData>
      <sheetData sheetId="4"/>
      <sheetData sheetId="5"/>
      <sheetData sheetId="6"/>
      <sheetData sheetId="7"/>
      <sheetData sheetId="8"/>
      <sheetData sheetId="9"/>
      <sheetData sheetId="10" refreshError="1">
        <row r="5">
          <cell r="A5" t="str">
            <v>JA</v>
          </cell>
          <cell r="C5" t="str">
            <v>JA</v>
          </cell>
          <cell r="D5">
            <v>1</v>
          </cell>
          <cell r="F5">
            <v>1</v>
          </cell>
          <cell r="G5" t="str">
            <v>JA</v>
          </cell>
        </row>
        <row r="6">
          <cell r="A6" t="str">
            <v>NEIN</v>
          </cell>
          <cell r="C6" t="str">
            <v>NEIN</v>
          </cell>
          <cell r="D6">
            <v>0</v>
          </cell>
          <cell r="F6">
            <v>0</v>
          </cell>
          <cell r="G6" t="str">
            <v>NEIN</v>
          </cell>
        </row>
        <row r="7">
          <cell r="C7">
            <v>0</v>
          </cell>
        </row>
        <row r="14">
          <cell r="A14" t="str">
            <v>Fortsetzungsprojekt</v>
          </cell>
        </row>
        <row r="15">
          <cell r="A15" t="str">
            <v>Erweiterung einer üblichen Aktivität</v>
          </cell>
        </row>
        <row r="16">
          <cell r="A16" t="str">
            <v>neue Aktivität/innovativer Charakter</v>
          </cell>
        </row>
        <row r="23">
          <cell r="A23" t="str">
            <v>Maßnahme zu 1.0: Psychologische und psychotherapeutische Betreuung</v>
          </cell>
          <cell r="C23" t="str">
            <v>Maßnahme zu 1.0: Psychologische und psychotherapeutische Betreuung</v>
          </cell>
          <cell r="D23" t="str">
            <v>M_EFF_1.1.1</v>
          </cell>
          <cell r="F23" t="str">
            <v>M_EFF_1.1.1</v>
          </cell>
          <cell r="G23" t="str">
            <v>Maßnahme zu 1.0: Psychologische und psychotherapeutische Betreuung</v>
          </cell>
        </row>
        <row r="24">
          <cell r="A24" t="str">
            <v>Maßnahme zu 1.0: Unterstützung zur Durchführung von Überstellungen nach der Dublinverordnung</v>
          </cell>
          <cell r="C24" t="str">
            <v>Maßnahme zu 1.0: Unterstützung zur Durchführung von Überstellungen nach der Dublinverordnung</v>
          </cell>
          <cell r="D24" t="str">
            <v>M_EFF_1.1.2</v>
          </cell>
          <cell r="F24" t="str">
            <v>M_EFF_1.1.2</v>
          </cell>
          <cell r="G24" t="str">
            <v>Maßnahme zu 1.0: Unterstützung zur Durchführung von Überstellungen nach der Dublinverordnung</v>
          </cell>
        </row>
        <row r="25">
          <cell r="A25" t="str">
            <v>Maßnahme zu 1.0: Information der ortsansässigen Bevölkerung</v>
          </cell>
          <cell r="C25" t="str">
            <v>Maßnahme zu 1.0: Information der ortsansässigen Bevölkerung</v>
          </cell>
          <cell r="D25" t="str">
            <v>M_EFF_1.1.3</v>
          </cell>
          <cell r="F25" t="str">
            <v>M_EFF_1.1.3</v>
          </cell>
          <cell r="G25" t="str">
            <v>Maßnahme zu 1.0: Information der ortsansässigen Bevölkerung</v>
          </cell>
        </row>
        <row r="26">
          <cell r="A26" t="str">
            <v>Maßnahme zu 1.0: Beratung im asylrechtlichen Verfahren</v>
          </cell>
          <cell r="C26" t="str">
            <v>Maßnahme zu 1.0: Beratung im asylrechtlichen Verfahren</v>
          </cell>
          <cell r="D26" t="str">
            <v>M_EFF_1.1.4</v>
          </cell>
          <cell r="F26" t="str">
            <v>M_EFF_1.1.4</v>
          </cell>
          <cell r="G26" t="str">
            <v>Maßnahme zu 1.0: Beratung im asylrechtlichen Verfahren</v>
          </cell>
        </row>
        <row r="27">
          <cell r="A27" t="str">
            <v>Maßnahme zu 1.0: Starthilfe zur Integration</v>
          </cell>
          <cell r="C27" t="str">
            <v>Maßnahme zu 1.0: Starthilfe zur Integration</v>
          </cell>
          <cell r="D27" t="str">
            <v>M_EFF_1.1.5</v>
          </cell>
          <cell r="F27" t="str">
            <v>M_EFF_1.1.5</v>
          </cell>
          <cell r="G27" t="str">
            <v>Maßnahme zu 1.0: Starthilfe zur Integration</v>
          </cell>
        </row>
        <row r="28">
          <cell r="A28" t="str">
            <v>Maßnahme zu 1.0: Ausbau der sprachlichen Kompetenz</v>
          </cell>
          <cell r="C28" t="str">
            <v>Maßnahme zu 1.0: Ausbau der sprachlichen Kompetenz</v>
          </cell>
          <cell r="D28" t="str">
            <v>M_EFF_1.1.6</v>
          </cell>
          <cell r="F28" t="str">
            <v>M_EFF_1.1.6</v>
          </cell>
          <cell r="G28" t="str">
            <v>Maßnahme zu 1.0: Ausbau der sprachlichen Kompetenz</v>
          </cell>
        </row>
        <row r="29">
          <cell r="A29" t="str">
            <v>Maßnahme zu 1.0: Arbeitsmarktintegration</v>
          </cell>
          <cell r="C29" t="str">
            <v>Maßnahme zu 1.0: Arbeitsmarktintegration</v>
          </cell>
          <cell r="D29" t="str">
            <v>M_EFF_1.1.7</v>
          </cell>
          <cell r="F29" t="str">
            <v>M_EFF_1.1.7</v>
          </cell>
          <cell r="G29" t="str">
            <v>Maßnahme zu 1.0: Arbeitsmarktintegration</v>
          </cell>
        </row>
        <row r="30">
          <cell r="A30" t="str">
            <v>Maßnahme zu 2.0: Qualitätssicherung und Strukturverbesserung der Asylverwaltung</v>
          </cell>
          <cell r="C30" t="str">
            <v>Maßnahme zu 2.0: Qualitätssicherung und Strukturverbesserung der Asylverwaltung</v>
          </cell>
          <cell r="D30" t="str">
            <v>M_EFF_2.1.1</v>
          </cell>
          <cell r="F30" t="str">
            <v>M_EFF_2.1.1</v>
          </cell>
          <cell r="G30" t="str">
            <v>Maßnahme zu 2.0: Qualitätssicherung und Strukturverbesserung der Asylverwaltung</v>
          </cell>
        </row>
        <row r="31">
          <cell r="A31" t="str">
            <v>Maßnahme zu 2.3: Länderdokumentation und Länderinformation zur Unterstützung im Asylverfahren</v>
          </cell>
          <cell r="C31" t="str">
            <v>Maßnahme zu 2.3: Länderdokumentation und Länderinformation zur Unterstützung im Asylverfahren</v>
          </cell>
          <cell r="D31" t="str">
            <v>M_EFF_2.4.1</v>
          </cell>
          <cell r="F31" t="str">
            <v>M_EFF_2.4.1</v>
          </cell>
          <cell r="G31" t="str">
            <v>Maßnahme zu 2.3: Länderdokumentation und Länderinformation zur Unterstützung im Asylverfahren</v>
          </cell>
        </row>
        <row r="32">
          <cell r="C32">
            <v>0</v>
          </cell>
        </row>
      </sheetData>
      <sheetData sheetId="11"/>
      <sheetData sheetId="12"/>
      <sheetData sheetId="13" refreshError="1">
        <row r="1">
          <cell r="B1" t="str">
            <v>Version EFF 1.04 (B 73), 03.03.2010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Angaben zum Förderungswerber"/>
      <sheetName val="Angaben zu Projektpartnern"/>
      <sheetName val="Angaben zum Projekt"/>
      <sheetName val="Stammdaten Indikatoren"/>
      <sheetName val="Indikatoren 1"/>
      <sheetName val="Indikatoren 2"/>
      <sheetName val="Indikatoren 3"/>
      <sheetName val="Indikatoren 4"/>
      <sheetName val="Indikatoren 5"/>
      <sheetName val="Indikatoren 6"/>
      <sheetName val="Indikatoren 7"/>
      <sheetName val="Indikatoren 8"/>
      <sheetName val="Indikatoren 9"/>
      <sheetName val="Indikatoren 10"/>
      <sheetName val="Indikatoren 11"/>
      <sheetName val="Indikatoren 12"/>
      <sheetName val="Indikatoren 13"/>
      <sheetName val="Indikatoren 14"/>
      <sheetName val="Indikatoren 15"/>
      <sheetName val="Indikatoren 16"/>
      <sheetName val="Indikatoren 17"/>
      <sheetName val="Indikatoren 18"/>
      <sheetName val="Indikatoren 19"/>
      <sheetName val="Indikatoren 20"/>
      <sheetName val="Indikatoren 21"/>
      <sheetName val="Indikatoren 22"/>
      <sheetName val="Indikatoren 23"/>
      <sheetName val="Indikatoren 24"/>
      <sheetName val="Indikatoren 25"/>
      <sheetName val="Indikatoren 26"/>
      <sheetName val="Indikatoren 27"/>
      <sheetName val="Indikator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79998168889431442"/>
  </sheetPr>
  <dimension ref="A1:BN567"/>
  <sheetViews>
    <sheetView showGridLines="0" tabSelected="1" zoomScaleNormal="100" workbookViewId="0">
      <selection activeCell="C6" sqref="C6"/>
    </sheetView>
  </sheetViews>
  <sheetFormatPr baseColWidth="10" defaultColWidth="11.42578125" defaultRowHeight="15" x14ac:dyDescent="0.25"/>
  <cols>
    <col min="1" max="2" width="3.7109375" style="4" customWidth="1"/>
    <col min="3" max="3" width="53.85546875" style="4" customWidth="1"/>
    <col min="4" max="4" width="10.85546875" style="12" customWidth="1"/>
    <col min="5" max="5" width="13.42578125" style="12" customWidth="1"/>
    <col min="6" max="6" width="16.7109375" style="15" customWidth="1"/>
    <col min="7" max="7" width="1.7109375" style="23" customWidth="1"/>
    <col min="8" max="8" width="15.7109375" style="15" customWidth="1"/>
    <col min="9" max="9" width="6.28515625" style="127" customWidth="1"/>
    <col min="10" max="10" width="1.5703125" style="23" customWidth="1"/>
    <col min="11" max="11" width="14.7109375" style="15" customWidth="1"/>
    <col min="12" max="12" width="6.5703125" style="127" customWidth="1"/>
    <col min="13" max="13" width="2.28515625" style="23" customWidth="1"/>
    <col min="14" max="14" width="13.5703125" style="15" customWidth="1"/>
    <col min="15" max="15" width="6.5703125" style="127" customWidth="1"/>
    <col min="16" max="16" width="1.42578125" style="23" customWidth="1"/>
    <col min="17" max="17" width="14.42578125" style="15" customWidth="1"/>
    <col min="18" max="18" width="6.5703125" style="127" customWidth="1"/>
    <col min="19" max="19" width="3.7109375" style="4" customWidth="1"/>
    <col min="20" max="20" width="1.5703125" style="68" customWidth="1"/>
    <col min="21" max="22" width="3.7109375" style="68" customWidth="1"/>
    <col min="23" max="43" width="11.42578125" style="68"/>
    <col min="44" max="16384" width="11.42578125" style="4"/>
  </cols>
  <sheetData>
    <row r="1" spans="2:43" x14ac:dyDescent="0.25">
      <c r="G1" s="15"/>
      <c r="J1" s="15"/>
      <c r="M1" s="15"/>
      <c r="P1" s="15"/>
    </row>
    <row r="2" spans="2:43" x14ac:dyDescent="0.25">
      <c r="B2" s="1"/>
      <c r="C2" s="2"/>
      <c r="D2" s="10"/>
      <c r="E2" s="10"/>
      <c r="F2" s="13"/>
      <c r="G2" s="13"/>
      <c r="H2" s="13"/>
      <c r="I2" s="128"/>
      <c r="J2" s="13"/>
      <c r="K2" s="13"/>
      <c r="L2" s="128"/>
      <c r="M2" s="13"/>
      <c r="N2" s="13"/>
      <c r="O2" s="128"/>
      <c r="P2" s="13"/>
      <c r="Q2" s="13"/>
      <c r="R2" s="128"/>
      <c r="S2" s="3"/>
    </row>
    <row r="3" spans="2:43" ht="36" customHeight="1" x14ac:dyDescent="0.25">
      <c r="B3" s="5"/>
      <c r="C3" s="257" t="s">
        <v>120</v>
      </c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9"/>
      <c r="S3" s="6" t="s">
        <v>29</v>
      </c>
      <c r="T3" s="68" t="s">
        <v>29</v>
      </c>
      <c r="U3" s="68" t="s">
        <v>29</v>
      </c>
    </row>
    <row r="4" spans="2:43" ht="13.15" customHeight="1" x14ac:dyDescent="0.25">
      <c r="B4" s="5"/>
      <c r="C4" s="95" t="s">
        <v>35</v>
      </c>
      <c r="D4" s="248" t="s">
        <v>142</v>
      </c>
      <c r="E4" s="249"/>
      <c r="F4" s="249"/>
      <c r="G4" s="249"/>
      <c r="H4" s="249"/>
      <c r="I4" s="249"/>
      <c r="J4" s="250"/>
      <c r="K4" s="240" t="s">
        <v>19</v>
      </c>
      <c r="L4" s="241"/>
      <c r="M4" s="191"/>
      <c r="N4" s="264">
        <v>0.11</v>
      </c>
      <c r="O4" s="264"/>
      <c r="P4" s="264"/>
      <c r="Q4" s="264"/>
      <c r="R4" s="265"/>
      <c r="S4" s="34" t="s">
        <v>10</v>
      </c>
      <c r="T4" s="68" t="s">
        <v>1</v>
      </c>
      <c r="U4" s="68" t="s">
        <v>19</v>
      </c>
    </row>
    <row r="5" spans="2:43" ht="13.15" customHeight="1" x14ac:dyDescent="0.25">
      <c r="B5" s="5"/>
      <c r="C5" s="187" t="s">
        <v>12</v>
      </c>
      <c r="D5" s="251" t="s">
        <v>143</v>
      </c>
      <c r="E5" s="252"/>
      <c r="F5" s="252"/>
      <c r="G5" s="252"/>
      <c r="H5" s="252"/>
      <c r="I5" s="252"/>
      <c r="J5" s="253"/>
      <c r="K5" s="240" t="s">
        <v>25</v>
      </c>
      <c r="L5" s="241"/>
      <c r="M5" s="191"/>
      <c r="N5" s="244">
        <v>0.11</v>
      </c>
      <c r="O5" s="244"/>
      <c r="P5" s="244"/>
      <c r="Q5" s="244"/>
      <c r="R5" s="245"/>
      <c r="S5" s="34" t="s">
        <v>9</v>
      </c>
      <c r="T5" s="68" t="s">
        <v>2</v>
      </c>
      <c r="U5" s="68" t="s">
        <v>25</v>
      </c>
    </row>
    <row r="6" spans="2:43" ht="13.15" customHeight="1" x14ac:dyDescent="0.25">
      <c r="B6" s="5"/>
      <c r="C6" s="187" t="s">
        <v>13</v>
      </c>
      <c r="D6" s="251"/>
      <c r="E6" s="252"/>
      <c r="F6" s="252"/>
      <c r="G6" s="252"/>
      <c r="H6" s="252"/>
      <c r="I6" s="252"/>
      <c r="J6" s="253"/>
      <c r="K6" s="240" t="s">
        <v>26</v>
      </c>
      <c r="L6" s="241"/>
      <c r="M6" s="191"/>
      <c r="N6" s="244">
        <v>0.11</v>
      </c>
      <c r="O6" s="244"/>
      <c r="P6" s="244"/>
      <c r="Q6" s="244"/>
      <c r="R6" s="245"/>
      <c r="S6" s="34" t="s">
        <v>8</v>
      </c>
      <c r="T6" s="68" t="s">
        <v>31</v>
      </c>
      <c r="U6" s="68" t="s">
        <v>26</v>
      </c>
    </row>
    <row r="7" spans="2:43" ht="13.15" customHeight="1" x14ac:dyDescent="0.25">
      <c r="B7" s="5"/>
      <c r="C7" s="187" t="s">
        <v>15</v>
      </c>
      <c r="D7" s="254" t="s">
        <v>10</v>
      </c>
      <c r="E7" s="255"/>
      <c r="F7" s="255"/>
      <c r="G7" s="255"/>
      <c r="H7" s="255"/>
      <c r="I7" s="255"/>
      <c r="J7" s="256"/>
      <c r="K7" s="240" t="s">
        <v>27</v>
      </c>
      <c r="L7" s="241"/>
      <c r="M7" s="191"/>
      <c r="N7" s="244">
        <v>0.11</v>
      </c>
      <c r="O7" s="244"/>
      <c r="P7" s="244"/>
      <c r="Q7" s="244"/>
      <c r="R7" s="245"/>
      <c r="S7" s="34" t="s">
        <v>7</v>
      </c>
      <c r="T7" s="68" t="s">
        <v>32</v>
      </c>
      <c r="U7" s="68" t="s">
        <v>27</v>
      </c>
    </row>
    <row r="8" spans="2:43" ht="13.15" customHeight="1" x14ac:dyDescent="0.25">
      <c r="B8" s="5"/>
      <c r="C8" s="187" t="s">
        <v>16</v>
      </c>
      <c r="D8" s="254" t="s">
        <v>31</v>
      </c>
      <c r="E8" s="255"/>
      <c r="F8" s="255"/>
      <c r="G8" s="255"/>
      <c r="H8" s="255"/>
      <c r="I8" s="255"/>
      <c r="J8" s="256"/>
      <c r="K8" s="240" t="s">
        <v>24</v>
      </c>
      <c r="L8" s="241"/>
      <c r="M8" s="191"/>
      <c r="N8" s="244">
        <v>0.11</v>
      </c>
      <c r="O8" s="244"/>
      <c r="P8" s="244"/>
      <c r="Q8" s="244"/>
      <c r="R8" s="245"/>
      <c r="S8" s="34" t="s">
        <v>6</v>
      </c>
      <c r="T8" s="68" t="s">
        <v>3</v>
      </c>
      <c r="U8" s="68" t="s">
        <v>24</v>
      </c>
    </row>
    <row r="9" spans="2:43" ht="13.15" customHeight="1" x14ac:dyDescent="0.25">
      <c r="B9" s="5"/>
      <c r="C9" s="187" t="s">
        <v>33</v>
      </c>
      <c r="D9" s="254" t="s">
        <v>20</v>
      </c>
      <c r="E9" s="255"/>
      <c r="F9" s="255"/>
      <c r="G9" s="255"/>
      <c r="H9" s="255"/>
      <c r="I9" s="255"/>
      <c r="J9" s="256"/>
      <c r="K9" s="240" t="s">
        <v>23</v>
      </c>
      <c r="L9" s="241"/>
      <c r="M9" s="191"/>
      <c r="N9" s="244">
        <v>0.11</v>
      </c>
      <c r="O9" s="244"/>
      <c r="P9" s="244"/>
      <c r="Q9" s="244"/>
      <c r="R9" s="245"/>
      <c r="S9" s="34" t="s">
        <v>5</v>
      </c>
      <c r="T9" s="68" t="s">
        <v>5</v>
      </c>
      <c r="U9" s="68" t="s">
        <v>23</v>
      </c>
    </row>
    <row r="10" spans="2:43" x14ac:dyDescent="0.25">
      <c r="B10" s="5"/>
      <c r="C10" s="187" t="s">
        <v>34</v>
      </c>
      <c r="D10" s="254"/>
      <c r="E10" s="255"/>
      <c r="F10" s="255"/>
      <c r="G10" s="255"/>
      <c r="H10" s="255"/>
      <c r="I10" s="255"/>
      <c r="J10" s="256"/>
      <c r="K10" s="240" t="s">
        <v>22</v>
      </c>
      <c r="L10" s="241"/>
      <c r="M10" s="191"/>
      <c r="N10" s="244">
        <v>0.11</v>
      </c>
      <c r="O10" s="244"/>
      <c r="P10" s="244"/>
      <c r="Q10" s="244"/>
      <c r="R10" s="245"/>
      <c r="S10" s="34" t="s">
        <v>4</v>
      </c>
      <c r="T10" s="68" t="s">
        <v>28</v>
      </c>
      <c r="U10" s="68" t="s">
        <v>22</v>
      </c>
    </row>
    <row r="11" spans="2:43" s="21" customFormat="1" ht="13.15" customHeight="1" x14ac:dyDescent="0.25">
      <c r="B11" s="19"/>
      <c r="C11" s="187" t="s">
        <v>17</v>
      </c>
      <c r="D11" s="194">
        <v>44562</v>
      </c>
      <c r="E11" s="195"/>
      <c r="F11" s="195"/>
      <c r="G11" s="195"/>
      <c r="H11" s="195"/>
      <c r="I11" s="195"/>
      <c r="J11" s="196"/>
      <c r="K11" s="240" t="s">
        <v>21</v>
      </c>
      <c r="L11" s="241"/>
      <c r="M11" s="191"/>
      <c r="N11" s="244">
        <v>0.11</v>
      </c>
      <c r="O11" s="244"/>
      <c r="P11" s="244"/>
      <c r="Q11" s="244"/>
      <c r="R11" s="245"/>
      <c r="S11" s="20"/>
      <c r="T11" s="68" t="s">
        <v>28</v>
      </c>
      <c r="U11" s="68" t="s">
        <v>21</v>
      </c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</row>
    <row r="12" spans="2:43" x14ac:dyDescent="0.25">
      <c r="B12" s="5"/>
      <c r="C12" s="100" t="s">
        <v>18</v>
      </c>
      <c r="D12" s="194">
        <v>45291</v>
      </c>
      <c r="E12" s="195"/>
      <c r="F12" s="195"/>
      <c r="G12" s="195"/>
      <c r="H12" s="195"/>
      <c r="I12" s="195"/>
      <c r="J12" s="196"/>
      <c r="K12" s="240" t="s">
        <v>20</v>
      </c>
      <c r="L12" s="241"/>
      <c r="M12" s="191"/>
      <c r="N12" s="244">
        <v>0.12</v>
      </c>
      <c r="O12" s="244"/>
      <c r="P12" s="244"/>
      <c r="Q12" s="244"/>
      <c r="R12" s="245"/>
      <c r="S12" s="56"/>
      <c r="T12" s="101"/>
      <c r="U12" s="68" t="s">
        <v>20</v>
      </c>
    </row>
    <row r="13" spans="2:43" x14ac:dyDescent="0.25">
      <c r="B13" s="5"/>
      <c r="C13" s="95" t="s">
        <v>72</v>
      </c>
      <c r="D13" s="242">
        <f>IF(IF(OR(D11="",D12=""),"",(D12-D11)/30)="","befüllt sich automatisch",IF(OR(D11="",D12=""),"",(D12-D11)/30))</f>
        <v>24.3</v>
      </c>
      <c r="E13" s="243"/>
      <c r="F13" s="243"/>
      <c r="G13" s="243"/>
      <c r="H13" s="243"/>
      <c r="I13" s="243"/>
      <c r="J13" s="160"/>
      <c r="K13" s="156"/>
      <c r="L13" s="156"/>
      <c r="M13" s="156"/>
      <c r="N13" s="156"/>
      <c r="O13" s="156"/>
      <c r="P13" s="156"/>
      <c r="Q13" s="156"/>
      <c r="R13" s="157"/>
      <c r="S13" s="56"/>
      <c r="T13" s="101"/>
    </row>
    <row r="14" spans="2:43" s="21" customFormat="1" x14ac:dyDescent="0.25">
      <c r="B14" s="57"/>
      <c r="C14" s="58"/>
      <c r="D14" s="58"/>
      <c r="E14" s="58"/>
      <c r="F14" s="58"/>
      <c r="G14" s="58"/>
      <c r="H14" s="139" t="s">
        <v>36</v>
      </c>
      <c r="I14" s="140">
        <f>'1. ZWB '!D7</f>
        <v>0.24691358024691357</v>
      </c>
      <c r="J14" s="129"/>
      <c r="K14" s="139" t="s">
        <v>36</v>
      </c>
      <c r="L14" s="159">
        <f>'2. ZWB '!D7</f>
        <v>0.49931412894375854</v>
      </c>
      <c r="M14" s="139"/>
      <c r="N14" s="140" t="s">
        <v>36</v>
      </c>
      <c r="O14" s="161">
        <f>'3. ZWB '!D7</f>
        <v>0.74759945130315508</v>
      </c>
      <c r="P14" s="140"/>
      <c r="Q14" s="139" t="s">
        <v>36</v>
      </c>
      <c r="R14" s="140">
        <f>'EB '!D7</f>
        <v>1</v>
      </c>
      <c r="S14" s="58"/>
      <c r="T14" s="101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</row>
    <row r="15" spans="2:43" s="18" customFormat="1" ht="30" x14ac:dyDescent="0.25">
      <c r="B15" s="16"/>
      <c r="C15" s="188" t="s">
        <v>42</v>
      </c>
      <c r="D15" s="93" t="s">
        <v>86</v>
      </c>
      <c r="E15" s="260"/>
      <c r="F15" s="261"/>
      <c r="G15" s="33"/>
      <c r="H15" s="188" t="s">
        <v>112</v>
      </c>
      <c r="I15" s="133" t="s">
        <v>11</v>
      </c>
      <c r="J15" s="147"/>
      <c r="K15" s="188" t="s">
        <v>113</v>
      </c>
      <c r="L15" s="133" t="s">
        <v>11</v>
      </c>
      <c r="M15" s="147"/>
      <c r="N15" s="188" t="s">
        <v>114</v>
      </c>
      <c r="O15" s="133" t="s">
        <v>11</v>
      </c>
      <c r="P15" s="147"/>
      <c r="Q15" s="188" t="s">
        <v>115</v>
      </c>
      <c r="R15" s="134" t="s">
        <v>11</v>
      </c>
      <c r="S15" s="70"/>
      <c r="T15" s="101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</row>
    <row r="16" spans="2:43" s="63" customFormat="1" x14ac:dyDescent="0.25">
      <c r="B16" s="60"/>
      <c r="C16" s="94" t="s">
        <v>121</v>
      </c>
      <c r="D16" s="172">
        <v>941</v>
      </c>
      <c r="E16" s="246"/>
      <c r="F16" s="247"/>
      <c r="G16" s="25"/>
      <c r="H16" s="154">
        <f>'1. ZWB '!H10</f>
        <v>702</v>
      </c>
      <c r="I16" s="130">
        <f>'1. ZWB '!I10</f>
        <v>0.74601487778958553</v>
      </c>
      <c r="J16" s="25"/>
      <c r="K16" s="154">
        <f>'2. ZWB '!H10</f>
        <v>899</v>
      </c>
      <c r="L16" s="130">
        <f>'2. ZWB '!I10</f>
        <v>0.95536663124335808</v>
      </c>
      <c r="M16" s="25"/>
      <c r="N16" s="154">
        <f>'3. ZWB '!H10</f>
        <v>905</v>
      </c>
      <c r="O16" s="130">
        <f>'3. ZWB '!I10</f>
        <v>0.96174282678002121</v>
      </c>
      <c r="P16" s="147">
        <f>IF(O16=0,0,O16/D16)</f>
        <v>1.022043386588758E-3</v>
      </c>
      <c r="Q16" s="154">
        <f>'EB '!H10</f>
        <v>1167</v>
      </c>
      <c r="R16" s="130">
        <f>'EB '!I10</f>
        <v>1.2401700318809776</v>
      </c>
      <c r="S16" s="61"/>
      <c r="T16" s="69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</row>
    <row r="17" spans="2:43" s="18" customFormat="1" ht="24.4" customHeight="1" x14ac:dyDescent="0.25">
      <c r="B17" s="16"/>
      <c r="C17" s="8" t="s">
        <v>87</v>
      </c>
      <c r="D17" s="93" t="s">
        <v>86</v>
      </c>
      <c r="E17" s="216" t="s">
        <v>91</v>
      </c>
      <c r="F17" s="217"/>
      <c r="G17" s="33"/>
      <c r="H17" s="103"/>
      <c r="I17" s="135"/>
      <c r="J17" s="147"/>
      <c r="K17" s="103"/>
      <c r="L17" s="133"/>
      <c r="M17" s="147"/>
      <c r="N17" s="103"/>
      <c r="O17" s="133"/>
      <c r="P17" s="147"/>
      <c r="Q17" s="103"/>
      <c r="R17" s="134"/>
      <c r="S17" s="17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</row>
    <row r="18" spans="2:43" s="62" customFormat="1" x14ac:dyDescent="0.25">
      <c r="B18" s="64"/>
      <c r="C18" s="95" t="s">
        <v>67</v>
      </c>
      <c r="D18" s="172">
        <v>96</v>
      </c>
      <c r="E18" s="218" t="s">
        <v>129</v>
      </c>
      <c r="F18" s="219"/>
      <c r="G18" s="144"/>
      <c r="H18" s="154">
        <f>'1. ZWB '!H12</f>
        <v>24</v>
      </c>
      <c r="I18" s="130">
        <f>'1. ZWB '!I12</f>
        <v>0.25</v>
      </c>
      <c r="J18" s="25"/>
      <c r="K18" s="158">
        <f>'2. ZWB '!H12</f>
        <v>61</v>
      </c>
      <c r="L18" s="130">
        <f>'2. ZWB '!I12</f>
        <v>0.63541666666666663</v>
      </c>
      <c r="M18" s="25"/>
      <c r="N18" s="154">
        <f>'3. ZWB '!H12</f>
        <v>93</v>
      </c>
      <c r="O18" s="130">
        <f>'3. ZWB '!I12</f>
        <v>0.96875</v>
      </c>
      <c r="P18" s="25"/>
      <c r="Q18" s="154">
        <f>'EB '!H12</f>
        <v>112</v>
      </c>
      <c r="R18" s="130">
        <f>'EB '!I12</f>
        <v>1.1666666666666667</v>
      </c>
      <c r="S18" s="65"/>
      <c r="T18" s="69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</row>
    <row r="19" spans="2:43" x14ac:dyDescent="0.25">
      <c r="B19" s="5"/>
      <c r="C19" s="96" t="s">
        <v>122</v>
      </c>
      <c r="D19" s="172"/>
      <c r="E19" s="220"/>
      <c r="F19" s="221"/>
      <c r="G19" s="145"/>
      <c r="H19" s="154">
        <f>'1. ZWB '!H13</f>
        <v>0</v>
      </c>
      <c r="I19" s="130">
        <f>'1. ZWB '!I13</f>
        <v>0</v>
      </c>
      <c r="J19" s="146"/>
      <c r="K19" s="158">
        <f>'2. ZWB '!H13</f>
        <v>0</v>
      </c>
      <c r="L19" s="130">
        <f>'2. ZWB '!I13</f>
        <v>0</v>
      </c>
      <c r="M19" s="146"/>
      <c r="N19" s="154">
        <f>'3. ZWB '!H13</f>
        <v>0</v>
      </c>
      <c r="O19" s="130">
        <f>'3. ZWB '!I13</f>
        <v>0</v>
      </c>
      <c r="P19" s="146"/>
      <c r="Q19" s="154">
        <f>'EB '!H13</f>
        <v>0</v>
      </c>
      <c r="R19" s="130">
        <f>'EB '!I13</f>
        <v>0</v>
      </c>
      <c r="S19" s="7"/>
    </row>
    <row r="20" spans="2:43" s="62" customFormat="1" x14ac:dyDescent="0.25">
      <c r="B20" s="64"/>
      <c r="C20" s="95" t="s">
        <v>68</v>
      </c>
      <c r="D20" s="172">
        <v>96</v>
      </c>
      <c r="E20" s="218" t="s">
        <v>130</v>
      </c>
      <c r="F20" s="219"/>
      <c r="G20" s="144"/>
      <c r="H20" s="154">
        <f>'1. ZWB '!H14</f>
        <v>24</v>
      </c>
      <c r="I20" s="130">
        <f>'1. ZWB '!I14</f>
        <v>0.25</v>
      </c>
      <c r="J20" s="25"/>
      <c r="K20" s="158">
        <f>'2. ZWB '!H14</f>
        <v>48</v>
      </c>
      <c r="L20" s="130">
        <f>'2. ZWB '!I14</f>
        <v>0.5</v>
      </c>
      <c r="M20" s="25"/>
      <c r="N20" s="154">
        <f>'3. ZWB '!H14</f>
        <v>72</v>
      </c>
      <c r="O20" s="130">
        <f>'3. ZWB '!I14</f>
        <v>0.75</v>
      </c>
      <c r="P20" s="25"/>
      <c r="Q20" s="154">
        <f>'EB '!H14</f>
        <v>96</v>
      </c>
      <c r="R20" s="130">
        <f>'EB '!I14</f>
        <v>1</v>
      </c>
      <c r="S20" s="65"/>
      <c r="T20" s="69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</row>
    <row r="21" spans="2:43" x14ac:dyDescent="0.25">
      <c r="B21" s="5"/>
      <c r="C21" s="97" t="s">
        <v>65</v>
      </c>
      <c r="D21" s="172"/>
      <c r="E21" s="262"/>
      <c r="F21" s="263"/>
      <c r="G21" s="145"/>
      <c r="H21" s="154">
        <f>'1. ZWB '!H15</f>
        <v>0</v>
      </c>
      <c r="I21" s="130">
        <f>'1. ZWB '!I15</f>
        <v>0</v>
      </c>
      <c r="J21" s="146"/>
      <c r="K21" s="158">
        <f>'2. ZWB '!H15</f>
        <v>0</v>
      </c>
      <c r="L21" s="130">
        <f>'2. ZWB '!I15</f>
        <v>0</v>
      </c>
      <c r="M21" s="146"/>
      <c r="N21" s="154">
        <f>'3. ZWB '!H15</f>
        <v>0</v>
      </c>
      <c r="O21" s="130">
        <f>'3. ZWB '!I15</f>
        <v>0</v>
      </c>
      <c r="P21" s="146"/>
      <c r="Q21" s="154">
        <f>'EB '!H15</f>
        <v>0</v>
      </c>
      <c r="R21" s="130">
        <f>'EB '!I15</f>
        <v>0</v>
      </c>
      <c r="S21" s="7"/>
    </row>
    <row r="22" spans="2:43" ht="30" x14ac:dyDescent="0.25">
      <c r="B22" s="5"/>
      <c r="C22" s="97" t="s">
        <v>66</v>
      </c>
      <c r="D22" s="172"/>
      <c r="E22" s="262"/>
      <c r="F22" s="263"/>
      <c r="G22" s="145"/>
      <c r="H22" s="154">
        <f>'1. ZWB '!H16</f>
        <v>0</v>
      </c>
      <c r="I22" s="130">
        <f>'1. ZWB '!I16</f>
        <v>0</v>
      </c>
      <c r="J22" s="146"/>
      <c r="K22" s="158">
        <f>'2. ZWB '!H16</f>
        <v>0</v>
      </c>
      <c r="L22" s="130">
        <f>'2. ZWB '!I16</f>
        <v>0</v>
      </c>
      <c r="M22" s="146"/>
      <c r="N22" s="154">
        <f>'3. ZWB '!H16</f>
        <v>0</v>
      </c>
      <c r="O22" s="130">
        <f>'3. ZWB '!I16</f>
        <v>0</v>
      </c>
      <c r="P22" s="146"/>
      <c r="Q22" s="154">
        <f>'EB '!H16</f>
        <v>0</v>
      </c>
      <c r="R22" s="130">
        <f>'EB '!I16</f>
        <v>0</v>
      </c>
      <c r="S22" s="7"/>
    </row>
    <row r="23" spans="2:43" x14ac:dyDescent="0.25">
      <c r="B23" s="5"/>
      <c r="C23" s="97" t="s">
        <v>70</v>
      </c>
      <c r="D23" s="172"/>
      <c r="E23" s="220"/>
      <c r="F23" s="221"/>
      <c r="G23" s="145"/>
      <c r="H23" s="154">
        <f>'1. ZWB '!H17</f>
        <v>0</v>
      </c>
      <c r="I23" s="130">
        <f>'1. ZWB '!I17</f>
        <v>0</v>
      </c>
      <c r="J23" s="146"/>
      <c r="K23" s="158">
        <f>'2. ZWB '!H17</f>
        <v>0</v>
      </c>
      <c r="L23" s="130">
        <f>'2. ZWB '!I17</f>
        <v>0</v>
      </c>
      <c r="M23" s="146"/>
      <c r="N23" s="154">
        <f>'3. ZWB '!H17</f>
        <v>0</v>
      </c>
      <c r="O23" s="130">
        <f>'3. ZWB '!I17</f>
        <v>0</v>
      </c>
      <c r="P23" s="146"/>
      <c r="Q23" s="154">
        <f>'EB '!H17</f>
        <v>0</v>
      </c>
      <c r="R23" s="130">
        <f>'EB '!I17</f>
        <v>0</v>
      </c>
      <c r="S23" s="7"/>
    </row>
    <row r="24" spans="2:43" ht="25.5" x14ac:dyDescent="0.25">
      <c r="B24" s="5"/>
      <c r="C24" s="8" t="s">
        <v>55</v>
      </c>
      <c r="D24" s="93" t="s">
        <v>86</v>
      </c>
      <c r="E24" s="216" t="s">
        <v>91</v>
      </c>
      <c r="F24" s="217"/>
      <c r="G24" s="24"/>
      <c r="H24" s="104" t="s">
        <v>37</v>
      </c>
      <c r="I24" s="136" t="s">
        <v>11</v>
      </c>
      <c r="J24" s="26"/>
      <c r="K24" s="104" t="s">
        <v>37</v>
      </c>
      <c r="L24" s="136" t="s">
        <v>11</v>
      </c>
      <c r="M24" s="26"/>
      <c r="N24" s="105" t="s">
        <v>37</v>
      </c>
      <c r="O24" s="136" t="s">
        <v>11</v>
      </c>
      <c r="P24" s="26"/>
      <c r="Q24" s="105" t="s">
        <v>37</v>
      </c>
      <c r="R24" s="137" t="s">
        <v>11</v>
      </c>
      <c r="S24" s="7"/>
    </row>
    <row r="25" spans="2:43" s="62" customFormat="1" x14ac:dyDescent="0.25">
      <c r="B25" s="64"/>
      <c r="C25" s="95" t="s">
        <v>83</v>
      </c>
      <c r="D25" s="172"/>
      <c r="E25" s="228"/>
      <c r="F25" s="229"/>
      <c r="G25" s="144"/>
      <c r="H25" s="154">
        <f>'1. ZWB '!H19</f>
        <v>0</v>
      </c>
      <c r="I25" s="130">
        <f>'1. ZWB '!I19</f>
        <v>0</v>
      </c>
      <c r="J25" s="25"/>
      <c r="K25" s="154">
        <f>'2. ZWB '!H19</f>
        <v>0</v>
      </c>
      <c r="L25" s="130">
        <f>'2. ZWB '!I19</f>
        <v>0</v>
      </c>
      <c r="M25" s="25"/>
      <c r="N25" s="154">
        <f>'3. ZWB '!H19</f>
        <v>0</v>
      </c>
      <c r="O25" s="130">
        <f>'3. ZWB '!I19</f>
        <v>0</v>
      </c>
      <c r="P25" s="25"/>
      <c r="Q25" s="154">
        <f>'EB '!H19</f>
        <v>0</v>
      </c>
      <c r="R25" s="130">
        <f>'EB '!I19</f>
        <v>0</v>
      </c>
      <c r="S25" s="65"/>
      <c r="T25" s="69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</row>
    <row r="26" spans="2:43" ht="30" x14ac:dyDescent="0.25">
      <c r="B26" s="5"/>
      <c r="C26" s="96" t="s">
        <v>57</v>
      </c>
      <c r="D26" s="172"/>
      <c r="E26" s="230"/>
      <c r="F26" s="231"/>
      <c r="G26" s="144"/>
      <c r="H26" s="154">
        <f>'1. ZWB '!H20</f>
        <v>0</v>
      </c>
      <c r="I26" s="130">
        <f>'1. ZWB '!I20</f>
        <v>0</v>
      </c>
      <c r="J26" s="146"/>
      <c r="K26" s="154">
        <f>'2. ZWB '!H20</f>
        <v>0</v>
      </c>
      <c r="L26" s="130">
        <f>'2. ZWB '!I20</f>
        <v>0</v>
      </c>
      <c r="M26" s="146"/>
      <c r="N26" s="154">
        <f>'3. ZWB '!H20</f>
        <v>0</v>
      </c>
      <c r="O26" s="130">
        <f>'3. ZWB '!I20</f>
        <v>0</v>
      </c>
      <c r="P26" s="146"/>
      <c r="Q26" s="154">
        <f>'EB '!H20</f>
        <v>0</v>
      </c>
      <c r="R26" s="130">
        <f>'EB '!I20</f>
        <v>0</v>
      </c>
      <c r="S26" s="7"/>
    </row>
    <row r="27" spans="2:43" ht="30" x14ac:dyDescent="0.25">
      <c r="B27" s="5"/>
      <c r="C27" s="97" t="s">
        <v>71</v>
      </c>
      <c r="D27" s="172"/>
      <c r="E27" s="230"/>
      <c r="F27" s="231"/>
      <c r="G27" s="144"/>
      <c r="H27" s="154">
        <f>'1. ZWB '!H21</f>
        <v>0</v>
      </c>
      <c r="I27" s="130">
        <f>'1. ZWB '!I21</f>
        <v>0</v>
      </c>
      <c r="J27" s="146"/>
      <c r="K27" s="154">
        <f>'2. ZWB '!H21</f>
        <v>0</v>
      </c>
      <c r="L27" s="130">
        <f>'2. ZWB '!I21</f>
        <v>0</v>
      </c>
      <c r="M27" s="146"/>
      <c r="N27" s="154">
        <f>'3. ZWB '!H21</f>
        <v>0</v>
      </c>
      <c r="O27" s="130">
        <f>'3. ZWB '!I21</f>
        <v>0</v>
      </c>
      <c r="P27" s="146"/>
      <c r="Q27" s="154">
        <f>'EB '!H21</f>
        <v>0</v>
      </c>
      <c r="R27" s="130">
        <f>'EB '!I21</f>
        <v>0</v>
      </c>
      <c r="S27" s="7"/>
    </row>
    <row r="28" spans="2:43" s="62" customFormat="1" ht="30" x14ac:dyDescent="0.25">
      <c r="B28" s="64"/>
      <c r="C28" s="95" t="s">
        <v>124</v>
      </c>
      <c r="D28" s="172"/>
      <c r="E28" s="230"/>
      <c r="F28" s="231"/>
      <c r="G28" s="144"/>
      <c r="H28" s="154">
        <f>'1. ZWB '!H22</f>
        <v>0</v>
      </c>
      <c r="I28" s="130">
        <f>'1. ZWB '!I22</f>
        <v>0</v>
      </c>
      <c r="J28" s="27"/>
      <c r="K28" s="154">
        <f>'2. ZWB '!H22</f>
        <v>0</v>
      </c>
      <c r="L28" s="130">
        <f>'2. ZWB '!I22</f>
        <v>0</v>
      </c>
      <c r="M28" s="27"/>
      <c r="N28" s="154">
        <f>'3. ZWB '!H22</f>
        <v>0</v>
      </c>
      <c r="O28" s="130">
        <f>'3. ZWB '!I22</f>
        <v>0</v>
      </c>
      <c r="P28" s="27"/>
      <c r="Q28" s="154">
        <f>'EB '!H22</f>
        <v>0</v>
      </c>
      <c r="R28" s="130">
        <f>'EB '!I22</f>
        <v>0</v>
      </c>
      <c r="S28" s="65"/>
      <c r="T28" s="69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</row>
    <row r="29" spans="2:43" ht="30" x14ac:dyDescent="0.25">
      <c r="B29" s="5"/>
      <c r="C29" s="97" t="s">
        <v>58</v>
      </c>
      <c r="D29" s="172"/>
      <c r="E29" s="230"/>
      <c r="F29" s="231"/>
      <c r="G29" s="144"/>
      <c r="H29" s="154">
        <f>'1. ZWB '!H23</f>
        <v>0</v>
      </c>
      <c r="I29" s="130">
        <f>'1. ZWB '!I23</f>
        <v>0</v>
      </c>
      <c r="J29" s="27"/>
      <c r="K29" s="154">
        <f>'2. ZWB '!H23</f>
        <v>0</v>
      </c>
      <c r="L29" s="130">
        <f>'2. ZWB '!I23</f>
        <v>0</v>
      </c>
      <c r="M29" s="27"/>
      <c r="N29" s="154">
        <f>'3. ZWB '!H23</f>
        <v>0</v>
      </c>
      <c r="O29" s="130">
        <f>'3. ZWB '!I23</f>
        <v>0</v>
      </c>
      <c r="P29" s="27"/>
      <c r="Q29" s="154">
        <f>'EB '!H23</f>
        <v>0</v>
      </c>
      <c r="R29" s="130">
        <f>'EB '!I23</f>
        <v>0</v>
      </c>
      <c r="S29" s="7"/>
    </row>
    <row r="30" spans="2:43" x14ac:dyDescent="0.25">
      <c r="B30" s="5"/>
      <c r="C30" s="97" t="s">
        <v>56</v>
      </c>
      <c r="D30" s="172"/>
      <c r="E30" s="232"/>
      <c r="F30" s="233"/>
      <c r="G30" s="144"/>
      <c r="H30" s="154">
        <f>'1. ZWB '!H24</f>
        <v>0</v>
      </c>
      <c r="I30" s="130">
        <f>'1. ZWB '!I24</f>
        <v>0</v>
      </c>
      <c r="J30" s="27"/>
      <c r="K30" s="154">
        <f>'2. ZWB '!H24</f>
        <v>0</v>
      </c>
      <c r="L30" s="130">
        <f>'2. ZWB '!I24</f>
        <v>0</v>
      </c>
      <c r="M30" s="27"/>
      <c r="N30" s="154">
        <f>'3. ZWB '!H24</f>
        <v>0</v>
      </c>
      <c r="O30" s="130">
        <f>'3. ZWB '!I24</f>
        <v>0</v>
      </c>
      <c r="P30" s="27"/>
      <c r="Q30" s="154">
        <f>'EB '!H24</f>
        <v>0</v>
      </c>
      <c r="R30" s="130">
        <f>'EB '!I24</f>
        <v>0</v>
      </c>
      <c r="S30" s="7"/>
    </row>
    <row r="31" spans="2:43" s="62" customFormat="1" x14ac:dyDescent="0.25">
      <c r="B31" s="64"/>
      <c r="C31" s="95" t="s">
        <v>59</v>
      </c>
      <c r="D31" s="172"/>
      <c r="E31" s="234"/>
      <c r="F31" s="235"/>
      <c r="G31" s="144"/>
      <c r="H31" s="154">
        <f>'1. ZWB '!H25</f>
        <v>0</v>
      </c>
      <c r="I31" s="130">
        <f>'1. ZWB '!I25</f>
        <v>0</v>
      </c>
      <c r="J31" s="27"/>
      <c r="K31" s="154">
        <f>'2. ZWB '!H25</f>
        <v>0</v>
      </c>
      <c r="L31" s="130">
        <f>'2. ZWB '!I25</f>
        <v>0</v>
      </c>
      <c r="M31" s="27"/>
      <c r="N31" s="154">
        <f>'3. ZWB '!H25</f>
        <v>0</v>
      </c>
      <c r="O31" s="130">
        <f>'3. ZWB '!I25</f>
        <v>0</v>
      </c>
      <c r="P31" s="27"/>
      <c r="Q31" s="154">
        <f>'EB '!H25</f>
        <v>0</v>
      </c>
      <c r="R31" s="130">
        <f>'EB '!I25</f>
        <v>0</v>
      </c>
      <c r="S31" s="65"/>
      <c r="T31" s="69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</row>
    <row r="32" spans="2:43" x14ac:dyDescent="0.25">
      <c r="B32" s="5"/>
      <c r="C32" s="96" t="s">
        <v>61</v>
      </c>
      <c r="D32" s="172"/>
      <c r="E32" s="236"/>
      <c r="F32" s="237"/>
      <c r="G32" s="144"/>
      <c r="H32" s="154">
        <f>'1. ZWB '!H26</f>
        <v>0</v>
      </c>
      <c r="I32" s="130">
        <f>'1. ZWB '!I26</f>
        <v>0</v>
      </c>
      <c r="J32" s="27"/>
      <c r="K32" s="154">
        <f>'2. ZWB '!H26</f>
        <v>0</v>
      </c>
      <c r="L32" s="130">
        <f>'2. ZWB '!I26</f>
        <v>0</v>
      </c>
      <c r="M32" s="27"/>
      <c r="N32" s="154">
        <f>'3. ZWB '!H26</f>
        <v>0</v>
      </c>
      <c r="O32" s="130">
        <f>'3. ZWB '!I26</f>
        <v>0</v>
      </c>
      <c r="P32" s="27"/>
      <c r="Q32" s="154">
        <f>'EB '!H26</f>
        <v>0</v>
      </c>
      <c r="R32" s="130">
        <f>'EB '!I26</f>
        <v>0</v>
      </c>
      <c r="S32" s="7"/>
    </row>
    <row r="33" spans="2:19" x14ac:dyDescent="0.25">
      <c r="B33" s="5"/>
      <c r="C33" s="96" t="s">
        <v>60</v>
      </c>
      <c r="D33" s="172"/>
      <c r="E33" s="236"/>
      <c r="F33" s="237"/>
      <c r="G33" s="144"/>
      <c r="H33" s="154">
        <f>'1. ZWB '!H27</f>
        <v>0</v>
      </c>
      <c r="I33" s="130">
        <f>'1. ZWB '!I27</f>
        <v>0</v>
      </c>
      <c r="J33" s="28"/>
      <c r="K33" s="154">
        <f>'2. ZWB '!H27</f>
        <v>0</v>
      </c>
      <c r="L33" s="130">
        <f>'2. ZWB '!I27</f>
        <v>0</v>
      </c>
      <c r="M33" s="28"/>
      <c r="N33" s="154">
        <f>'3. ZWB '!H27</f>
        <v>0</v>
      </c>
      <c r="O33" s="130">
        <f>'3. ZWB '!I27</f>
        <v>0</v>
      </c>
      <c r="P33" s="28"/>
      <c r="Q33" s="154">
        <f>'EB '!H27</f>
        <v>0</v>
      </c>
      <c r="R33" s="130">
        <f>'EB '!I27</f>
        <v>0</v>
      </c>
      <c r="S33" s="7"/>
    </row>
    <row r="34" spans="2:19" x14ac:dyDescent="0.25">
      <c r="B34" s="5"/>
      <c r="C34" s="190" t="s">
        <v>14</v>
      </c>
      <c r="D34" s="172"/>
      <c r="E34" s="236"/>
      <c r="F34" s="237"/>
      <c r="G34" s="144"/>
      <c r="H34" s="154">
        <f>'1. ZWB '!H28</f>
        <v>0</v>
      </c>
      <c r="I34" s="130">
        <f>'1. ZWB '!I28</f>
        <v>0</v>
      </c>
      <c r="J34" s="27"/>
      <c r="K34" s="154">
        <f>'2. ZWB '!H28</f>
        <v>0</v>
      </c>
      <c r="L34" s="130">
        <f>'2. ZWB '!I28</f>
        <v>0</v>
      </c>
      <c r="M34" s="27"/>
      <c r="N34" s="154">
        <f>'3. ZWB '!H28</f>
        <v>0</v>
      </c>
      <c r="O34" s="130">
        <f>'3. ZWB '!I28</f>
        <v>0</v>
      </c>
      <c r="P34" s="27"/>
      <c r="Q34" s="154">
        <f>'EB '!H28</f>
        <v>0</v>
      </c>
      <c r="R34" s="130">
        <f>'EB '!I28</f>
        <v>0</v>
      </c>
      <c r="S34" s="7"/>
    </row>
    <row r="35" spans="2:19" x14ac:dyDescent="0.25">
      <c r="B35" s="5"/>
      <c r="C35" s="97" t="s">
        <v>75</v>
      </c>
      <c r="D35" s="172"/>
      <c r="E35" s="236"/>
      <c r="F35" s="237"/>
      <c r="G35" s="145"/>
      <c r="H35" s="154">
        <f>'1. ZWB '!H29</f>
        <v>0</v>
      </c>
      <c r="I35" s="130">
        <f>'1. ZWB '!I29</f>
        <v>0</v>
      </c>
      <c r="J35" s="27"/>
      <c r="K35" s="154">
        <f>'2. ZWB '!H29</f>
        <v>0</v>
      </c>
      <c r="L35" s="130">
        <f>'2. ZWB '!I29</f>
        <v>0</v>
      </c>
      <c r="M35" s="27"/>
      <c r="N35" s="154">
        <f>'3. ZWB '!H29</f>
        <v>0</v>
      </c>
      <c r="O35" s="130">
        <f>'3. ZWB '!I29</f>
        <v>0</v>
      </c>
      <c r="P35" s="27"/>
      <c r="Q35" s="154">
        <f>'EB '!H29</f>
        <v>0</v>
      </c>
      <c r="R35" s="130">
        <f>'EB '!I29</f>
        <v>0</v>
      </c>
      <c r="S35" s="7"/>
    </row>
    <row r="36" spans="2:19" x14ac:dyDescent="0.25">
      <c r="B36" s="5"/>
      <c r="C36" s="97" t="s">
        <v>76</v>
      </c>
      <c r="D36" s="172"/>
      <c r="E36" s="238"/>
      <c r="F36" s="239"/>
      <c r="G36" s="145"/>
      <c r="H36" s="154">
        <f>'1. ZWB '!H30</f>
        <v>0</v>
      </c>
      <c r="I36" s="130">
        <f>'1. ZWB '!I30</f>
        <v>0</v>
      </c>
      <c r="J36" s="27"/>
      <c r="K36" s="154">
        <f>'2. ZWB '!H30</f>
        <v>0</v>
      </c>
      <c r="L36" s="130">
        <f>'2. ZWB '!I30</f>
        <v>0</v>
      </c>
      <c r="M36" s="27"/>
      <c r="N36" s="154">
        <f>'3. ZWB '!H30</f>
        <v>0</v>
      </c>
      <c r="O36" s="130">
        <f>'3. ZWB '!I30</f>
        <v>0</v>
      </c>
      <c r="P36" s="27"/>
      <c r="Q36" s="154">
        <f>'EB '!H30</f>
        <v>0</v>
      </c>
      <c r="R36" s="130">
        <f>'EB '!I30</f>
        <v>0</v>
      </c>
      <c r="S36" s="7"/>
    </row>
    <row r="37" spans="2:19" ht="25.5" x14ac:dyDescent="0.25">
      <c r="B37" s="5"/>
      <c r="C37" s="8" t="s">
        <v>62</v>
      </c>
      <c r="D37" s="93" t="s">
        <v>86</v>
      </c>
      <c r="E37" s="216" t="s">
        <v>91</v>
      </c>
      <c r="F37" s="217"/>
      <c r="G37" s="24"/>
      <c r="H37" s="104" t="s">
        <v>37</v>
      </c>
      <c r="I37" s="136" t="s">
        <v>11</v>
      </c>
      <c r="J37" s="26"/>
      <c r="K37" s="104" t="s">
        <v>37</v>
      </c>
      <c r="L37" s="136" t="s">
        <v>11</v>
      </c>
      <c r="M37" s="26"/>
      <c r="N37" s="104" t="s">
        <v>37</v>
      </c>
      <c r="O37" s="136" t="s">
        <v>11</v>
      </c>
      <c r="P37" s="26"/>
      <c r="Q37" s="104" t="s">
        <v>37</v>
      </c>
      <c r="R37" s="137" t="s">
        <v>11</v>
      </c>
      <c r="S37" s="7"/>
    </row>
    <row r="38" spans="2:19" ht="14.65" customHeight="1" x14ac:dyDescent="0.25">
      <c r="B38" s="5"/>
      <c r="C38" s="95" t="s">
        <v>79</v>
      </c>
      <c r="D38" s="193">
        <f>SUM(D39:E43)</f>
        <v>0</v>
      </c>
      <c r="E38" s="228"/>
      <c r="F38" s="229"/>
      <c r="G38" s="25"/>
      <c r="H38" s="154">
        <f>'1. ZWB '!H32</f>
        <v>0</v>
      </c>
      <c r="I38" s="130">
        <f>'1. ZWB '!I32</f>
        <v>0</v>
      </c>
      <c r="J38" s="29"/>
      <c r="K38" s="154">
        <f>'2. ZWB '!H32</f>
        <v>0</v>
      </c>
      <c r="L38" s="130">
        <f>'2. ZWB '!I32</f>
        <v>0</v>
      </c>
      <c r="M38" s="29"/>
      <c r="N38" s="154">
        <f>'3. ZWB '!H32</f>
        <v>0</v>
      </c>
      <c r="O38" s="130">
        <f>'3. ZWB '!I32</f>
        <v>0</v>
      </c>
      <c r="P38" s="29"/>
      <c r="Q38" s="154">
        <f>'EB '!H32</f>
        <v>0</v>
      </c>
      <c r="R38" s="130">
        <f>'EB '!I32</f>
        <v>0</v>
      </c>
      <c r="S38" s="7"/>
    </row>
    <row r="39" spans="2:19" x14ac:dyDescent="0.25">
      <c r="B39" s="5"/>
      <c r="C39" s="97" t="s">
        <v>47</v>
      </c>
      <c r="D39" s="174"/>
      <c r="E39" s="230"/>
      <c r="F39" s="231"/>
      <c r="G39" s="25"/>
      <c r="H39" s="154">
        <f>'1. ZWB '!H33</f>
        <v>0</v>
      </c>
      <c r="I39" s="130">
        <f>'1. ZWB '!I33</f>
        <v>0</v>
      </c>
      <c r="J39" s="29"/>
      <c r="K39" s="154">
        <f>'2. ZWB '!H33</f>
        <v>0</v>
      </c>
      <c r="L39" s="130">
        <f>'2. ZWB '!I33</f>
        <v>0</v>
      </c>
      <c r="M39" s="29"/>
      <c r="N39" s="154">
        <f>'3. ZWB '!H33</f>
        <v>0</v>
      </c>
      <c r="O39" s="130">
        <f>'3. ZWB '!I33</f>
        <v>0</v>
      </c>
      <c r="P39" s="29"/>
      <c r="Q39" s="154">
        <f>'EB '!H33</f>
        <v>0</v>
      </c>
      <c r="R39" s="130">
        <f>'EB '!I33</f>
        <v>0</v>
      </c>
      <c r="S39" s="7"/>
    </row>
    <row r="40" spans="2:19" x14ac:dyDescent="0.25">
      <c r="B40" s="5"/>
      <c r="C40" s="97" t="s">
        <v>48</v>
      </c>
      <c r="D40" s="174"/>
      <c r="E40" s="230"/>
      <c r="F40" s="231"/>
      <c r="G40" s="146"/>
      <c r="H40" s="154">
        <f>'1. ZWB '!H34</f>
        <v>0</v>
      </c>
      <c r="I40" s="130">
        <f>'1. ZWB '!I34</f>
        <v>0</v>
      </c>
      <c r="J40" s="30"/>
      <c r="K40" s="154">
        <f>'2. ZWB '!H34</f>
        <v>0</v>
      </c>
      <c r="L40" s="130">
        <f>'2. ZWB '!I34</f>
        <v>0</v>
      </c>
      <c r="M40" s="30"/>
      <c r="N40" s="154">
        <f>'3. ZWB '!H34</f>
        <v>0</v>
      </c>
      <c r="O40" s="130">
        <f>'3. ZWB '!I34</f>
        <v>0</v>
      </c>
      <c r="P40" s="30"/>
      <c r="Q40" s="154">
        <f>'EB '!H34</f>
        <v>0</v>
      </c>
      <c r="R40" s="130">
        <f>'EB '!I34</f>
        <v>0</v>
      </c>
      <c r="S40" s="7"/>
    </row>
    <row r="41" spans="2:19" x14ac:dyDescent="0.25">
      <c r="B41" s="5"/>
      <c r="C41" s="97" t="s">
        <v>49</v>
      </c>
      <c r="D41" s="174"/>
      <c r="E41" s="230"/>
      <c r="F41" s="231"/>
      <c r="G41" s="146"/>
      <c r="H41" s="154">
        <f>'1. ZWB '!H35</f>
        <v>0</v>
      </c>
      <c r="I41" s="130">
        <f>'1. ZWB '!I35</f>
        <v>0</v>
      </c>
      <c r="J41" s="30"/>
      <c r="K41" s="154">
        <f>'2. ZWB '!H35</f>
        <v>0</v>
      </c>
      <c r="L41" s="130">
        <f>'2. ZWB '!I35</f>
        <v>0</v>
      </c>
      <c r="M41" s="30"/>
      <c r="N41" s="154">
        <f>'3. ZWB '!H35</f>
        <v>0</v>
      </c>
      <c r="O41" s="130">
        <f>'3. ZWB '!I35</f>
        <v>0</v>
      </c>
      <c r="P41" s="30"/>
      <c r="Q41" s="154">
        <f>'EB '!H35</f>
        <v>0</v>
      </c>
      <c r="R41" s="130">
        <f>'EB '!I35</f>
        <v>0</v>
      </c>
      <c r="S41" s="7"/>
    </row>
    <row r="42" spans="2:19" x14ac:dyDescent="0.25">
      <c r="B42" s="5"/>
      <c r="C42" s="97" t="s">
        <v>50</v>
      </c>
      <c r="D42" s="174"/>
      <c r="E42" s="230"/>
      <c r="F42" s="231"/>
      <c r="G42" s="146"/>
      <c r="H42" s="154">
        <f>'1. ZWB '!H36</f>
        <v>0</v>
      </c>
      <c r="I42" s="130">
        <f>'1. ZWB '!I36</f>
        <v>0</v>
      </c>
      <c r="J42" s="30"/>
      <c r="K42" s="154">
        <f>'2. ZWB '!H36</f>
        <v>0</v>
      </c>
      <c r="L42" s="130">
        <f>'2. ZWB '!I36</f>
        <v>0</v>
      </c>
      <c r="M42" s="30"/>
      <c r="N42" s="154">
        <f>'3. ZWB '!H36</f>
        <v>0</v>
      </c>
      <c r="O42" s="130">
        <f>'3. ZWB '!I36</f>
        <v>0</v>
      </c>
      <c r="P42" s="30"/>
      <c r="Q42" s="154">
        <f>'EB '!H36</f>
        <v>0</v>
      </c>
      <c r="R42" s="130">
        <f>'EB '!I36</f>
        <v>0</v>
      </c>
      <c r="S42" s="7"/>
    </row>
    <row r="43" spans="2:19" x14ac:dyDescent="0.25">
      <c r="B43" s="5"/>
      <c r="C43" s="97" t="s">
        <v>51</v>
      </c>
      <c r="D43" s="174"/>
      <c r="E43" s="230"/>
      <c r="F43" s="231"/>
      <c r="G43" s="146"/>
      <c r="H43" s="154">
        <f>'1. ZWB '!H37</f>
        <v>0</v>
      </c>
      <c r="I43" s="130">
        <f>'1. ZWB '!I37</f>
        <v>0</v>
      </c>
      <c r="J43" s="30"/>
      <c r="K43" s="154">
        <f>'2. ZWB '!H37</f>
        <v>0</v>
      </c>
      <c r="L43" s="130">
        <f>'2. ZWB '!I37</f>
        <v>0</v>
      </c>
      <c r="M43" s="30"/>
      <c r="N43" s="154">
        <f>'3. ZWB '!H37</f>
        <v>0</v>
      </c>
      <c r="O43" s="130">
        <f>'3. ZWB '!I37</f>
        <v>0</v>
      </c>
      <c r="P43" s="30"/>
      <c r="Q43" s="154">
        <f>'EB '!H37</f>
        <v>0</v>
      </c>
      <c r="R43" s="130">
        <f>'EB '!I37</f>
        <v>0</v>
      </c>
      <c r="S43" s="7"/>
    </row>
    <row r="44" spans="2:19" x14ac:dyDescent="0.25">
      <c r="B44" s="5"/>
      <c r="C44" s="95" t="s">
        <v>80</v>
      </c>
      <c r="D44" s="174"/>
      <c r="E44" s="230"/>
      <c r="F44" s="231"/>
      <c r="G44" s="146"/>
      <c r="H44" s="154">
        <f>'1. ZWB '!H38</f>
        <v>0</v>
      </c>
      <c r="I44" s="130">
        <f>'1. ZWB '!I38</f>
        <v>0</v>
      </c>
      <c r="J44" s="30"/>
      <c r="K44" s="154">
        <f>'2. ZWB '!H38</f>
        <v>0</v>
      </c>
      <c r="L44" s="130">
        <f>'2. ZWB '!I38</f>
        <v>0</v>
      </c>
      <c r="M44" s="30"/>
      <c r="N44" s="154">
        <f>'3. ZWB '!H38</f>
        <v>0</v>
      </c>
      <c r="O44" s="130">
        <f>'3. ZWB '!I38</f>
        <v>0</v>
      </c>
      <c r="P44" s="30"/>
      <c r="Q44" s="154">
        <f>'EB '!H38</f>
        <v>0</v>
      </c>
      <c r="R44" s="130">
        <f>'EB '!I38</f>
        <v>0</v>
      </c>
      <c r="S44" s="7"/>
    </row>
    <row r="45" spans="2:19" ht="26.65" customHeight="1" x14ac:dyDescent="0.25">
      <c r="B45" s="5"/>
      <c r="C45" s="95" t="s">
        <v>81</v>
      </c>
      <c r="D45" s="174"/>
      <c r="E45" s="230"/>
      <c r="F45" s="231"/>
      <c r="G45" s="25"/>
      <c r="H45" s="154">
        <f>'1. ZWB '!H39</f>
        <v>0</v>
      </c>
      <c r="I45" s="130">
        <f>'1. ZWB '!I39</f>
        <v>0</v>
      </c>
      <c r="J45" s="29"/>
      <c r="K45" s="154">
        <f>'2. ZWB '!H39</f>
        <v>0</v>
      </c>
      <c r="L45" s="130">
        <f>'2. ZWB '!I39</f>
        <v>0</v>
      </c>
      <c r="M45" s="29"/>
      <c r="N45" s="154">
        <f>'3. ZWB '!H39</f>
        <v>0</v>
      </c>
      <c r="O45" s="130">
        <f>'3. ZWB '!I39</f>
        <v>0</v>
      </c>
      <c r="P45" s="29"/>
      <c r="Q45" s="154">
        <f>'EB '!H39</f>
        <v>0</v>
      </c>
      <c r="R45" s="130">
        <f>'EB '!I39</f>
        <v>0</v>
      </c>
      <c r="S45" s="7"/>
    </row>
    <row r="46" spans="2:19" ht="14.65" customHeight="1" x14ac:dyDescent="0.25">
      <c r="B46" s="5"/>
      <c r="C46" s="95" t="s">
        <v>30</v>
      </c>
      <c r="D46" s="174"/>
      <c r="E46" s="230"/>
      <c r="F46" s="231"/>
      <c r="G46" s="25"/>
      <c r="H46" s="154">
        <f>'1. ZWB '!H40</f>
        <v>0</v>
      </c>
      <c r="I46" s="130">
        <f>'1. ZWB '!I40</f>
        <v>0</v>
      </c>
      <c r="J46" s="29"/>
      <c r="K46" s="154">
        <f>'2. ZWB '!H40</f>
        <v>0</v>
      </c>
      <c r="L46" s="130">
        <f>'2. ZWB '!I40</f>
        <v>0</v>
      </c>
      <c r="M46" s="29"/>
      <c r="N46" s="154">
        <f>'3. ZWB '!H40</f>
        <v>0</v>
      </c>
      <c r="O46" s="130">
        <f>'3. ZWB '!I40</f>
        <v>0</v>
      </c>
      <c r="P46" s="29"/>
      <c r="Q46" s="154">
        <f>'EB '!H40</f>
        <v>0</v>
      </c>
      <c r="R46" s="130">
        <f>'EB '!I40</f>
        <v>0</v>
      </c>
      <c r="S46" s="7"/>
    </row>
    <row r="47" spans="2:19" ht="30" x14ac:dyDescent="0.25">
      <c r="B47" s="5"/>
      <c r="C47" s="95" t="s">
        <v>126</v>
      </c>
      <c r="D47" s="174"/>
      <c r="E47" s="230"/>
      <c r="F47" s="231"/>
      <c r="G47" s="25"/>
      <c r="H47" s="154">
        <f>'1. ZWB '!H41</f>
        <v>0</v>
      </c>
      <c r="I47" s="130">
        <f>'1. ZWB '!I41</f>
        <v>0</v>
      </c>
      <c r="J47" s="29"/>
      <c r="K47" s="154">
        <f>'2. ZWB '!H41</f>
        <v>0</v>
      </c>
      <c r="L47" s="130">
        <f>'2. ZWB '!I41</f>
        <v>0</v>
      </c>
      <c r="M47" s="29"/>
      <c r="N47" s="154">
        <f>'3. ZWB '!H41</f>
        <v>0</v>
      </c>
      <c r="O47" s="130">
        <f>'3. ZWB '!I41</f>
        <v>0</v>
      </c>
      <c r="P47" s="29"/>
      <c r="Q47" s="154">
        <f>'EB '!H41</f>
        <v>0</v>
      </c>
      <c r="R47" s="130">
        <f>'EB '!I41</f>
        <v>0</v>
      </c>
      <c r="S47" s="7"/>
    </row>
    <row r="48" spans="2:19" ht="30" x14ac:dyDescent="0.25">
      <c r="B48" s="5"/>
      <c r="C48" s="97" t="s">
        <v>52</v>
      </c>
      <c r="D48" s="174"/>
      <c r="E48" s="230"/>
      <c r="F48" s="231"/>
      <c r="G48" s="146"/>
      <c r="H48" s="154">
        <f>'1. ZWB '!H42</f>
        <v>0</v>
      </c>
      <c r="I48" s="130">
        <f>'1. ZWB '!I42</f>
        <v>0</v>
      </c>
      <c r="J48" s="30"/>
      <c r="K48" s="154">
        <f>'2. ZWB '!H42</f>
        <v>0</v>
      </c>
      <c r="L48" s="130">
        <f>'2. ZWB '!I42</f>
        <v>0</v>
      </c>
      <c r="M48" s="30"/>
      <c r="N48" s="154">
        <f>'3. ZWB '!H42</f>
        <v>0</v>
      </c>
      <c r="O48" s="130">
        <f>'3. ZWB '!I42</f>
        <v>0</v>
      </c>
      <c r="P48" s="30"/>
      <c r="Q48" s="154">
        <f>'EB '!H42</f>
        <v>0</v>
      </c>
      <c r="R48" s="130">
        <f>'EB '!I42</f>
        <v>0</v>
      </c>
      <c r="S48" s="7"/>
    </row>
    <row r="49" spans="1:66" x14ac:dyDescent="0.25">
      <c r="B49" s="5"/>
      <c r="C49" s="97" t="s">
        <v>69</v>
      </c>
      <c r="D49" s="174"/>
      <c r="E49" s="232"/>
      <c r="F49" s="233"/>
      <c r="G49" s="146"/>
      <c r="H49" s="154">
        <f>'1. ZWB '!H43</f>
        <v>0</v>
      </c>
      <c r="I49" s="130">
        <f>'1. ZWB '!I43</f>
        <v>0</v>
      </c>
      <c r="J49" s="30"/>
      <c r="K49" s="154">
        <f>'2. ZWB '!H43</f>
        <v>0</v>
      </c>
      <c r="L49" s="130">
        <f>'2. ZWB '!I43</f>
        <v>0</v>
      </c>
      <c r="M49" s="30"/>
      <c r="N49" s="154">
        <f>'3. ZWB '!H43</f>
        <v>0</v>
      </c>
      <c r="O49" s="130">
        <f>'3. ZWB '!I43</f>
        <v>0</v>
      </c>
      <c r="P49" s="30"/>
      <c r="Q49" s="154">
        <f>'EB '!H43</f>
        <v>0</v>
      </c>
      <c r="R49" s="130">
        <f>'EB '!I43</f>
        <v>0</v>
      </c>
      <c r="S49" s="7"/>
    </row>
    <row r="50" spans="1:66" x14ac:dyDescent="0.25">
      <c r="B50" s="5"/>
      <c r="C50" s="95" t="s">
        <v>53</v>
      </c>
      <c r="D50" s="174"/>
      <c r="E50" s="228"/>
      <c r="F50" s="229"/>
      <c r="G50" s="144"/>
      <c r="H50" s="154">
        <f>'1. ZWB '!H44</f>
        <v>0</v>
      </c>
      <c r="I50" s="130">
        <f>'1. ZWB '!I44</f>
        <v>0</v>
      </c>
      <c r="J50" s="28"/>
      <c r="K50" s="154">
        <f>'2. ZWB '!H44</f>
        <v>0</v>
      </c>
      <c r="L50" s="130">
        <f>'2. ZWB '!I44</f>
        <v>0</v>
      </c>
      <c r="M50" s="28"/>
      <c r="N50" s="154">
        <f>'3. ZWB '!H44</f>
        <v>0</v>
      </c>
      <c r="O50" s="130">
        <f>'3. ZWB '!I44</f>
        <v>0</v>
      </c>
      <c r="P50" s="28"/>
      <c r="Q50" s="154">
        <f>'EB '!H44</f>
        <v>0</v>
      </c>
      <c r="R50" s="130">
        <f>'EB '!I44</f>
        <v>0</v>
      </c>
      <c r="S50" s="7"/>
    </row>
    <row r="51" spans="1:66" ht="30" x14ac:dyDescent="0.25">
      <c r="B51" s="5"/>
      <c r="C51" s="97" t="s">
        <v>97</v>
      </c>
      <c r="D51" s="174"/>
      <c r="E51" s="230"/>
      <c r="F51" s="233"/>
      <c r="G51" s="144"/>
      <c r="H51" s="154">
        <f>'1. ZWB '!H45</f>
        <v>0</v>
      </c>
      <c r="I51" s="130">
        <f>'1. ZWB '!I45</f>
        <v>0</v>
      </c>
      <c r="J51" s="28"/>
      <c r="K51" s="154">
        <f>'2. ZWB '!H45</f>
        <v>0</v>
      </c>
      <c r="L51" s="130">
        <f>'2. ZWB '!I45</f>
        <v>0</v>
      </c>
      <c r="M51" s="28"/>
      <c r="N51" s="154">
        <f>'3. ZWB '!H45</f>
        <v>0</v>
      </c>
      <c r="O51" s="130">
        <f>'3. ZWB '!I45</f>
        <v>0</v>
      </c>
      <c r="P51" s="28"/>
      <c r="Q51" s="154">
        <f>'EB '!H45</f>
        <v>0</v>
      </c>
      <c r="R51" s="130">
        <f>'EB '!I45</f>
        <v>0</v>
      </c>
      <c r="S51" s="7"/>
    </row>
    <row r="52" spans="1:66" ht="25.5" x14ac:dyDescent="0.25">
      <c r="B52" s="5"/>
      <c r="C52" s="8" t="s">
        <v>64</v>
      </c>
      <c r="D52" s="93" t="s">
        <v>86</v>
      </c>
      <c r="E52" s="216" t="s">
        <v>91</v>
      </c>
      <c r="F52" s="217"/>
      <c r="G52" s="24"/>
      <c r="H52" s="104" t="s">
        <v>37</v>
      </c>
      <c r="I52" s="136" t="s">
        <v>11</v>
      </c>
      <c r="J52" s="26"/>
      <c r="K52" s="104" t="s">
        <v>37</v>
      </c>
      <c r="L52" s="136" t="s">
        <v>11</v>
      </c>
      <c r="M52" s="26"/>
      <c r="N52" s="104" t="s">
        <v>37</v>
      </c>
      <c r="O52" s="136" t="s">
        <v>11</v>
      </c>
      <c r="P52" s="26"/>
      <c r="Q52" s="104" t="s">
        <v>37</v>
      </c>
      <c r="R52" s="137" t="s">
        <v>11</v>
      </c>
      <c r="S52" s="7"/>
    </row>
    <row r="53" spans="1:66" x14ac:dyDescent="0.25">
      <c r="B53" s="5"/>
      <c r="C53" s="95" t="s">
        <v>54</v>
      </c>
      <c r="D53" s="173"/>
      <c r="E53" s="246"/>
      <c r="F53" s="247"/>
      <c r="G53" s="148"/>
      <c r="H53" s="155">
        <f>'1. ZWB '!H47</f>
        <v>0</v>
      </c>
      <c r="I53" s="130">
        <f>'1. ZWB '!I47</f>
        <v>0</v>
      </c>
      <c r="J53" s="28"/>
      <c r="K53" s="154">
        <f>'2. ZWB '!H47</f>
        <v>0</v>
      </c>
      <c r="L53" s="130">
        <f>'2. ZWB '!I47</f>
        <v>0</v>
      </c>
      <c r="M53" s="28"/>
      <c r="N53" s="154">
        <f>'3. ZWB '!H47</f>
        <v>0</v>
      </c>
      <c r="O53" s="130">
        <f>'3. ZWB '!I47</f>
        <v>0</v>
      </c>
      <c r="P53" s="132"/>
      <c r="Q53" s="155">
        <f>'EB '!H47</f>
        <v>0</v>
      </c>
      <c r="R53" s="130">
        <f>'EB '!I47</f>
        <v>0</v>
      </c>
      <c r="S53" s="7"/>
    </row>
    <row r="54" spans="1:66" ht="14.65" customHeight="1" x14ac:dyDescent="0.25">
      <c r="B54" s="5"/>
      <c r="C54" s="94" t="s">
        <v>82</v>
      </c>
      <c r="D54" s="173">
        <v>444</v>
      </c>
      <c r="E54" s="218" t="s">
        <v>131</v>
      </c>
      <c r="F54" s="219"/>
      <c r="G54" s="148"/>
      <c r="H54" s="155">
        <f>'1. ZWB '!H48</f>
        <v>374</v>
      </c>
      <c r="I54" s="130">
        <f>'1. ZWB '!I48</f>
        <v>0.84234234234234229</v>
      </c>
      <c r="J54" s="28"/>
      <c r="K54" s="154">
        <f>'2. ZWB '!H48</f>
        <v>445</v>
      </c>
      <c r="L54" s="130">
        <f>'2. ZWB '!I48</f>
        <v>1.0022522522522523</v>
      </c>
      <c r="M54" s="28"/>
      <c r="N54" s="154">
        <f>'3. ZWB '!H48</f>
        <v>527</v>
      </c>
      <c r="O54" s="130">
        <f>'3. ZWB '!I48</f>
        <v>1.1869369369369369</v>
      </c>
      <c r="P54" s="132"/>
      <c r="Q54" s="155">
        <f>'EB '!H48</f>
        <v>611</v>
      </c>
      <c r="R54" s="130">
        <f>'EB '!I48</f>
        <v>1.3761261261261262</v>
      </c>
      <c r="S54" s="7"/>
    </row>
    <row r="55" spans="1:66" x14ac:dyDescent="0.25">
      <c r="B55" s="5"/>
      <c r="C55" s="97" t="s">
        <v>77</v>
      </c>
      <c r="D55" s="173"/>
      <c r="E55" s="220"/>
      <c r="F55" s="221"/>
      <c r="G55" s="148"/>
      <c r="H55" s="155">
        <f>'1. ZWB '!H49</f>
        <v>0</v>
      </c>
      <c r="I55" s="130">
        <f>'1. ZWB '!I49</f>
        <v>0</v>
      </c>
      <c r="J55" s="132"/>
      <c r="K55" s="155">
        <f>'2. ZWB '!H49</f>
        <v>0</v>
      </c>
      <c r="L55" s="130">
        <f>'2. ZWB '!I49</f>
        <v>0</v>
      </c>
      <c r="M55" s="28"/>
      <c r="N55" s="154">
        <f>'3. ZWB '!H49</f>
        <v>0</v>
      </c>
      <c r="O55" s="130">
        <f>'3. ZWB '!I49</f>
        <v>0</v>
      </c>
      <c r="P55" s="132"/>
      <c r="Q55" s="155">
        <f>'EB '!H49</f>
        <v>0</v>
      </c>
      <c r="R55" s="130">
        <f>'EB '!I49</f>
        <v>0</v>
      </c>
      <c r="S55" s="7"/>
    </row>
    <row r="56" spans="1:66" ht="14.65" customHeight="1" x14ac:dyDescent="0.25">
      <c r="B56" s="5"/>
      <c r="C56" s="94" t="s">
        <v>63</v>
      </c>
      <c r="D56" s="173"/>
      <c r="E56" s="222"/>
      <c r="F56" s="223"/>
      <c r="G56" s="148"/>
      <c r="H56" s="155">
        <f>'1. ZWB '!H50</f>
        <v>0</v>
      </c>
      <c r="I56" s="130">
        <f>'1. ZWB '!I50</f>
        <v>0</v>
      </c>
      <c r="J56" s="132"/>
      <c r="K56" s="155">
        <f>'2. ZWB '!H50</f>
        <v>0</v>
      </c>
      <c r="L56" s="130">
        <f>'2. ZWB '!I50</f>
        <v>0</v>
      </c>
      <c r="M56" s="28"/>
      <c r="N56" s="154">
        <f>'3. ZWB '!H50</f>
        <v>0</v>
      </c>
      <c r="O56" s="130">
        <f>'3. ZWB '!I50</f>
        <v>0</v>
      </c>
      <c r="P56" s="132"/>
      <c r="Q56" s="155">
        <f>'EB '!H50</f>
        <v>0</v>
      </c>
      <c r="R56" s="130">
        <f>'EB '!I50</f>
        <v>0</v>
      </c>
      <c r="S56" s="7"/>
    </row>
    <row r="57" spans="1:66" ht="15" customHeight="1" x14ac:dyDescent="0.25">
      <c r="B57" s="5"/>
      <c r="C57" s="97" t="s">
        <v>123</v>
      </c>
      <c r="D57" s="173"/>
      <c r="E57" s="224"/>
      <c r="F57" s="225"/>
      <c r="G57" s="149"/>
      <c r="H57" s="155">
        <f>'1. ZWB '!H51</f>
        <v>0</v>
      </c>
      <c r="I57" s="130">
        <f>'1. ZWB '!I51</f>
        <v>0</v>
      </c>
      <c r="J57" s="132"/>
      <c r="K57" s="155">
        <f>'2. ZWB '!H51</f>
        <v>0</v>
      </c>
      <c r="L57" s="130">
        <f>'2. ZWB '!I51</f>
        <v>0</v>
      </c>
      <c r="M57" s="132"/>
      <c r="N57" s="155">
        <f>'3. ZWB '!H51</f>
        <v>0</v>
      </c>
      <c r="O57" s="130">
        <f>'3. ZWB '!I51</f>
        <v>0</v>
      </c>
      <c r="P57" s="132"/>
      <c r="Q57" s="155">
        <f>'EB '!H51</f>
        <v>0</v>
      </c>
      <c r="R57" s="130">
        <f>'EB '!I51</f>
        <v>0</v>
      </c>
      <c r="S57" s="7"/>
    </row>
    <row r="58" spans="1:66" x14ac:dyDescent="0.25">
      <c r="B58" s="5"/>
      <c r="C58" s="97" t="s">
        <v>78</v>
      </c>
      <c r="D58" s="173"/>
      <c r="E58" s="226"/>
      <c r="F58" s="227"/>
      <c r="G58" s="149"/>
      <c r="H58" s="155">
        <f>'1. ZWB '!H52</f>
        <v>0</v>
      </c>
      <c r="I58" s="130">
        <f>'1. ZWB '!I52</f>
        <v>0</v>
      </c>
      <c r="J58" s="132"/>
      <c r="K58" s="155">
        <f>'2. ZWB '!H52</f>
        <v>0</v>
      </c>
      <c r="L58" s="130">
        <f>'2. ZWB '!I52</f>
        <v>0</v>
      </c>
      <c r="M58" s="132"/>
      <c r="N58" s="155">
        <f>'3. ZWB '!H52</f>
        <v>0</v>
      </c>
      <c r="O58" s="130">
        <f>'3. ZWB '!I52</f>
        <v>0</v>
      </c>
      <c r="P58" s="132"/>
      <c r="Q58" s="155">
        <f>'EB '!H52</f>
        <v>0</v>
      </c>
      <c r="R58" s="130">
        <f>'EB '!I52</f>
        <v>0</v>
      </c>
      <c r="S58" s="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</row>
    <row r="59" spans="1:66" x14ac:dyDescent="0.25">
      <c r="B59" s="5"/>
      <c r="C59" s="99" t="s">
        <v>88</v>
      </c>
      <c r="D59" s="173"/>
      <c r="E59" s="222"/>
      <c r="F59" s="223"/>
      <c r="G59" s="149"/>
      <c r="H59" s="155">
        <f>'1. ZWB '!H53</f>
        <v>0</v>
      </c>
      <c r="I59" s="130">
        <f>'1. ZWB '!I53</f>
        <v>0</v>
      </c>
      <c r="J59" s="22"/>
      <c r="K59" s="155">
        <f>'2. ZWB '!H53</f>
        <v>0</v>
      </c>
      <c r="L59" s="130">
        <f>'2. ZWB '!I53</f>
        <v>0</v>
      </c>
      <c r="M59" s="22"/>
      <c r="N59" s="155">
        <f>'3. ZWB '!H53</f>
        <v>0</v>
      </c>
      <c r="O59" s="130">
        <f>'3. ZWB '!I53</f>
        <v>0</v>
      </c>
      <c r="P59" s="22"/>
      <c r="Q59" s="155">
        <f>'EB '!H53</f>
        <v>0</v>
      </c>
      <c r="R59" s="130">
        <f>'EB '!I53</f>
        <v>0</v>
      </c>
      <c r="S59" s="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</row>
    <row r="60" spans="1:66" x14ac:dyDescent="0.25">
      <c r="B60" s="5"/>
      <c r="C60" s="186" t="s">
        <v>89</v>
      </c>
      <c r="D60" s="173"/>
      <c r="E60" s="224"/>
      <c r="F60" s="225"/>
      <c r="G60" s="149"/>
      <c r="H60" s="155">
        <f>'1. ZWB '!H54</f>
        <v>0</v>
      </c>
      <c r="I60" s="130">
        <f>'1. ZWB '!I54</f>
        <v>0</v>
      </c>
      <c r="J60" s="22"/>
      <c r="K60" s="155">
        <f>'2. ZWB '!H54</f>
        <v>0</v>
      </c>
      <c r="L60" s="130">
        <f>'2. ZWB '!I54</f>
        <v>0</v>
      </c>
      <c r="M60" s="22"/>
      <c r="N60" s="155">
        <f>'3. ZWB '!H54</f>
        <v>0</v>
      </c>
      <c r="O60" s="130">
        <f>'3. ZWB '!I54</f>
        <v>0</v>
      </c>
      <c r="P60" s="22"/>
      <c r="Q60" s="155">
        <f>'EB '!H54</f>
        <v>0</v>
      </c>
      <c r="R60" s="130">
        <f>'EB '!I54</f>
        <v>0</v>
      </c>
      <c r="S60" s="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</row>
    <row r="61" spans="1:66" x14ac:dyDescent="0.25">
      <c r="B61" s="5"/>
      <c r="C61" s="186" t="s">
        <v>90</v>
      </c>
      <c r="D61" s="173"/>
      <c r="E61" s="226"/>
      <c r="F61" s="227"/>
      <c r="G61" s="149"/>
      <c r="H61" s="155">
        <f>'1. ZWB '!H55</f>
        <v>0</v>
      </c>
      <c r="I61" s="130">
        <f>'1. ZWB '!I55</f>
        <v>0</v>
      </c>
      <c r="J61" s="22"/>
      <c r="K61" s="155">
        <f>'2. ZWB '!H55</f>
        <v>0</v>
      </c>
      <c r="L61" s="130">
        <f>'2. ZWB '!I55</f>
        <v>0</v>
      </c>
      <c r="M61" s="22"/>
      <c r="N61" s="155">
        <f>'3. ZWB '!H55</f>
        <v>0</v>
      </c>
      <c r="O61" s="130">
        <f>'3. ZWB '!I55</f>
        <v>0</v>
      </c>
      <c r="P61" s="22"/>
      <c r="Q61" s="155">
        <f>'EB '!H55</f>
        <v>0</v>
      </c>
      <c r="R61" s="130">
        <f>'EB '!I55</f>
        <v>0</v>
      </c>
      <c r="S61" s="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</row>
    <row r="62" spans="1:66" s="31" customFormat="1" x14ac:dyDescent="0.25">
      <c r="A62" s="4"/>
      <c r="B62" s="200"/>
      <c r="C62" s="201"/>
      <c r="D62" s="201"/>
      <c r="E62" s="151"/>
      <c r="F62" s="150"/>
      <c r="G62" s="149"/>
      <c r="H62" s="152"/>
      <c r="I62" s="51"/>
      <c r="J62" s="22"/>
      <c r="K62" s="152"/>
      <c r="L62" s="51"/>
      <c r="M62" s="22"/>
      <c r="N62" s="152"/>
      <c r="O62" s="51"/>
      <c r="P62" s="22"/>
      <c r="Q62" s="152"/>
      <c r="R62" s="51"/>
      <c r="S62" s="32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</row>
    <row r="63" spans="1:66" ht="26.1" customHeight="1" x14ac:dyDescent="0.25">
      <c r="B63" s="5"/>
      <c r="C63" s="205" t="s">
        <v>38</v>
      </c>
      <c r="D63" s="206"/>
      <c r="E63" s="206"/>
      <c r="F63" s="207"/>
      <c r="G63" s="24"/>
      <c r="H63" s="214" t="s">
        <v>112</v>
      </c>
      <c r="I63" s="215"/>
      <c r="J63" s="26"/>
      <c r="K63" s="214" t="s">
        <v>113</v>
      </c>
      <c r="L63" s="215"/>
      <c r="M63" s="26"/>
      <c r="N63" s="214" t="s">
        <v>114</v>
      </c>
      <c r="O63" s="215"/>
      <c r="P63" s="26"/>
      <c r="Q63" s="214" t="s">
        <v>115</v>
      </c>
      <c r="R63" s="215"/>
      <c r="S63" s="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</row>
    <row r="64" spans="1:66" ht="13.15" customHeight="1" x14ac:dyDescent="0.25">
      <c r="B64" s="5"/>
      <c r="C64" s="202" t="s">
        <v>125</v>
      </c>
      <c r="D64" s="203"/>
      <c r="E64" s="203"/>
      <c r="F64" s="204"/>
      <c r="G64" s="144"/>
      <c r="H64" s="197"/>
      <c r="I64" s="198"/>
      <c r="J64" s="192"/>
      <c r="K64" s="197"/>
      <c r="L64" s="199"/>
      <c r="M64" s="192"/>
      <c r="N64" s="197"/>
      <c r="O64" s="198"/>
      <c r="P64" s="192"/>
      <c r="Q64" s="197"/>
      <c r="R64" s="198"/>
      <c r="S64" s="7"/>
    </row>
    <row r="65" spans="2:19" x14ac:dyDescent="0.25">
      <c r="B65" s="5"/>
      <c r="C65" s="211" t="s">
        <v>44</v>
      </c>
      <c r="D65" s="212"/>
      <c r="E65" s="212"/>
      <c r="F65" s="213"/>
      <c r="G65" s="144"/>
      <c r="H65" s="197">
        <f>'1. ZWB '!H59</f>
        <v>0</v>
      </c>
      <c r="I65" s="198"/>
      <c r="J65" s="192"/>
      <c r="K65" s="197">
        <f>'2. ZWB '!H59</f>
        <v>0</v>
      </c>
      <c r="L65" s="199"/>
      <c r="M65" s="192"/>
      <c r="N65" s="197">
        <f>'3. ZWB '!H59</f>
        <v>0</v>
      </c>
      <c r="O65" s="198"/>
      <c r="P65" s="192"/>
      <c r="Q65" s="197">
        <f>'EB '!H59</f>
        <v>0</v>
      </c>
      <c r="R65" s="198"/>
      <c r="S65" s="7"/>
    </row>
    <row r="66" spans="2:19" x14ac:dyDescent="0.25">
      <c r="B66" s="5"/>
      <c r="C66" s="211" t="s">
        <v>43</v>
      </c>
      <c r="D66" s="212"/>
      <c r="E66" s="212"/>
      <c r="F66" s="213"/>
      <c r="G66" s="144"/>
      <c r="H66" s="197">
        <f>'1. ZWB '!H60:I60</f>
        <v>279</v>
      </c>
      <c r="I66" s="198"/>
      <c r="J66" s="192"/>
      <c r="K66" s="197">
        <f>'2. ZWB '!H60</f>
        <v>327</v>
      </c>
      <c r="L66" s="199"/>
      <c r="M66" s="192"/>
      <c r="N66" s="197">
        <f>'3. ZWB '!H60</f>
        <v>364</v>
      </c>
      <c r="O66" s="198"/>
      <c r="P66" s="192"/>
      <c r="Q66" s="197">
        <f>'EB '!H60</f>
        <v>383</v>
      </c>
      <c r="R66" s="198"/>
      <c r="S66" s="7"/>
    </row>
    <row r="67" spans="2:19" x14ac:dyDescent="0.25">
      <c r="B67" s="5"/>
      <c r="C67" s="211" t="s">
        <v>128</v>
      </c>
      <c r="D67" s="212"/>
      <c r="E67" s="212"/>
      <c r="F67" s="213"/>
      <c r="G67" s="144"/>
      <c r="H67" s="197">
        <f>'1. ZWB '!H61:I61</f>
        <v>0</v>
      </c>
      <c r="I67" s="198"/>
      <c r="J67" s="192"/>
      <c r="K67" s="197">
        <f>'2. ZWB '!H61</f>
        <v>0</v>
      </c>
      <c r="L67" s="199"/>
      <c r="M67" s="192"/>
      <c r="N67" s="197">
        <f>'3. ZWB '!H61</f>
        <v>0</v>
      </c>
      <c r="O67" s="198"/>
      <c r="P67" s="192"/>
      <c r="Q67" s="197">
        <f>'EB '!H61</f>
        <v>0</v>
      </c>
      <c r="R67" s="198"/>
      <c r="S67" s="7"/>
    </row>
    <row r="68" spans="2:19" x14ac:dyDescent="0.25">
      <c r="B68" s="5"/>
      <c r="C68" s="211" t="s">
        <v>108</v>
      </c>
      <c r="D68" s="212"/>
      <c r="E68" s="212"/>
      <c r="F68" s="213"/>
      <c r="G68" s="144"/>
      <c r="H68" s="197">
        <f>'1. ZWB '!H62:I62</f>
        <v>0</v>
      </c>
      <c r="I68" s="198"/>
      <c r="J68" s="192"/>
      <c r="K68" s="197">
        <f>'2. ZWB '!H62</f>
        <v>0</v>
      </c>
      <c r="L68" s="199"/>
      <c r="M68" s="192"/>
      <c r="N68" s="197">
        <f>'3. ZWB '!H62</f>
        <v>0</v>
      </c>
      <c r="O68" s="198"/>
      <c r="P68" s="192"/>
      <c r="Q68" s="197">
        <f>'EB '!H62</f>
        <v>0</v>
      </c>
      <c r="R68" s="198"/>
      <c r="S68" s="7"/>
    </row>
    <row r="69" spans="2:19" ht="13.15" customHeight="1" x14ac:dyDescent="0.25">
      <c r="B69" s="5"/>
      <c r="C69" s="211" t="s">
        <v>107</v>
      </c>
      <c r="D69" s="212"/>
      <c r="E69" s="212"/>
      <c r="F69" s="213"/>
      <c r="G69" s="144"/>
      <c r="H69" s="197">
        <f>'1. ZWB '!H63:I63</f>
        <v>0</v>
      </c>
      <c r="I69" s="198"/>
      <c r="J69" s="192"/>
      <c r="K69" s="197">
        <f>'2. ZWB '!H63</f>
        <v>0</v>
      </c>
      <c r="L69" s="199"/>
      <c r="M69" s="192"/>
      <c r="N69" s="197">
        <f>'3. ZWB '!H63</f>
        <v>0</v>
      </c>
      <c r="O69" s="198"/>
      <c r="P69" s="192"/>
      <c r="Q69" s="197">
        <f>'EB '!H63</f>
        <v>0</v>
      </c>
      <c r="R69" s="198"/>
      <c r="S69" s="7"/>
    </row>
    <row r="70" spans="2:19" x14ac:dyDescent="0.25">
      <c r="B70" s="5"/>
      <c r="C70" s="211" t="s">
        <v>45</v>
      </c>
      <c r="D70" s="212"/>
      <c r="E70" s="212"/>
      <c r="F70" s="213"/>
      <c r="G70" s="144"/>
      <c r="H70" s="197">
        <f>'1. ZWB '!H64:I64</f>
        <v>0</v>
      </c>
      <c r="I70" s="198"/>
      <c r="J70" s="192"/>
      <c r="K70" s="197">
        <f>'2. ZWB '!H64</f>
        <v>0</v>
      </c>
      <c r="L70" s="199"/>
      <c r="M70" s="192"/>
      <c r="N70" s="197">
        <f>'3. ZWB '!H64</f>
        <v>0</v>
      </c>
      <c r="O70" s="198"/>
      <c r="P70" s="192"/>
      <c r="Q70" s="197">
        <f>'EB '!H64</f>
        <v>0</v>
      </c>
      <c r="R70" s="198"/>
      <c r="S70" s="7"/>
    </row>
    <row r="71" spans="2:19" x14ac:dyDescent="0.25">
      <c r="B71" s="5"/>
      <c r="C71" s="211" t="s">
        <v>73</v>
      </c>
      <c r="D71" s="212"/>
      <c r="E71" s="212"/>
      <c r="F71" s="213"/>
      <c r="G71" s="144"/>
      <c r="H71" s="197">
        <f>'1. ZWB '!H65:I65</f>
        <v>0</v>
      </c>
      <c r="I71" s="198"/>
      <c r="J71" s="192"/>
      <c r="K71" s="197">
        <f>'2. ZWB '!H65</f>
        <v>0</v>
      </c>
      <c r="L71" s="199"/>
      <c r="M71" s="192"/>
      <c r="N71" s="197">
        <f>'3. ZWB '!H65</f>
        <v>0</v>
      </c>
      <c r="O71" s="198"/>
      <c r="P71" s="192"/>
      <c r="Q71" s="197">
        <f>'EB '!H65</f>
        <v>0</v>
      </c>
      <c r="R71" s="198"/>
      <c r="S71" s="7"/>
    </row>
    <row r="72" spans="2:19" ht="14.65" customHeight="1" x14ac:dyDescent="0.25">
      <c r="B72" s="5"/>
      <c r="C72" s="202" t="s">
        <v>117</v>
      </c>
      <c r="D72" s="203"/>
      <c r="E72" s="203"/>
      <c r="F72" s="204"/>
      <c r="G72" s="144"/>
      <c r="H72" s="197"/>
      <c r="I72" s="198"/>
      <c r="J72" s="192"/>
      <c r="K72" s="197"/>
      <c r="L72" s="199"/>
      <c r="M72" s="192"/>
      <c r="N72" s="197"/>
      <c r="O72" s="198"/>
      <c r="P72" s="192"/>
      <c r="Q72" s="197"/>
      <c r="R72" s="198"/>
      <c r="S72" s="7"/>
    </row>
    <row r="73" spans="2:19" x14ac:dyDescent="0.25">
      <c r="B73" s="5"/>
      <c r="C73" s="208" t="s">
        <v>103</v>
      </c>
      <c r="D73" s="209"/>
      <c r="E73" s="209"/>
      <c r="F73" s="210"/>
      <c r="G73" s="144"/>
      <c r="H73" s="197">
        <f>'1. ZWB '!H67:I67</f>
        <v>0</v>
      </c>
      <c r="I73" s="198"/>
      <c r="J73" s="192"/>
      <c r="K73" s="197">
        <f>'2. ZWB '!H67</f>
        <v>0</v>
      </c>
      <c r="L73" s="199"/>
      <c r="M73" s="192"/>
      <c r="N73" s="197">
        <f>'3. ZWB '!H67</f>
        <v>0</v>
      </c>
      <c r="O73" s="198"/>
      <c r="P73" s="192"/>
      <c r="Q73" s="197">
        <f>'EB '!H67</f>
        <v>0</v>
      </c>
      <c r="R73" s="198"/>
      <c r="S73" s="7"/>
    </row>
    <row r="74" spans="2:19" x14ac:dyDescent="0.25">
      <c r="B74" s="5"/>
      <c r="C74" s="208" t="s">
        <v>104</v>
      </c>
      <c r="D74" s="209"/>
      <c r="E74" s="209"/>
      <c r="F74" s="210"/>
      <c r="G74" s="144"/>
      <c r="H74" s="197">
        <f>'1. ZWB '!H68:I68</f>
        <v>0</v>
      </c>
      <c r="I74" s="198"/>
      <c r="J74" s="192"/>
      <c r="K74" s="197">
        <f>'2. ZWB '!H68</f>
        <v>0</v>
      </c>
      <c r="L74" s="199"/>
      <c r="M74" s="192"/>
      <c r="N74" s="197">
        <f>'3. ZWB '!H68</f>
        <v>0</v>
      </c>
      <c r="O74" s="198"/>
      <c r="P74" s="192"/>
      <c r="Q74" s="197">
        <f>'EB '!H68</f>
        <v>0</v>
      </c>
      <c r="R74" s="198"/>
      <c r="S74" s="7"/>
    </row>
    <row r="75" spans="2:19" x14ac:dyDescent="0.25">
      <c r="B75" s="5"/>
      <c r="C75" s="183" t="s">
        <v>105</v>
      </c>
      <c r="D75" s="184"/>
      <c r="E75" s="184"/>
      <c r="F75" s="185"/>
      <c r="G75" s="144"/>
      <c r="H75" s="197">
        <f>'1. ZWB '!H69:I69</f>
        <v>0</v>
      </c>
      <c r="I75" s="198"/>
      <c r="J75" s="192"/>
      <c r="K75" s="197">
        <f>'2. ZWB '!H69</f>
        <v>0</v>
      </c>
      <c r="L75" s="199"/>
      <c r="M75" s="192"/>
      <c r="N75" s="197">
        <f>'3. ZWB '!H69</f>
        <v>0</v>
      </c>
      <c r="O75" s="198"/>
      <c r="P75" s="192"/>
      <c r="Q75" s="197">
        <f>'EB '!H69</f>
        <v>0</v>
      </c>
      <c r="R75" s="198"/>
      <c r="S75" s="7"/>
    </row>
    <row r="76" spans="2:19" x14ac:dyDescent="0.25">
      <c r="B76" s="5"/>
      <c r="C76" s="208" t="s">
        <v>98</v>
      </c>
      <c r="D76" s="209"/>
      <c r="E76" s="209"/>
      <c r="F76" s="210"/>
      <c r="G76" s="144"/>
      <c r="H76" s="197">
        <f>'1. ZWB '!H70:I70</f>
        <v>0</v>
      </c>
      <c r="I76" s="198"/>
      <c r="J76" s="192"/>
      <c r="K76" s="197">
        <f>'2. ZWB '!H70</f>
        <v>0</v>
      </c>
      <c r="L76" s="199"/>
      <c r="M76" s="192"/>
      <c r="N76" s="197">
        <f>'3. ZWB '!H70</f>
        <v>0</v>
      </c>
      <c r="O76" s="198"/>
      <c r="P76" s="192"/>
      <c r="Q76" s="197">
        <f>'EB '!H70</f>
        <v>0</v>
      </c>
      <c r="R76" s="198"/>
      <c r="S76" s="7"/>
    </row>
    <row r="77" spans="2:19" ht="13.15" customHeight="1" x14ac:dyDescent="0.25">
      <c r="B77" s="5"/>
      <c r="C77" s="202" t="s">
        <v>118</v>
      </c>
      <c r="D77" s="203"/>
      <c r="E77" s="203"/>
      <c r="F77" s="204"/>
      <c r="G77" s="144"/>
      <c r="H77" s="197"/>
      <c r="I77" s="198"/>
      <c r="J77" s="192"/>
      <c r="K77" s="197"/>
      <c r="L77" s="199"/>
      <c r="M77" s="192"/>
      <c r="N77" s="197"/>
      <c r="O77" s="198"/>
      <c r="P77" s="192"/>
      <c r="Q77" s="197"/>
      <c r="R77" s="198"/>
      <c r="S77" s="7"/>
    </row>
    <row r="78" spans="2:19" ht="13.15" customHeight="1" x14ac:dyDescent="0.25">
      <c r="B78" s="5"/>
      <c r="C78" s="208" t="s">
        <v>40</v>
      </c>
      <c r="D78" s="209"/>
      <c r="E78" s="209"/>
      <c r="F78" s="210"/>
      <c r="G78" s="144"/>
      <c r="H78" s="197">
        <f>'1. ZWB '!H72:I72</f>
        <v>371</v>
      </c>
      <c r="I78" s="198"/>
      <c r="J78" s="192"/>
      <c r="K78" s="197">
        <f>'2. ZWB '!H72</f>
        <v>471</v>
      </c>
      <c r="L78" s="199"/>
      <c r="M78" s="192"/>
      <c r="N78" s="197">
        <f>'3. ZWB '!H72</f>
        <v>484</v>
      </c>
      <c r="O78" s="198"/>
      <c r="P78" s="192"/>
      <c r="Q78" s="197">
        <f>'EB '!H72</f>
        <v>608</v>
      </c>
      <c r="R78" s="198"/>
      <c r="S78" s="7"/>
    </row>
    <row r="79" spans="2:19" x14ac:dyDescent="0.25">
      <c r="B79" s="5"/>
      <c r="C79" s="208" t="s">
        <v>41</v>
      </c>
      <c r="D79" s="209"/>
      <c r="E79" s="209"/>
      <c r="F79" s="210"/>
      <c r="G79" s="144"/>
      <c r="H79" s="197">
        <f>'1. ZWB '!H73:I73</f>
        <v>331</v>
      </c>
      <c r="I79" s="198"/>
      <c r="J79" s="192"/>
      <c r="K79" s="197">
        <f>'2. ZWB '!H73</f>
        <v>428</v>
      </c>
      <c r="L79" s="199"/>
      <c r="M79" s="192"/>
      <c r="N79" s="197">
        <f>'3. ZWB '!H73</f>
        <v>421</v>
      </c>
      <c r="O79" s="198"/>
      <c r="P79" s="192"/>
      <c r="Q79" s="197">
        <f>'EB '!H73</f>
        <v>559</v>
      </c>
      <c r="R79" s="198"/>
      <c r="S79" s="7"/>
    </row>
    <row r="80" spans="2:19" x14ac:dyDescent="0.25">
      <c r="B80" s="5"/>
      <c r="C80" s="183" t="s">
        <v>99</v>
      </c>
      <c r="D80" s="184"/>
      <c r="E80" s="184"/>
      <c r="F80" s="185"/>
      <c r="G80" s="144"/>
      <c r="H80" s="197">
        <f>'1. ZWB '!H74:I74</f>
        <v>0</v>
      </c>
      <c r="I80" s="198"/>
      <c r="J80" s="192"/>
      <c r="K80" s="197">
        <f>'2. ZWB '!H74</f>
        <v>0</v>
      </c>
      <c r="L80" s="199"/>
      <c r="M80" s="192"/>
      <c r="N80" s="197">
        <f>'3. ZWB '!H74</f>
        <v>0</v>
      </c>
      <c r="O80" s="198"/>
      <c r="P80" s="192"/>
      <c r="Q80" s="197">
        <f>'EB '!H74</f>
        <v>0</v>
      </c>
      <c r="R80" s="198"/>
      <c r="S80" s="7"/>
    </row>
    <row r="81" spans="2:43" x14ac:dyDescent="0.25">
      <c r="B81" s="5"/>
      <c r="C81" s="183" t="s">
        <v>100</v>
      </c>
      <c r="D81" s="184"/>
      <c r="E81" s="184"/>
      <c r="F81" s="185"/>
      <c r="G81" s="144"/>
      <c r="H81" s="197">
        <f>'1. ZWB '!H75:I75</f>
        <v>0</v>
      </c>
      <c r="I81" s="198"/>
      <c r="J81" s="192"/>
      <c r="K81" s="197">
        <f>'2. ZWB '!H75</f>
        <v>0</v>
      </c>
      <c r="L81" s="199"/>
      <c r="M81" s="192"/>
      <c r="N81" s="197">
        <f>'3. ZWB '!H75</f>
        <v>0</v>
      </c>
      <c r="O81" s="198"/>
      <c r="P81" s="192"/>
      <c r="Q81" s="197">
        <f>'EB '!H75</f>
        <v>0</v>
      </c>
      <c r="R81" s="198"/>
      <c r="S81" s="7"/>
    </row>
    <row r="82" spans="2:43" x14ac:dyDescent="0.25">
      <c r="B82" s="5"/>
      <c r="C82" s="183" t="s">
        <v>101</v>
      </c>
      <c r="D82" s="184"/>
      <c r="E82" s="184"/>
      <c r="F82" s="185"/>
      <c r="G82" s="144"/>
      <c r="H82" s="197">
        <f>'1. ZWB '!H76:I76</f>
        <v>0</v>
      </c>
      <c r="I82" s="198"/>
      <c r="J82" s="192"/>
      <c r="K82" s="197">
        <f>'2. ZWB '!H76</f>
        <v>0</v>
      </c>
      <c r="L82" s="199"/>
      <c r="M82" s="192"/>
      <c r="N82" s="197">
        <f>'3. ZWB '!H76</f>
        <v>0</v>
      </c>
      <c r="O82" s="198"/>
      <c r="P82" s="192"/>
      <c r="Q82" s="197">
        <f>'EB '!H76</f>
        <v>0</v>
      </c>
      <c r="R82" s="198"/>
      <c r="S82" s="7"/>
    </row>
    <row r="83" spans="2:43" x14ac:dyDescent="0.25">
      <c r="B83" s="5"/>
      <c r="C83" s="183" t="s">
        <v>102</v>
      </c>
      <c r="D83" s="184"/>
      <c r="E83" s="184"/>
      <c r="F83" s="185"/>
      <c r="G83" s="144"/>
      <c r="H83" s="197">
        <f>'1. ZWB '!H77:I77</f>
        <v>0</v>
      </c>
      <c r="I83" s="198"/>
      <c r="J83" s="192"/>
      <c r="K83" s="197">
        <f>'2. ZWB '!H77</f>
        <v>0</v>
      </c>
      <c r="L83" s="199"/>
      <c r="M83" s="192"/>
      <c r="N83" s="197">
        <f>'3. ZWB '!H77</f>
        <v>0</v>
      </c>
      <c r="O83" s="198"/>
      <c r="P83" s="192"/>
      <c r="Q83" s="197">
        <f>'EB '!H77</f>
        <v>0</v>
      </c>
      <c r="R83" s="198"/>
      <c r="S83" s="7"/>
    </row>
    <row r="84" spans="2:43" ht="14.65" customHeight="1" x14ac:dyDescent="0.25">
      <c r="B84" s="5"/>
      <c r="C84" s="202" t="s">
        <v>39</v>
      </c>
      <c r="D84" s="203"/>
      <c r="E84" s="203"/>
      <c r="F84" s="204"/>
      <c r="G84" s="144"/>
      <c r="H84" s="197">
        <f>'1. ZWB '!H78:I78</f>
        <v>0</v>
      </c>
      <c r="I84" s="198"/>
      <c r="J84" s="192"/>
      <c r="K84" s="197">
        <f>'2. ZWB '!H78</f>
        <v>0</v>
      </c>
      <c r="L84" s="199"/>
      <c r="M84" s="192"/>
      <c r="N84" s="197">
        <f>'3. ZWB '!H78</f>
        <v>0</v>
      </c>
      <c r="O84" s="198"/>
      <c r="P84" s="192"/>
      <c r="Q84" s="197">
        <f>'EB '!H78</f>
        <v>0</v>
      </c>
      <c r="R84" s="198"/>
      <c r="S84" s="7"/>
    </row>
    <row r="85" spans="2:43" ht="26.65" customHeight="1" x14ac:dyDescent="0.25">
      <c r="B85" s="5"/>
      <c r="C85" s="205" t="s">
        <v>46</v>
      </c>
      <c r="D85" s="206"/>
      <c r="E85" s="206"/>
      <c r="F85" s="207"/>
      <c r="G85" s="144"/>
      <c r="H85" s="214" t="s">
        <v>112</v>
      </c>
      <c r="I85" s="215"/>
      <c r="J85" s="28"/>
      <c r="K85" s="214" t="s">
        <v>113</v>
      </c>
      <c r="L85" s="215"/>
      <c r="M85" s="28"/>
      <c r="N85" s="214" t="s">
        <v>114</v>
      </c>
      <c r="O85" s="215"/>
      <c r="P85" s="28"/>
      <c r="Q85" s="214" t="s">
        <v>115</v>
      </c>
      <c r="R85" s="215"/>
      <c r="S85" s="7"/>
    </row>
    <row r="86" spans="2:43" x14ac:dyDescent="0.25">
      <c r="B86" s="5"/>
      <c r="C86" s="202" t="s">
        <v>106</v>
      </c>
      <c r="D86" s="203"/>
      <c r="E86" s="203"/>
      <c r="F86" s="204"/>
      <c r="G86" s="144"/>
      <c r="H86" s="197">
        <f>'1. ZWB '!H80:I80</f>
        <v>0</v>
      </c>
      <c r="I86" s="198"/>
      <c r="J86" s="192"/>
      <c r="K86" s="197">
        <f>'2. ZWB '!H80</f>
        <v>0</v>
      </c>
      <c r="L86" s="199"/>
      <c r="M86" s="192"/>
      <c r="N86" s="197">
        <f>'3. ZWB '!H80</f>
        <v>0</v>
      </c>
      <c r="O86" s="198"/>
      <c r="P86" s="192"/>
      <c r="Q86" s="197">
        <f>'EB '!H80</f>
        <v>0</v>
      </c>
      <c r="R86" s="198"/>
      <c r="S86" s="7"/>
    </row>
    <row r="87" spans="2:43" x14ac:dyDescent="0.25">
      <c r="B87" s="5"/>
      <c r="C87" s="202" t="s">
        <v>96</v>
      </c>
      <c r="D87" s="203"/>
      <c r="E87" s="203" t="s">
        <v>116</v>
      </c>
      <c r="F87" s="204" t="s">
        <v>116</v>
      </c>
      <c r="G87" s="144"/>
      <c r="H87" s="197">
        <f>'1. ZWB '!H81:I81</f>
        <v>0</v>
      </c>
      <c r="I87" s="198"/>
      <c r="J87" s="192"/>
      <c r="K87" s="197">
        <f>'2. ZWB '!H81</f>
        <v>0</v>
      </c>
      <c r="L87" s="199"/>
      <c r="M87" s="192"/>
      <c r="N87" s="197">
        <f>'3. ZWB '!H81</f>
        <v>0</v>
      </c>
      <c r="O87" s="198"/>
      <c r="P87" s="192"/>
      <c r="Q87" s="197">
        <f>'EB '!H81</f>
        <v>0</v>
      </c>
      <c r="R87" s="198"/>
      <c r="S87" s="7"/>
    </row>
    <row r="88" spans="2:43" ht="29.1" customHeight="1" x14ac:dyDescent="0.25">
      <c r="B88" s="5"/>
      <c r="C88" s="202" t="s">
        <v>93</v>
      </c>
      <c r="D88" s="203"/>
      <c r="E88" s="203" t="s">
        <v>116</v>
      </c>
      <c r="F88" s="204" t="s">
        <v>116</v>
      </c>
      <c r="G88" s="144"/>
      <c r="H88" s="197">
        <f>'1. ZWB '!H82:I82</f>
        <v>0</v>
      </c>
      <c r="I88" s="198"/>
      <c r="J88" s="192"/>
      <c r="K88" s="197">
        <f>'2. ZWB '!H82</f>
        <v>0</v>
      </c>
      <c r="L88" s="199"/>
      <c r="M88" s="192"/>
      <c r="N88" s="197">
        <f>'3. ZWB '!H82</f>
        <v>0</v>
      </c>
      <c r="O88" s="198"/>
      <c r="P88" s="192"/>
      <c r="Q88" s="197">
        <f>'EB '!H82</f>
        <v>0</v>
      </c>
      <c r="R88" s="198"/>
      <c r="S88" s="7"/>
    </row>
    <row r="89" spans="2:43" x14ac:dyDescent="0.25">
      <c r="B89" s="5"/>
      <c r="C89" s="202" t="s">
        <v>92</v>
      </c>
      <c r="D89" s="203"/>
      <c r="E89" s="203"/>
      <c r="F89" s="204"/>
      <c r="G89" s="144"/>
      <c r="H89" s="197">
        <f>'1. ZWB '!H83:I83</f>
        <v>0</v>
      </c>
      <c r="I89" s="198"/>
      <c r="J89" s="192"/>
      <c r="K89" s="197">
        <f>'2. ZWB '!H83</f>
        <v>0</v>
      </c>
      <c r="L89" s="199"/>
      <c r="M89" s="192"/>
      <c r="N89" s="197">
        <f>'3. ZWB '!H83</f>
        <v>0</v>
      </c>
      <c r="O89" s="198"/>
      <c r="P89" s="192"/>
      <c r="Q89" s="197">
        <f>'EB '!H83</f>
        <v>0</v>
      </c>
      <c r="R89" s="198"/>
      <c r="S89" s="7"/>
    </row>
    <row r="90" spans="2:43" x14ac:dyDescent="0.25">
      <c r="B90" s="5"/>
      <c r="C90" s="202" t="s">
        <v>127</v>
      </c>
      <c r="D90" s="203"/>
      <c r="E90" s="203"/>
      <c r="F90" s="204"/>
      <c r="G90" s="144"/>
      <c r="H90" s="197">
        <f>'1. ZWB '!H84:I84</f>
        <v>0</v>
      </c>
      <c r="I90" s="198"/>
      <c r="J90" s="192"/>
      <c r="K90" s="197">
        <f>'2. ZWB '!H84</f>
        <v>0</v>
      </c>
      <c r="L90" s="199"/>
      <c r="M90" s="192"/>
      <c r="N90" s="197">
        <f>'3. ZWB '!H84</f>
        <v>0</v>
      </c>
      <c r="O90" s="198"/>
      <c r="P90" s="192"/>
      <c r="Q90" s="197">
        <f>'EB '!H84</f>
        <v>0</v>
      </c>
      <c r="R90" s="198"/>
      <c r="S90" s="7"/>
    </row>
    <row r="91" spans="2:43" x14ac:dyDescent="0.25">
      <c r="B91" s="5"/>
      <c r="C91" s="202" t="s">
        <v>95</v>
      </c>
      <c r="D91" s="203"/>
      <c r="E91" s="203" t="s">
        <v>116</v>
      </c>
      <c r="F91" s="204" t="s">
        <v>116</v>
      </c>
      <c r="G91" s="144"/>
      <c r="H91" s="197">
        <f>'1. ZWB '!H85:I85</f>
        <v>0</v>
      </c>
      <c r="I91" s="198"/>
      <c r="J91" s="192"/>
      <c r="K91" s="197">
        <f>'2. ZWB '!H85</f>
        <v>0</v>
      </c>
      <c r="L91" s="199"/>
      <c r="M91" s="192"/>
      <c r="N91" s="197">
        <f>'3. ZWB '!H85</f>
        <v>0</v>
      </c>
      <c r="O91" s="198"/>
      <c r="P91" s="192"/>
      <c r="Q91" s="197">
        <f>'EB '!H85</f>
        <v>0</v>
      </c>
      <c r="R91" s="198"/>
      <c r="S91" s="7"/>
    </row>
    <row r="92" spans="2:43" x14ac:dyDescent="0.25">
      <c r="B92" s="5"/>
      <c r="C92" s="202" t="s">
        <v>94</v>
      </c>
      <c r="D92" s="203"/>
      <c r="E92" s="203" t="s">
        <v>116</v>
      </c>
      <c r="F92" s="204" t="s">
        <v>116</v>
      </c>
      <c r="G92" s="144"/>
      <c r="H92" s="197">
        <f>'1. ZWB '!H86:I86</f>
        <v>0</v>
      </c>
      <c r="I92" s="198"/>
      <c r="J92" s="192"/>
      <c r="K92" s="197">
        <f>'2. ZWB '!H86</f>
        <v>0</v>
      </c>
      <c r="L92" s="199"/>
      <c r="M92" s="192"/>
      <c r="N92" s="197">
        <f>'3. ZWB '!H86</f>
        <v>0</v>
      </c>
      <c r="O92" s="198"/>
      <c r="P92" s="192"/>
      <c r="Q92" s="197">
        <f>'EB '!H86</f>
        <v>0</v>
      </c>
      <c r="R92" s="198"/>
      <c r="S92" s="7"/>
    </row>
    <row r="93" spans="2:43" s="9" customFormat="1" ht="25.15" customHeight="1" x14ac:dyDescent="0.25">
      <c r="B93" s="59"/>
      <c r="C93" s="35" t="s">
        <v>0</v>
      </c>
      <c r="D93" s="11"/>
      <c r="E93" s="11"/>
      <c r="F93" s="14"/>
      <c r="G93" s="14"/>
      <c r="H93" s="14"/>
      <c r="I93" s="55"/>
      <c r="J93" s="14"/>
      <c r="K93" s="14"/>
      <c r="L93" s="55"/>
      <c r="M93" s="14"/>
      <c r="N93" s="14"/>
      <c r="O93" s="55"/>
      <c r="P93" s="14"/>
      <c r="Q93" s="14"/>
      <c r="R93" s="55"/>
      <c r="S93" s="102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</row>
    <row r="94" spans="2:43" s="68" customFormat="1" x14ac:dyDescent="0.25">
      <c r="I94" s="131"/>
      <c r="L94" s="131"/>
      <c r="O94" s="131"/>
      <c r="R94" s="131"/>
    </row>
    <row r="95" spans="2:43" s="68" customFormat="1" x14ac:dyDescent="0.25">
      <c r="I95" s="131"/>
      <c r="L95" s="131"/>
      <c r="O95" s="131"/>
      <c r="R95" s="131"/>
    </row>
    <row r="96" spans="2:43" s="68" customFormat="1" x14ac:dyDescent="0.25">
      <c r="I96" s="131"/>
      <c r="L96" s="131"/>
      <c r="O96" s="131"/>
      <c r="R96" s="131"/>
    </row>
    <row r="97" spans="9:18" s="68" customFormat="1" x14ac:dyDescent="0.25">
      <c r="I97" s="131"/>
      <c r="L97" s="131"/>
      <c r="O97" s="131"/>
      <c r="R97" s="131"/>
    </row>
    <row r="98" spans="9:18" s="68" customFormat="1" x14ac:dyDescent="0.25">
      <c r="I98" s="131"/>
      <c r="L98" s="131"/>
      <c r="O98" s="131"/>
      <c r="R98" s="131"/>
    </row>
    <row r="99" spans="9:18" s="68" customFormat="1" x14ac:dyDescent="0.25">
      <c r="I99" s="131"/>
      <c r="L99" s="131"/>
      <c r="O99" s="131"/>
      <c r="R99" s="131"/>
    </row>
    <row r="100" spans="9:18" s="68" customFormat="1" x14ac:dyDescent="0.25">
      <c r="I100" s="131"/>
      <c r="L100" s="131"/>
      <c r="O100" s="131"/>
      <c r="R100" s="131"/>
    </row>
    <row r="101" spans="9:18" s="68" customFormat="1" x14ac:dyDescent="0.25">
      <c r="I101" s="131"/>
      <c r="L101" s="131"/>
      <c r="O101" s="131"/>
      <c r="R101" s="131"/>
    </row>
    <row r="102" spans="9:18" s="68" customFormat="1" x14ac:dyDescent="0.25">
      <c r="I102" s="131"/>
      <c r="L102" s="131"/>
      <c r="O102" s="131"/>
      <c r="R102" s="131"/>
    </row>
    <row r="103" spans="9:18" s="68" customFormat="1" x14ac:dyDescent="0.25">
      <c r="I103" s="131"/>
      <c r="L103" s="131"/>
      <c r="O103" s="131"/>
      <c r="R103" s="131"/>
    </row>
    <row r="104" spans="9:18" s="68" customFormat="1" x14ac:dyDescent="0.25">
      <c r="I104" s="131"/>
      <c r="L104" s="131"/>
      <c r="O104" s="131"/>
      <c r="R104" s="131"/>
    </row>
    <row r="105" spans="9:18" s="68" customFormat="1" x14ac:dyDescent="0.25">
      <c r="I105" s="131"/>
      <c r="L105" s="131"/>
      <c r="O105" s="131"/>
      <c r="R105" s="131"/>
    </row>
    <row r="106" spans="9:18" s="68" customFormat="1" x14ac:dyDescent="0.25">
      <c r="I106" s="131"/>
      <c r="L106" s="131"/>
      <c r="O106" s="131"/>
      <c r="R106" s="131"/>
    </row>
    <row r="107" spans="9:18" s="68" customFormat="1" x14ac:dyDescent="0.25">
      <c r="I107" s="131"/>
      <c r="L107" s="131"/>
      <c r="O107" s="131"/>
      <c r="R107" s="131"/>
    </row>
    <row r="108" spans="9:18" s="68" customFormat="1" x14ac:dyDescent="0.25">
      <c r="I108" s="131"/>
      <c r="L108" s="131"/>
      <c r="O108" s="131"/>
      <c r="R108" s="131"/>
    </row>
    <row r="109" spans="9:18" s="68" customFormat="1" x14ac:dyDescent="0.25">
      <c r="I109" s="131"/>
      <c r="L109" s="131"/>
      <c r="O109" s="131"/>
      <c r="R109" s="131"/>
    </row>
    <row r="110" spans="9:18" s="68" customFormat="1" x14ac:dyDescent="0.25">
      <c r="I110" s="131"/>
      <c r="L110" s="131"/>
      <c r="O110" s="131"/>
      <c r="R110" s="131"/>
    </row>
    <row r="111" spans="9:18" s="68" customFormat="1" x14ac:dyDescent="0.25">
      <c r="I111" s="131"/>
      <c r="L111" s="131"/>
      <c r="O111" s="131"/>
      <c r="R111" s="131"/>
    </row>
    <row r="112" spans="9:18" s="68" customFormat="1" x14ac:dyDescent="0.25">
      <c r="I112" s="131"/>
      <c r="L112" s="131"/>
      <c r="O112" s="131"/>
      <c r="R112" s="131"/>
    </row>
    <row r="113" spans="9:18" s="68" customFormat="1" x14ac:dyDescent="0.25">
      <c r="I113" s="131"/>
      <c r="L113" s="131"/>
      <c r="O113" s="131"/>
      <c r="R113" s="131"/>
    </row>
    <row r="114" spans="9:18" s="68" customFormat="1" x14ac:dyDescent="0.25">
      <c r="I114" s="131"/>
      <c r="L114" s="131"/>
      <c r="O114" s="131"/>
      <c r="R114" s="131"/>
    </row>
    <row r="115" spans="9:18" s="68" customFormat="1" x14ac:dyDescent="0.25">
      <c r="I115" s="131"/>
      <c r="L115" s="131"/>
      <c r="O115" s="131"/>
      <c r="R115" s="131"/>
    </row>
    <row r="116" spans="9:18" s="68" customFormat="1" x14ac:dyDescent="0.25">
      <c r="I116" s="131"/>
      <c r="L116" s="131"/>
      <c r="O116" s="131"/>
      <c r="R116" s="131"/>
    </row>
    <row r="117" spans="9:18" s="68" customFormat="1" x14ac:dyDescent="0.25">
      <c r="I117" s="131"/>
      <c r="L117" s="131"/>
      <c r="O117" s="131"/>
      <c r="R117" s="131"/>
    </row>
    <row r="118" spans="9:18" s="68" customFormat="1" x14ac:dyDescent="0.25">
      <c r="I118" s="131"/>
      <c r="L118" s="131"/>
      <c r="O118" s="131"/>
      <c r="R118" s="131"/>
    </row>
    <row r="119" spans="9:18" s="68" customFormat="1" x14ac:dyDescent="0.25">
      <c r="I119" s="131"/>
      <c r="L119" s="131"/>
      <c r="O119" s="131"/>
      <c r="R119" s="131"/>
    </row>
    <row r="120" spans="9:18" s="68" customFormat="1" x14ac:dyDescent="0.25">
      <c r="I120" s="131"/>
      <c r="L120" s="131"/>
      <c r="O120" s="131"/>
      <c r="R120" s="131"/>
    </row>
    <row r="121" spans="9:18" s="68" customFormat="1" x14ac:dyDescent="0.25">
      <c r="I121" s="131"/>
      <c r="L121" s="131"/>
      <c r="O121" s="131"/>
      <c r="R121" s="131"/>
    </row>
    <row r="122" spans="9:18" s="68" customFormat="1" x14ac:dyDescent="0.25">
      <c r="I122" s="131"/>
      <c r="L122" s="131"/>
      <c r="O122" s="131"/>
      <c r="R122" s="131"/>
    </row>
    <row r="123" spans="9:18" s="68" customFormat="1" x14ac:dyDescent="0.25">
      <c r="I123" s="131"/>
      <c r="L123" s="131"/>
      <c r="O123" s="131"/>
      <c r="R123" s="131"/>
    </row>
    <row r="124" spans="9:18" s="68" customFormat="1" x14ac:dyDescent="0.25">
      <c r="I124" s="131"/>
      <c r="L124" s="131"/>
      <c r="O124" s="131"/>
      <c r="R124" s="131"/>
    </row>
    <row r="125" spans="9:18" s="68" customFormat="1" x14ac:dyDescent="0.25">
      <c r="I125" s="131"/>
      <c r="L125" s="131"/>
      <c r="O125" s="131"/>
      <c r="R125" s="131"/>
    </row>
    <row r="126" spans="9:18" s="68" customFormat="1" x14ac:dyDescent="0.25">
      <c r="I126" s="131"/>
      <c r="L126" s="131"/>
      <c r="O126" s="131"/>
      <c r="R126" s="131"/>
    </row>
    <row r="127" spans="9:18" s="68" customFormat="1" x14ac:dyDescent="0.25">
      <c r="I127" s="131"/>
      <c r="L127" s="131"/>
      <c r="O127" s="131"/>
      <c r="R127" s="131"/>
    </row>
    <row r="128" spans="9:18" s="68" customFormat="1" x14ac:dyDescent="0.25">
      <c r="I128" s="131"/>
      <c r="L128" s="131"/>
      <c r="O128" s="131"/>
      <c r="R128" s="131"/>
    </row>
    <row r="129" spans="9:18" s="68" customFormat="1" x14ac:dyDescent="0.25">
      <c r="I129" s="131"/>
      <c r="L129" s="131"/>
      <c r="O129" s="131"/>
      <c r="R129" s="131"/>
    </row>
    <row r="130" spans="9:18" s="68" customFormat="1" x14ac:dyDescent="0.25">
      <c r="I130" s="131"/>
      <c r="L130" s="131"/>
      <c r="O130" s="131"/>
      <c r="R130" s="131"/>
    </row>
    <row r="131" spans="9:18" s="68" customFormat="1" x14ac:dyDescent="0.25">
      <c r="I131" s="131"/>
      <c r="L131" s="131"/>
      <c r="O131" s="131"/>
      <c r="R131" s="131"/>
    </row>
    <row r="132" spans="9:18" s="68" customFormat="1" x14ac:dyDescent="0.25">
      <c r="I132" s="131"/>
      <c r="L132" s="131"/>
      <c r="O132" s="131"/>
      <c r="R132" s="131"/>
    </row>
    <row r="133" spans="9:18" s="68" customFormat="1" x14ac:dyDescent="0.25">
      <c r="I133" s="131"/>
      <c r="L133" s="131"/>
      <c r="O133" s="131"/>
      <c r="R133" s="131"/>
    </row>
    <row r="134" spans="9:18" s="68" customFormat="1" x14ac:dyDescent="0.25">
      <c r="I134" s="131"/>
      <c r="L134" s="131"/>
      <c r="O134" s="131"/>
      <c r="R134" s="131"/>
    </row>
    <row r="135" spans="9:18" s="68" customFormat="1" x14ac:dyDescent="0.25">
      <c r="I135" s="131"/>
      <c r="L135" s="131"/>
      <c r="O135" s="131"/>
      <c r="R135" s="131"/>
    </row>
    <row r="136" spans="9:18" s="68" customFormat="1" x14ac:dyDescent="0.25">
      <c r="I136" s="131"/>
      <c r="L136" s="131"/>
      <c r="O136" s="131"/>
      <c r="R136" s="131"/>
    </row>
    <row r="137" spans="9:18" s="68" customFormat="1" x14ac:dyDescent="0.25">
      <c r="I137" s="131"/>
      <c r="L137" s="131"/>
      <c r="O137" s="131"/>
      <c r="R137" s="131"/>
    </row>
    <row r="138" spans="9:18" s="68" customFormat="1" x14ac:dyDescent="0.25">
      <c r="I138" s="131"/>
      <c r="L138" s="131"/>
      <c r="O138" s="131"/>
      <c r="R138" s="131"/>
    </row>
    <row r="139" spans="9:18" s="68" customFormat="1" x14ac:dyDescent="0.25">
      <c r="I139" s="131"/>
      <c r="L139" s="131"/>
      <c r="O139" s="131"/>
      <c r="R139" s="131"/>
    </row>
    <row r="140" spans="9:18" s="68" customFormat="1" x14ac:dyDescent="0.25">
      <c r="I140" s="131"/>
      <c r="L140" s="131"/>
      <c r="O140" s="131"/>
      <c r="R140" s="131"/>
    </row>
    <row r="141" spans="9:18" s="68" customFormat="1" x14ac:dyDescent="0.25">
      <c r="I141" s="131"/>
      <c r="L141" s="131"/>
      <c r="O141" s="131"/>
      <c r="R141" s="131"/>
    </row>
    <row r="142" spans="9:18" s="68" customFormat="1" x14ac:dyDescent="0.25">
      <c r="I142" s="131"/>
      <c r="L142" s="131"/>
      <c r="O142" s="131"/>
      <c r="R142" s="131"/>
    </row>
    <row r="143" spans="9:18" s="68" customFormat="1" x14ac:dyDescent="0.25">
      <c r="I143" s="131"/>
      <c r="L143" s="131"/>
      <c r="O143" s="131"/>
      <c r="R143" s="131"/>
    </row>
    <row r="144" spans="9:18" s="68" customFormat="1" x14ac:dyDescent="0.25">
      <c r="I144" s="131"/>
      <c r="L144" s="131"/>
      <c r="O144" s="131"/>
      <c r="R144" s="131"/>
    </row>
    <row r="145" spans="9:18" s="68" customFormat="1" x14ac:dyDescent="0.25">
      <c r="I145" s="131"/>
      <c r="L145" s="131"/>
      <c r="O145" s="131"/>
      <c r="R145" s="131"/>
    </row>
    <row r="146" spans="9:18" s="68" customFormat="1" x14ac:dyDescent="0.25">
      <c r="I146" s="131"/>
      <c r="L146" s="131"/>
      <c r="O146" s="131"/>
      <c r="R146" s="131"/>
    </row>
    <row r="147" spans="9:18" s="68" customFormat="1" x14ac:dyDescent="0.25">
      <c r="I147" s="131"/>
      <c r="L147" s="131"/>
      <c r="O147" s="131"/>
      <c r="R147" s="131"/>
    </row>
    <row r="148" spans="9:18" s="68" customFormat="1" x14ac:dyDescent="0.25">
      <c r="I148" s="131"/>
      <c r="L148" s="131"/>
      <c r="O148" s="131"/>
      <c r="R148" s="131"/>
    </row>
    <row r="149" spans="9:18" s="68" customFormat="1" x14ac:dyDescent="0.25">
      <c r="I149" s="131"/>
      <c r="L149" s="131"/>
      <c r="O149" s="131"/>
      <c r="R149" s="131"/>
    </row>
    <row r="150" spans="9:18" s="68" customFormat="1" x14ac:dyDescent="0.25">
      <c r="I150" s="131"/>
      <c r="L150" s="131"/>
      <c r="O150" s="131"/>
      <c r="R150" s="131"/>
    </row>
    <row r="151" spans="9:18" s="68" customFormat="1" x14ac:dyDescent="0.25">
      <c r="I151" s="131"/>
      <c r="L151" s="131"/>
      <c r="O151" s="131"/>
      <c r="R151" s="131"/>
    </row>
    <row r="152" spans="9:18" s="68" customFormat="1" x14ac:dyDescent="0.25">
      <c r="I152" s="131"/>
      <c r="L152" s="131"/>
      <c r="O152" s="131"/>
      <c r="R152" s="131"/>
    </row>
    <row r="153" spans="9:18" s="68" customFormat="1" x14ac:dyDescent="0.25">
      <c r="I153" s="131"/>
      <c r="L153" s="131"/>
      <c r="O153" s="131"/>
      <c r="R153" s="131"/>
    </row>
    <row r="154" spans="9:18" s="68" customFormat="1" x14ac:dyDescent="0.25">
      <c r="I154" s="131"/>
      <c r="L154" s="131"/>
      <c r="O154" s="131"/>
      <c r="R154" s="131"/>
    </row>
    <row r="155" spans="9:18" s="68" customFormat="1" x14ac:dyDescent="0.25">
      <c r="I155" s="131"/>
      <c r="L155" s="131"/>
      <c r="O155" s="131"/>
      <c r="R155" s="131"/>
    </row>
    <row r="156" spans="9:18" s="68" customFormat="1" x14ac:dyDescent="0.25">
      <c r="I156" s="131"/>
      <c r="L156" s="131"/>
      <c r="O156" s="131"/>
      <c r="R156" s="131"/>
    </row>
    <row r="157" spans="9:18" s="68" customFormat="1" x14ac:dyDescent="0.25">
      <c r="I157" s="131"/>
      <c r="L157" s="131"/>
      <c r="O157" s="131"/>
      <c r="R157" s="131"/>
    </row>
    <row r="158" spans="9:18" s="68" customFormat="1" x14ac:dyDescent="0.25">
      <c r="I158" s="131"/>
      <c r="L158" s="131"/>
      <c r="O158" s="131"/>
      <c r="R158" s="131"/>
    </row>
    <row r="159" spans="9:18" s="68" customFormat="1" x14ac:dyDescent="0.25">
      <c r="I159" s="131"/>
      <c r="L159" s="131"/>
      <c r="O159" s="131"/>
      <c r="R159" s="131"/>
    </row>
    <row r="160" spans="9:18" s="68" customFormat="1" x14ac:dyDescent="0.25">
      <c r="I160" s="131"/>
      <c r="L160" s="131"/>
      <c r="O160" s="131"/>
      <c r="R160" s="131"/>
    </row>
    <row r="161" spans="9:18" s="68" customFormat="1" x14ac:dyDescent="0.25">
      <c r="I161" s="131"/>
      <c r="L161" s="131"/>
      <c r="O161" s="131"/>
      <c r="R161" s="131"/>
    </row>
    <row r="162" spans="9:18" s="68" customFormat="1" x14ac:dyDescent="0.25">
      <c r="I162" s="131"/>
      <c r="L162" s="131"/>
      <c r="O162" s="131"/>
      <c r="R162" s="131"/>
    </row>
    <row r="163" spans="9:18" s="68" customFormat="1" x14ac:dyDescent="0.25">
      <c r="I163" s="131"/>
      <c r="L163" s="131"/>
      <c r="O163" s="131"/>
      <c r="R163" s="131"/>
    </row>
    <row r="164" spans="9:18" s="68" customFormat="1" x14ac:dyDescent="0.25">
      <c r="I164" s="131"/>
      <c r="L164" s="131"/>
      <c r="O164" s="131"/>
      <c r="R164" s="131"/>
    </row>
    <row r="165" spans="9:18" s="68" customFormat="1" x14ac:dyDescent="0.25">
      <c r="I165" s="131"/>
      <c r="L165" s="131"/>
      <c r="O165" s="131"/>
      <c r="R165" s="131"/>
    </row>
    <row r="166" spans="9:18" s="68" customFormat="1" x14ac:dyDescent="0.25">
      <c r="I166" s="131"/>
      <c r="L166" s="131"/>
      <c r="O166" s="131"/>
      <c r="R166" s="131"/>
    </row>
    <row r="167" spans="9:18" s="68" customFormat="1" x14ac:dyDescent="0.25">
      <c r="I167" s="131"/>
      <c r="L167" s="131"/>
      <c r="O167" s="131"/>
      <c r="R167" s="131"/>
    </row>
    <row r="168" spans="9:18" s="68" customFormat="1" x14ac:dyDescent="0.25">
      <c r="I168" s="131"/>
      <c r="L168" s="131"/>
      <c r="O168" s="131"/>
      <c r="R168" s="131"/>
    </row>
    <row r="169" spans="9:18" s="68" customFormat="1" x14ac:dyDescent="0.25">
      <c r="I169" s="131"/>
      <c r="L169" s="131"/>
      <c r="O169" s="131"/>
      <c r="R169" s="131"/>
    </row>
    <row r="170" spans="9:18" s="68" customFormat="1" x14ac:dyDescent="0.25">
      <c r="I170" s="131"/>
      <c r="L170" s="131"/>
      <c r="O170" s="131"/>
      <c r="R170" s="131"/>
    </row>
    <row r="171" spans="9:18" s="68" customFormat="1" x14ac:dyDescent="0.25">
      <c r="I171" s="131"/>
      <c r="L171" s="131"/>
      <c r="O171" s="131"/>
      <c r="R171" s="131"/>
    </row>
    <row r="172" spans="9:18" s="68" customFormat="1" x14ac:dyDescent="0.25">
      <c r="I172" s="131"/>
      <c r="L172" s="131"/>
      <c r="O172" s="131"/>
      <c r="R172" s="131"/>
    </row>
    <row r="173" spans="9:18" s="68" customFormat="1" x14ac:dyDescent="0.25">
      <c r="I173" s="131"/>
      <c r="L173" s="131"/>
      <c r="O173" s="131"/>
      <c r="R173" s="131"/>
    </row>
    <row r="174" spans="9:18" s="68" customFormat="1" x14ac:dyDescent="0.25">
      <c r="I174" s="131"/>
      <c r="L174" s="131"/>
      <c r="O174" s="131"/>
      <c r="R174" s="131"/>
    </row>
    <row r="175" spans="9:18" s="68" customFormat="1" x14ac:dyDescent="0.25">
      <c r="I175" s="131"/>
      <c r="L175" s="131"/>
      <c r="O175" s="131"/>
      <c r="R175" s="131"/>
    </row>
    <row r="176" spans="9:18" s="68" customFormat="1" x14ac:dyDescent="0.25">
      <c r="I176" s="131"/>
      <c r="L176" s="131"/>
      <c r="O176" s="131"/>
      <c r="R176" s="131"/>
    </row>
    <row r="177" spans="9:18" s="68" customFormat="1" x14ac:dyDescent="0.25">
      <c r="I177" s="131"/>
      <c r="L177" s="131"/>
      <c r="O177" s="131"/>
      <c r="R177" s="131"/>
    </row>
    <row r="178" spans="9:18" s="68" customFormat="1" x14ac:dyDescent="0.25">
      <c r="I178" s="131"/>
      <c r="L178" s="131"/>
      <c r="O178" s="131"/>
      <c r="R178" s="131"/>
    </row>
    <row r="179" spans="9:18" s="68" customFormat="1" x14ac:dyDescent="0.25">
      <c r="I179" s="131"/>
      <c r="L179" s="131"/>
      <c r="O179" s="131"/>
      <c r="R179" s="131"/>
    </row>
    <row r="180" spans="9:18" s="68" customFormat="1" x14ac:dyDescent="0.25">
      <c r="I180" s="131"/>
      <c r="L180" s="131"/>
      <c r="O180" s="131"/>
      <c r="R180" s="131"/>
    </row>
    <row r="181" spans="9:18" s="68" customFormat="1" x14ac:dyDescent="0.25">
      <c r="I181" s="131"/>
      <c r="L181" s="131"/>
      <c r="O181" s="131"/>
      <c r="R181" s="131"/>
    </row>
    <row r="182" spans="9:18" s="68" customFormat="1" x14ac:dyDescent="0.25">
      <c r="I182" s="131"/>
      <c r="L182" s="131"/>
      <c r="O182" s="131"/>
      <c r="R182" s="131"/>
    </row>
    <row r="183" spans="9:18" s="68" customFormat="1" x14ac:dyDescent="0.25">
      <c r="I183" s="131"/>
      <c r="L183" s="131"/>
      <c r="O183" s="131"/>
      <c r="R183" s="131"/>
    </row>
    <row r="184" spans="9:18" s="68" customFormat="1" x14ac:dyDescent="0.25">
      <c r="I184" s="131"/>
      <c r="L184" s="131"/>
      <c r="O184" s="131"/>
      <c r="R184" s="131"/>
    </row>
    <row r="185" spans="9:18" s="68" customFormat="1" x14ac:dyDescent="0.25">
      <c r="I185" s="131"/>
      <c r="L185" s="131"/>
      <c r="O185" s="131"/>
      <c r="R185" s="131"/>
    </row>
    <row r="186" spans="9:18" s="68" customFormat="1" x14ac:dyDescent="0.25">
      <c r="I186" s="131"/>
      <c r="L186" s="131"/>
      <c r="O186" s="131"/>
      <c r="R186" s="131"/>
    </row>
    <row r="187" spans="9:18" s="68" customFormat="1" x14ac:dyDescent="0.25">
      <c r="I187" s="131"/>
      <c r="L187" s="131"/>
      <c r="O187" s="131"/>
      <c r="R187" s="131"/>
    </row>
    <row r="188" spans="9:18" s="68" customFormat="1" x14ac:dyDescent="0.25">
      <c r="I188" s="131"/>
      <c r="L188" s="131"/>
      <c r="O188" s="131"/>
      <c r="R188" s="131"/>
    </row>
    <row r="189" spans="9:18" s="68" customFormat="1" x14ac:dyDescent="0.25">
      <c r="I189" s="131"/>
      <c r="L189" s="131"/>
      <c r="O189" s="131"/>
      <c r="R189" s="131"/>
    </row>
    <row r="190" spans="9:18" s="68" customFormat="1" x14ac:dyDescent="0.25">
      <c r="I190" s="131"/>
      <c r="L190" s="131"/>
      <c r="O190" s="131"/>
      <c r="R190" s="131"/>
    </row>
    <row r="191" spans="9:18" s="68" customFormat="1" x14ac:dyDescent="0.25">
      <c r="I191" s="131"/>
      <c r="L191" s="131"/>
      <c r="O191" s="131"/>
      <c r="R191" s="131"/>
    </row>
    <row r="192" spans="9:18" s="68" customFormat="1" x14ac:dyDescent="0.25">
      <c r="I192" s="131"/>
      <c r="L192" s="131"/>
      <c r="O192" s="131"/>
      <c r="R192" s="131"/>
    </row>
    <row r="193" spans="9:18" s="68" customFormat="1" x14ac:dyDescent="0.25">
      <c r="I193" s="131"/>
      <c r="L193" s="131"/>
      <c r="O193" s="131"/>
      <c r="R193" s="131"/>
    </row>
    <row r="194" spans="9:18" s="68" customFormat="1" x14ac:dyDescent="0.25">
      <c r="I194" s="131"/>
      <c r="L194" s="131"/>
      <c r="O194" s="131"/>
      <c r="R194" s="131"/>
    </row>
    <row r="195" spans="9:18" s="68" customFormat="1" x14ac:dyDescent="0.25">
      <c r="I195" s="131"/>
      <c r="L195" s="131"/>
      <c r="O195" s="131"/>
      <c r="R195" s="131"/>
    </row>
    <row r="196" spans="9:18" s="68" customFormat="1" x14ac:dyDescent="0.25">
      <c r="I196" s="131"/>
      <c r="L196" s="131"/>
      <c r="O196" s="131"/>
      <c r="R196" s="131"/>
    </row>
    <row r="197" spans="9:18" s="68" customFormat="1" x14ac:dyDescent="0.25">
      <c r="I197" s="131"/>
      <c r="L197" s="131"/>
      <c r="O197" s="131"/>
      <c r="R197" s="131"/>
    </row>
    <row r="198" spans="9:18" s="68" customFormat="1" x14ac:dyDescent="0.25">
      <c r="I198" s="131"/>
      <c r="L198" s="131"/>
      <c r="O198" s="131"/>
      <c r="R198" s="131"/>
    </row>
    <row r="199" spans="9:18" s="68" customFormat="1" x14ac:dyDescent="0.25">
      <c r="I199" s="131"/>
      <c r="L199" s="131"/>
      <c r="O199" s="131"/>
      <c r="R199" s="131"/>
    </row>
    <row r="200" spans="9:18" s="68" customFormat="1" x14ac:dyDescent="0.25">
      <c r="I200" s="131"/>
      <c r="L200" s="131"/>
      <c r="O200" s="131"/>
      <c r="R200" s="131"/>
    </row>
    <row r="201" spans="9:18" s="68" customFormat="1" x14ac:dyDescent="0.25">
      <c r="I201" s="131"/>
      <c r="L201" s="131"/>
      <c r="O201" s="131"/>
      <c r="R201" s="131"/>
    </row>
    <row r="202" spans="9:18" s="68" customFormat="1" x14ac:dyDescent="0.25">
      <c r="I202" s="131"/>
      <c r="L202" s="131"/>
      <c r="O202" s="131"/>
      <c r="R202" s="131"/>
    </row>
    <row r="203" spans="9:18" s="68" customFormat="1" x14ac:dyDescent="0.25">
      <c r="I203" s="131"/>
      <c r="L203" s="131"/>
      <c r="O203" s="131"/>
      <c r="R203" s="131"/>
    </row>
    <row r="204" spans="9:18" s="68" customFormat="1" x14ac:dyDescent="0.25">
      <c r="I204" s="131"/>
      <c r="L204" s="131"/>
      <c r="O204" s="131"/>
      <c r="R204" s="131"/>
    </row>
    <row r="205" spans="9:18" s="68" customFormat="1" x14ac:dyDescent="0.25">
      <c r="I205" s="131"/>
      <c r="L205" s="131"/>
      <c r="O205" s="131"/>
      <c r="R205" s="131"/>
    </row>
    <row r="206" spans="9:18" s="68" customFormat="1" x14ac:dyDescent="0.25">
      <c r="I206" s="131"/>
      <c r="L206" s="131"/>
      <c r="O206" s="131"/>
      <c r="R206" s="131"/>
    </row>
    <row r="207" spans="9:18" s="68" customFormat="1" x14ac:dyDescent="0.25">
      <c r="I207" s="131"/>
      <c r="L207" s="131"/>
      <c r="O207" s="131"/>
      <c r="R207" s="131"/>
    </row>
    <row r="208" spans="9:18" s="68" customFormat="1" x14ac:dyDescent="0.25">
      <c r="I208" s="131"/>
      <c r="L208" s="131"/>
      <c r="O208" s="131"/>
      <c r="R208" s="131"/>
    </row>
    <row r="209" spans="9:18" s="68" customFormat="1" x14ac:dyDescent="0.25">
      <c r="I209" s="131"/>
      <c r="L209" s="131"/>
      <c r="O209" s="131"/>
      <c r="R209" s="131"/>
    </row>
    <row r="210" spans="9:18" s="68" customFormat="1" x14ac:dyDescent="0.25">
      <c r="I210" s="131"/>
      <c r="L210" s="131"/>
      <c r="O210" s="131"/>
      <c r="R210" s="131"/>
    </row>
    <row r="211" spans="9:18" s="68" customFormat="1" x14ac:dyDescent="0.25">
      <c r="I211" s="131"/>
      <c r="L211" s="131"/>
      <c r="O211" s="131"/>
      <c r="R211" s="131"/>
    </row>
    <row r="212" spans="9:18" s="68" customFormat="1" x14ac:dyDescent="0.25">
      <c r="I212" s="131"/>
      <c r="L212" s="131"/>
      <c r="O212" s="131"/>
      <c r="R212" s="131"/>
    </row>
    <row r="213" spans="9:18" s="68" customFormat="1" x14ac:dyDescent="0.25">
      <c r="I213" s="131"/>
      <c r="L213" s="131"/>
      <c r="O213" s="131"/>
      <c r="R213" s="131"/>
    </row>
    <row r="214" spans="9:18" s="68" customFormat="1" x14ac:dyDescent="0.25">
      <c r="I214" s="131"/>
      <c r="L214" s="131"/>
      <c r="O214" s="131"/>
      <c r="R214" s="131"/>
    </row>
    <row r="215" spans="9:18" s="68" customFormat="1" x14ac:dyDescent="0.25">
      <c r="I215" s="131"/>
      <c r="L215" s="131"/>
      <c r="O215" s="131"/>
      <c r="R215" s="131"/>
    </row>
    <row r="216" spans="9:18" s="68" customFormat="1" x14ac:dyDescent="0.25">
      <c r="I216" s="131"/>
      <c r="L216" s="131"/>
      <c r="O216" s="131"/>
      <c r="R216" s="131"/>
    </row>
    <row r="217" spans="9:18" s="68" customFormat="1" x14ac:dyDescent="0.25">
      <c r="I217" s="131"/>
      <c r="L217" s="131"/>
      <c r="O217" s="131"/>
      <c r="R217" s="131"/>
    </row>
    <row r="218" spans="9:18" s="68" customFormat="1" x14ac:dyDescent="0.25">
      <c r="I218" s="131"/>
      <c r="L218" s="131"/>
      <c r="O218" s="131"/>
      <c r="R218" s="131"/>
    </row>
    <row r="219" spans="9:18" s="68" customFormat="1" x14ac:dyDescent="0.25">
      <c r="I219" s="131"/>
      <c r="L219" s="131"/>
      <c r="O219" s="131"/>
      <c r="R219" s="131"/>
    </row>
    <row r="220" spans="9:18" s="68" customFormat="1" x14ac:dyDescent="0.25">
      <c r="I220" s="131"/>
      <c r="L220" s="131"/>
      <c r="O220" s="131"/>
      <c r="R220" s="131"/>
    </row>
    <row r="221" spans="9:18" s="68" customFormat="1" x14ac:dyDescent="0.25">
      <c r="I221" s="131"/>
      <c r="L221" s="131"/>
      <c r="O221" s="131"/>
      <c r="R221" s="131"/>
    </row>
    <row r="222" spans="9:18" s="68" customFormat="1" x14ac:dyDescent="0.25">
      <c r="I222" s="131"/>
      <c r="L222" s="131"/>
      <c r="O222" s="131"/>
      <c r="R222" s="131"/>
    </row>
    <row r="223" spans="9:18" s="68" customFormat="1" x14ac:dyDescent="0.25">
      <c r="I223" s="131"/>
      <c r="L223" s="131"/>
      <c r="O223" s="131"/>
      <c r="R223" s="131"/>
    </row>
    <row r="224" spans="9:18" s="68" customFormat="1" x14ac:dyDescent="0.25">
      <c r="I224" s="131"/>
      <c r="L224" s="131"/>
      <c r="O224" s="131"/>
      <c r="R224" s="131"/>
    </row>
    <row r="225" spans="9:18" s="68" customFormat="1" x14ac:dyDescent="0.25">
      <c r="I225" s="131"/>
      <c r="L225" s="131"/>
      <c r="O225" s="131"/>
      <c r="R225" s="131"/>
    </row>
    <row r="226" spans="9:18" s="68" customFormat="1" x14ac:dyDescent="0.25">
      <c r="I226" s="131"/>
      <c r="L226" s="131"/>
      <c r="O226" s="131"/>
      <c r="R226" s="131"/>
    </row>
    <row r="227" spans="9:18" s="68" customFormat="1" x14ac:dyDescent="0.25">
      <c r="I227" s="131"/>
      <c r="L227" s="131"/>
      <c r="O227" s="131"/>
      <c r="R227" s="131"/>
    </row>
    <row r="228" spans="9:18" s="68" customFormat="1" x14ac:dyDescent="0.25">
      <c r="I228" s="131"/>
      <c r="L228" s="131"/>
      <c r="O228" s="131"/>
      <c r="R228" s="131"/>
    </row>
    <row r="229" spans="9:18" s="68" customFormat="1" x14ac:dyDescent="0.25">
      <c r="I229" s="131"/>
      <c r="L229" s="131"/>
      <c r="O229" s="131"/>
      <c r="R229" s="131"/>
    </row>
    <row r="230" spans="9:18" s="68" customFormat="1" x14ac:dyDescent="0.25">
      <c r="I230" s="131"/>
      <c r="L230" s="131"/>
      <c r="O230" s="131"/>
      <c r="R230" s="131"/>
    </row>
    <row r="231" spans="9:18" s="68" customFormat="1" x14ac:dyDescent="0.25">
      <c r="I231" s="131"/>
      <c r="L231" s="131"/>
      <c r="O231" s="131"/>
      <c r="R231" s="131"/>
    </row>
    <row r="232" spans="9:18" s="68" customFormat="1" x14ac:dyDescent="0.25">
      <c r="I232" s="131"/>
      <c r="L232" s="131"/>
      <c r="O232" s="131"/>
      <c r="R232" s="131"/>
    </row>
    <row r="233" spans="9:18" s="68" customFormat="1" x14ac:dyDescent="0.25">
      <c r="I233" s="131"/>
      <c r="L233" s="131"/>
      <c r="O233" s="131"/>
      <c r="R233" s="131"/>
    </row>
    <row r="234" spans="9:18" s="68" customFormat="1" x14ac:dyDescent="0.25">
      <c r="I234" s="131"/>
      <c r="L234" s="131"/>
      <c r="O234" s="131"/>
      <c r="R234" s="131"/>
    </row>
    <row r="235" spans="9:18" s="68" customFormat="1" x14ac:dyDescent="0.25">
      <c r="I235" s="131"/>
      <c r="L235" s="131"/>
      <c r="O235" s="131"/>
      <c r="R235" s="131"/>
    </row>
    <row r="236" spans="9:18" s="68" customFormat="1" x14ac:dyDescent="0.25">
      <c r="I236" s="131"/>
      <c r="L236" s="131"/>
      <c r="O236" s="131"/>
      <c r="R236" s="131"/>
    </row>
    <row r="237" spans="9:18" s="68" customFormat="1" x14ac:dyDescent="0.25">
      <c r="I237" s="131"/>
      <c r="L237" s="131"/>
      <c r="O237" s="131"/>
      <c r="R237" s="131"/>
    </row>
    <row r="238" spans="9:18" s="68" customFormat="1" x14ac:dyDescent="0.25">
      <c r="I238" s="131"/>
      <c r="L238" s="131"/>
      <c r="O238" s="131"/>
      <c r="R238" s="131"/>
    </row>
    <row r="239" spans="9:18" s="68" customFormat="1" x14ac:dyDescent="0.25">
      <c r="I239" s="131"/>
      <c r="L239" s="131"/>
      <c r="O239" s="131"/>
      <c r="R239" s="131"/>
    </row>
    <row r="240" spans="9:18" s="68" customFormat="1" x14ac:dyDescent="0.25">
      <c r="I240" s="131"/>
      <c r="L240" s="131"/>
      <c r="O240" s="131"/>
      <c r="R240" s="131"/>
    </row>
    <row r="241" spans="9:18" s="68" customFormat="1" x14ac:dyDescent="0.25">
      <c r="I241" s="131"/>
      <c r="L241" s="131"/>
      <c r="O241" s="131"/>
      <c r="R241" s="131"/>
    </row>
    <row r="242" spans="9:18" s="68" customFormat="1" x14ac:dyDescent="0.25">
      <c r="I242" s="131"/>
      <c r="L242" s="131"/>
      <c r="O242" s="131"/>
      <c r="R242" s="131"/>
    </row>
    <row r="243" spans="9:18" s="68" customFormat="1" x14ac:dyDescent="0.25">
      <c r="I243" s="131"/>
      <c r="L243" s="131"/>
      <c r="O243" s="131"/>
      <c r="R243" s="131"/>
    </row>
    <row r="244" spans="9:18" s="68" customFormat="1" x14ac:dyDescent="0.25">
      <c r="I244" s="131"/>
      <c r="L244" s="131"/>
      <c r="O244" s="131"/>
      <c r="R244" s="131"/>
    </row>
    <row r="245" spans="9:18" s="68" customFormat="1" x14ac:dyDescent="0.25">
      <c r="I245" s="131"/>
      <c r="L245" s="131"/>
      <c r="O245" s="131"/>
      <c r="R245" s="131"/>
    </row>
    <row r="246" spans="9:18" s="68" customFormat="1" x14ac:dyDescent="0.25">
      <c r="I246" s="131"/>
      <c r="L246" s="131"/>
      <c r="O246" s="131"/>
      <c r="R246" s="131"/>
    </row>
    <row r="247" spans="9:18" s="68" customFormat="1" x14ac:dyDescent="0.25">
      <c r="I247" s="131"/>
      <c r="L247" s="131"/>
      <c r="O247" s="131"/>
      <c r="R247" s="131"/>
    </row>
    <row r="248" spans="9:18" s="68" customFormat="1" x14ac:dyDescent="0.25">
      <c r="I248" s="131"/>
      <c r="L248" s="131"/>
      <c r="O248" s="131"/>
      <c r="R248" s="131"/>
    </row>
    <row r="249" spans="9:18" s="68" customFormat="1" x14ac:dyDescent="0.25">
      <c r="I249" s="131"/>
      <c r="L249" s="131"/>
      <c r="O249" s="131"/>
      <c r="R249" s="131"/>
    </row>
    <row r="250" spans="9:18" s="68" customFormat="1" x14ac:dyDescent="0.25">
      <c r="I250" s="131"/>
      <c r="L250" s="131"/>
      <c r="O250" s="131"/>
      <c r="R250" s="131"/>
    </row>
    <row r="251" spans="9:18" s="68" customFormat="1" x14ac:dyDescent="0.25">
      <c r="I251" s="131"/>
      <c r="L251" s="131"/>
      <c r="O251" s="131"/>
      <c r="R251" s="131"/>
    </row>
    <row r="252" spans="9:18" s="68" customFormat="1" x14ac:dyDescent="0.25">
      <c r="I252" s="131"/>
      <c r="L252" s="131"/>
      <c r="O252" s="131"/>
      <c r="R252" s="131"/>
    </row>
    <row r="253" spans="9:18" s="68" customFormat="1" x14ac:dyDescent="0.25">
      <c r="I253" s="131"/>
      <c r="L253" s="131"/>
      <c r="O253" s="131"/>
      <c r="R253" s="131"/>
    </row>
    <row r="254" spans="9:18" s="68" customFormat="1" x14ac:dyDescent="0.25">
      <c r="I254" s="131"/>
      <c r="L254" s="131"/>
      <c r="O254" s="131"/>
      <c r="R254" s="131"/>
    </row>
    <row r="255" spans="9:18" s="68" customFormat="1" x14ac:dyDescent="0.25">
      <c r="I255" s="131"/>
      <c r="L255" s="131"/>
      <c r="O255" s="131"/>
      <c r="R255" s="131"/>
    </row>
    <row r="256" spans="9:18" s="68" customFormat="1" x14ac:dyDescent="0.25">
      <c r="I256" s="131"/>
      <c r="L256" s="131"/>
      <c r="O256" s="131"/>
      <c r="R256" s="131"/>
    </row>
    <row r="257" spans="9:18" s="68" customFormat="1" x14ac:dyDescent="0.25">
      <c r="I257" s="131"/>
      <c r="L257" s="131"/>
      <c r="O257" s="131"/>
      <c r="R257" s="131"/>
    </row>
    <row r="258" spans="9:18" s="68" customFormat="1" x14ac:dyDescent="0.25">
      <c r="I258" s="131"/>
      <c r="L258" s="131"/>
      <c r="O258" s="131"/>
      <c r="R258" s="131"/>
    </row>
    <row r="259" spans="9:18" s="68" customFormat="1" x14ac:dyDescent="0.25">
      <c r="I259" s="131"/>
      <c r="L259" s="131"/>
      <c r="O259" s="131"/>
      <c r="R259" s="131"/>
    </row>
    <row r="260" spans="9:18" s="68" customFormat="1" x14ac:dyDescent="0.25">
      <c r="I260" s="131"/>
      <c r="L260" s="131"/>
      <c r="O260" s="131"/>
      <c r="R260" s="131"/>
    </row>
    <row r="261" spans="9:18" s="68" customFormat="1" x14ac:dyDescent="0.25">
      <c r="I261" s="131"/>
      <c r="L261" s="131"/>
      <c r="O261" s="131"/>
      <c r="R261" s="131"/>
    </row>
    <row r="262" spans="9:18" s="68" customFormat="1" x14ac:dyDescent="0.25">
      <c r="I262" s="131"/>
      <c r="L262" s="131"/>
      <c r="O262" s="131"/>
      <c r="R262" s="131"/>
    </row>
    <row r="263" spans="9:18" s="68" customFormat="1" x14ac:dyDescent="0.25">
      <c r="I263" s="131"/>
      <c r="L263" s="131"/>
      <c r="O263" s="131"/>
      <c r="R263" s="131"/>
    </row>
    <row r="264" spans="9:18" s="68" customFormat="1" x14ac:dyDescent="0.25">
      <c r="I264" s="131"/>
      <c r="L264" s="131"/>
      <c r="O264" s="131"/>
      <c r="R264" s="131"/>
    </row>
    <row r="265" spans="9:18" s="68" customFormat="1" x14ac:dyDescent="0.25">
      <c r="I265" s="131"/>
      <c r="L265" s="131"/>
      <c r="O265" s="131"/>
      <c r="R265" s="131"/>
    </row>
    <row r="266" spans="9:18" s="68" customFormat="1" x14ac:dyDescent="0.25">
      <c r="I266" s="131"/>
      <c r="L266" s="131"/>
      <c r="O266" s="131"/>
      <c r="R266" s="131"/>
    </row>
    <row r="267" spans="9:18" s="68" customFormat="1" x14ac:dyDescent="0.25">
      <c r="I267" s="131"/>
      <c r="L267" s="131"/>
      <c r="O267" s="131"/>
      <c r="R267" s="131"/>
    </row>
    <row r="268" spans="9:18" s="68" customFormat="1" x14ac:dyDescent="0.25">
      <c r="I268" s="131"/>
      <c r="L268" s="131"/>
      <c r="O268" s="131"/>
      <c r="R268" s="131"/>
    </row>
    <row r="269" spans="9:18" s="68" customFormat="1" x14ac:dyDescent="0.25">
      <c r="I269" s="131"/>
      <c r="L269" s="131"/>
      <c r="O269" s="131"/>
      <c r="R269" s="131"/>
    </row>
    <row r="270" spans="9:18" s="68" customFormat="1" x14ac:dyDescent="0.25">
      <c r="I270" s="131"/>
      <c r="L270" s="131"/>
      <c r="O270" s="131"/>
      <c r="R270" s="131"/>
    </row>
    <row r="271" spans="9:18" s="68" customFormat="1" x14ac:dyDescent="0.25">
      <c r="I271" s="131"/>
      <c r="L271" s="131"/>
      <c r="O271" s="131"/>
      <c r="R271" s="131"/>
    </row>
    <row r="272" spans="9:18" s="68" customFormat="1" x14ac:dyDescent="0.25">
      <c r="I272" s="131"/>
      <c r="L272" s="131"/>
      <c r="O272" s="131"/>
      <c r="R272" s="131"/>
    </row>
    <row r="273" spans="9:18" s="68" customFormat="1" x14ac:dyDescent="0.25">
      <c r="I273" s="131"/>
      <c r="L273" s="131"/>
      <c r="O273" s="131"/>
      <c r="R273" s="131"/>
    </row>
    <row r="274" spans="9:18" s="68" customFormat="1" x14ac:dyDescent="0.25">
      <c r="I274" s="131"/>
      <c r="L274" s="131"/>
      <c r="O274" s="131"/>
      <c r="R274" s="131"/>
    </row>
    <row r="275" spans="9:18" s="68" customFormat="1" x14ac:dyDescent="0.25">
      <c r="I275" s="131"/>
      <c r="L275" s="131"/>
      <c r="O275" s="131"/>
      <c r="R275" s="131"/>
    </row>
    <row r="276" spans="9:18" s="68" customFormat="1" x14ac:dyDescent="0.25">
      <c r="I276" s="131"/>
      <c r="L276" s="131"/>
      <c r="O276" s="131"/>
      <c r="R276" s="131"/>
    </row>
    <row r="277" spans="9:18" s="68" customFormat="1" x14ac:dyDescent="0.25">
      <c r="I277" s="131"/>
      <c r="L277" s="131"/>
      <c r="O277" s="131"/>
      <c r="R277" s="131"/>
    </row>
    <row r="278" spans="9:18" s="68" customFormat="1" x14ac:dyDescent="0.25">
      <c r="I278" s="131"/>
      <c r="L278" s="131"/>
      <c r="O278" s="131"/>
      <c r="R278" s="131"/>
    </row>
    <row r="279" spans="9:18" s="68" customFormat="1" x14ac:dyDescent="0.25">
      <c r="I279" s="131"/>
      <c r="L279" s="131"/>
      <c r="O279" s="131"/>
      <c r="R279" s="131"/>
    </row>
    <row r="280" spans="9:18" s="68" customFormat="1" x14ac:dyDescent="0.25">
      <c r="I280" s="131"/>
      <c r="L280" s="131"/>
      <c r="O280" s="131"/>
      <c r="R280" s="131"/>
    </row>
    <row r="281" spans="9:18" s="68" customFormat="1" x14ac:dyDescent="0.25">
      <c r="I281" s="131"/>
      <c r="L281" s="131"/>
      <c r="O281" s="131"/>
      <c r="R281" s="131"/>
    </row>
    <row r="282" spans="9:18" s="68" customFormat="1" x14ac:dyDescent="0.25">
      <c r="I282" s="131"/>
      <c r="L282" s="131"/>
      <c r="O282" s="131"/>
      <c r="R282" s="131"/>
    </row>
    <row r="283" spans="9:18" s="68" customFormat="1" x14ac:dyDescent="0.25">
      <c r="I283" s="131"/>
      <c r="L283" s="131"/>
      <c r="O283" s="131"/>
      <c r="R283" s="131"/>
    </row>
    <row r="284" spans="9:18" s="68" customFormat="1" x14ac:dyDescent="0.25">
      <c r="I284" s="131"/>
      <c r="L284" s="131"/>
      <c r="O284" s="131"/>
      <c r="R284" s="131"/>
    </row>
    <row r="285" spans="9:18" s="68" customFormat="1" x14ac:dyDescent="0.25">
      <c r="I285" s="131"/>
      <c r="L285" s="131"/>
      <c r="O285" s="131"/>
      <c r="R285" s="131"/>
    </row>
    <row r="286" spans="9:18" s="68" customFormat="1" x14ac:dyDescent="0.25">
      <c r="I286" s="131"/>
      <c r="L286" s="131"/>
      <c r="O286" s="131"/>
      <c r="R286" s="131"/>
    </row>
    <row r="287" spans="9:18" s="68" customFormat="1" x14ac:dyDescent="0.25">
      <c r="I287" s="131"/>
      <c r="L287" s="131"/>
      <c r="O287" s="131"/>
      <c r="R287" s="131"/>
    </row>
    <row r="288" spans="9:18" s="68" customFormat="1" x14ac:dyDescent="0.25">
      <c r="I288" s="131"/>
      <c r="L288" s="131"/>
      <c r="O288" s="131"/>
      <c r="R288" s="131"/>
    </row>
    <row r="289" spans="9:18" s="68" customFormat="1" x14ac:dyDescent="0.25">
      <c r="I289" s="131"/>
      <c r="L289" s="131"/>
      <c r="O289" s="131"/>
      <c r="R289" s="131"/>
    </row>
    <row r="290" spans="9:18" s="68" customFormat="1" x14ac:dyDescent="0.25">
      <c r="I290" s="131"/>
      <c r="L290" s="131"/>
      <c r="O290" s="131"/>
      <c r="R290" s="131"/>
    </row>
    <row r="291" spans="9:18" s="68" customFormat="1" x14ac:dyDescent="0.25">
      <c r="I291" s="131"/>
      <c r="L291" s="131"/>
      <c r="O291" s="131"/>
      <c r="R291" s="131"/>
    </row>
    <row r="292" spans="9:18" s="68" customFormat="1" x14ac:dyDescent="0.25">
      <c r="I292" s="131"/>
      <c r="L292" s="131"/>
      <c r="O292" s="131"/>
      <c r="R292" s="131"/>
    </row>
    <row r="293" spans="9:18" s="68" customFormat="1" x14ac:dyDescent="0.25">
      <c r="I293" s="131"/>
      <c r="L293" s="131"/>
      <c r="O293" s="131"/>
      <c r="R293" s="131"/>
    </row>
    <row r="294" spans="9:18" s="68" customFormat="1" x14ac:dyDescent="0.25">
      <c r="I294" s="131"/>
      <c r="L294" s="131"/>
      <c r="O294" s="131"/>
      <c r="R294" s="131"/>
    </row>
    <row r="295" spans="9:18" s="68" customFormat="1" x14ac:dyDescent="0.25">
      <c r="I295" s="131"/>
      <c r="L295" s="131"/>
      <c r="O295" s="131"/>
      <c r="R295" s="131"/>
    </row>
    <row r="296" spans="9:18" s="68" customFormat="1" x14ac:dyDescent="0.25">
      <c r="I296" s="131"/>
      <c r="L296" s="131"/>
      <c r="O296" s="131"/>
      <c r="R296" s="131"/>
    </row>
    <row r="297" spans="9:18" s="68" customFormat="1" x14ac:dyDescent="0.25">
      <c r="I297" s="131"/>
      <c r="L297" s="131"/>
      <c r="O297" s="131"/>
      <c r="R297" s="131"/>
    </row>
    <row r="298" spans="9:18" s="68" customFormat="1" x14ac:dyDescent="0.25">
      <c r="I298" s="131"/>
      <c r="L298" s="131"/>
      <c r="O298" s="131"/>
      <c r="R298" s="131"/>
    </row>
    <row r="299" spans="9:18" s="68" customFormat="1" x14ac:dyDescent="0.25">
      <c r="I299" s="131"/>
      <c r="L299" s="131"/>
      <c r="O299" s="131"/>
      <c r="R299" s="131"/>
    </row>
    <row r="300" spans="9:18" s="68" customFormat="1" x14ac:dyDescent="0.25">
      <c r="I300" s="131"/>
      <c r="L300" s="131"/>
      <c r="O300" s="131"/>
      <c r="R300" s="131"/>
    </row>
    <row r="301" spans="9:18" s="68" customFormat="1" x14ac:dyDescent="0.25">
      <c r="I301" s="131"/>
      <c r="L301" s="131"/>
      <c r="O301" s="131"/>
      <c r="R301" s="131"/>
    </row>
    <row r="302" spans="9:18" s="68" customFormat="1" x14ac:dyDescent="0.25">
      <c r="I302" s="131"/>
      <c r="L302" s="131"/>
      <c r="O302" s="131"/>
      <c r="R302" s="131"/>
    </row>
    <row r="303" spans="9:18" s="68" customFormat="1" x14ac:dyDescent="0.25">
      <c r="I303" s="131"/>
      <c r="L303" s="131"/>
      <c r="O303" s="131"/>
      <c r="R303" s="131"/>
    </row>
    <row r="304" spans="9:18" s="68" customFormat="1" x14ac:dyDescent="0.25">
      <c r="I304" s="131"/>
      <c r="L304" s="131"/>
      <c r="O304" s="131"/>
      <c r="R304" s="131"/>
    </row>
    <row r="305" spans="9:18" s="68" customFormat="1" x14ac:dyDescent="0.25">
      <c r="I305" s="131"/>
      <c r="L305" s="131"/>
      <c r="O305" s="131"/>
      <c r="R305" s="131"/>
    </row>
    <row r="306" spans="9:18" s="68" customFormat="1" x14ac:dyDescent="0.25">
      <c r="I306" s="131"/>
      <c r="L306" s="131"/>
      <c r="O306" s="131"/>
      <c r="R306" s="131"/>
    </row>
    <row r="307" spans="9:18" s="68" customFormat="1" x14ac:dyDescent="0.25">
      <c r="I307" s="131"/>
      <c r="L307" s="131"/>
      <c r="O307" s="131"/>
      <c r="R307" s="131"/>
    </row>
    <row r="308" spans="9:18" s="68" customFormat="1" x14ac:dyDescent="0.25">
      <c r="I308" s="131"/>
      <c r="L308" s="131"/>
      <c r="O308" s="131"/>
      <c r="R308" s="131"/>
    </row>
    <row r="309" spans="9:18" s="68" customFormat="1" x14ac:dyDescent="0.25">
      <c r="I309" s="131"/>
      <c r="L309" s="131"/>
      <c r="O309" s="131"/>
      <c r="R309" s="131"/>
    </row>
    <row r="310" spans="9:18" s="68" customFormat="1" x14ac:dyDescent="0.25">
      <c r="I310" s="131"/>
      <c r="L310" s="131"/>
      <c r="O310" s="131"/>
      <c r="R310" s="131"/>
    </row>
    <row r="311" spans="9:18" s="68" customFormat="1" x14ac:dyDescent="0.25">
      <c r="I311" s="131"/>
      <c r="L311" s="131"/>
      <c r="O311" s="131"/>
      <c r="R311" s="131"/>
    </row>
    <row r="312" spans="9:18" s="68" customFormat="1" x14ac:dyDescent="0.25">
      <c r="I312" s="131"/>
      <c r="L312" s="131"/>
      <c r="O312" s="131"/>
      <c r="R312" s="131"/>
    </row>
    <row r="313" spans="9:18" s="68" customFormat="1" x14ac:dyDescent="0.25">
      <c r="I313" s="131"/>
      <c r="L313" s="131"/>
      <c r="O313" s="131"/>
      <c r="R313" s="131"/>
    </row>
    <row r="314" spans="9:18" s="68" customFormat="1" x14ac:dyDescent="0.25">
      <c r="I314" s="131"/>
      <c r="L314" s="131"/>
      <c r="O314" s="131"/>
      <c r="R314" s="131"/>
    </row>
    <row r="315" spans="9:18" s="68" customFormat="1" x14ac:dyDescent="0.25">
      <c r="I315" s="131"/>
      <c r="L315" s="131"/>
      <c r="O315" s="131"/>
      <c r="R315" s="131"/>
    </row>
    <row r="316" spans="9:18" s="68" customFormat="1" x14ac:dyDescent="0.25">
      <c r="I316" s="131"/>
      <c r="L316" s="131"/>
      <c r="O316" s="131"/>
      <c r="R316" s="131"/>
    </row>
    <row r="317" spans="9:18" s="68" customFormat="1" x14ac:dyDescent="0.25">
      <c r="I317" s="131"/>
      <c r="L317" s="131"/>
      <c r="O317" s="131"/>
      <c r="R317" s="131"/>
    </row>
    <row r="318" spans="9:18" s="68" customFormat="1" x14ac:dyDescent="0.25">
      <c r="I318" s="131"/>
      <c r="L318" s="131"/>
      <c r="O318" s="131"/>
      <c r="R318" s="131"/>
    </row>
    <row r="319" spans="9:18" s="68" customFormat="1" x14ac:dyDescent="0.25">
      <c r="I319" s="131"/>
      <c r="L319" s="131"/>
      <c r="O319" s="131"/>
      <c r="R319" s="131"/>
    </row>
    <row r="320" spans="9:18" s="68" customFormat="1" x14ac:dyDescent="0.25">
      <c r="I320" s="131"/>
      <c r="L320" s="131"/>
      <c r="O320" s="131"/>
      <c r="R320" s="131"/>
    </row>
    <row r="321" spans="9:18" s="68" customFormat="1" x14ac:dyDescent="0.25">
      <c r="I321" s="131"/>
      <c r="L321" s="131"/>
      <c r="O321" s="131"/>
      <c r="R321" s="131"/>
    </row>
    <row r="322" spans="9:18" s="68" customFormat="1" x14ac:dyDescent="0.25">
      <c r="I322" s="131"/>
      <c r="L322" s="131"/>
      <c r="O322" s="131"/>
      <c r="R322" s="131"/>
    </row>
    <row r="323" spans="9:18" s="68" customFormat="1" x14ac:dyDescent="0.25">
      <c r="I323" s="131"/>
      <c r="L323" s="131"/>
      <c r="O323" s="131"/>
      <c r="R323" s="131"/>
    </row>
    <row r="324" spans="9:18" s="68" customFormat="1" x14ac:dyDescent="0.25">
      <c r="I324" s="131"/>
      <c r="L324" s="131"/>
      <c r="O324" s="131"/>
      <c r="R324" s="131"/>
    </row>
    <row r="325" spans="9:18" s="68" customFormat="1" x14ac:dyDescent="0.25">
      <c r="I325" s="131"/>
      <c r="L325" s="131"/>
      <c r="O325" s="131"/>
      <c r="R325" s="131"/>
    </row>
    <row r="326" spans="9:18" s="68" customFormat="1" x14ac:dyDescent="0.25">
      <c r="I326" s="131"/>
      <c r="L326" s="131"/>
      <c r="O326" s="131"/>
      <c r="R326" s="131"/>
    </row>
    <row r="327" spans="9:18" s="68" customFormat="1" x14ac:dyDescent="0.25">
      <c r="I327" s="131"/>
      <c r="L327" s="131"/>
      <c r="O327" s="131"/>
      <c r="R327" s="131"/>
    </row>
    <row r="328" spans="9:18" s="68" customFormat="1" x14ac:dyDescent="0.25">
      <c r="I328" s="131"/>
      <c r="L328" s="131"/>
      <c r="O328" s="131"/>
      <c r="R328" s="131"/>
    </row>
    <row r="329" spans="9:18" s="68" customFormat="1" x14ac:dyDescent="0.25">
      <c r="I329" s="131"/>
      <c r="L329" s="131"/>
      <c r="O329" s="131"/>
      <c r="R329" s="131"/>
    </row>
    <row r="330" spans="9:18" s="68" customFormat="1" x14ac:dyDescent="0.25">
      <c r="I330" s="131"/>
      <c r="L330" s="131"/>
      <c r="O330" s="131"/>
      <c r="R330" s="131"/>
    </row>
    <row r="331" spans="9:18" s="68" customFormat="1" x14ac:dyDescent="0.25">
      <c r="I331" s="131"/>
      <c r="L331" s="131"/>
      <c r="O331" s="131"/>
      <c r="R331" s="131"/>
    </row>
    <row r="332" spans="9:18" s="68" customFormat="1" x14ac:dyDescent="0.25">
      <c r="I332" s="131"/>
      <c r="L332" s="131"/>
      <c r="O332" s="131"/>
      <c r="R332" s="131"/>
    </row>
    <row r="333" spans="9:18" s="68" customFormat="1" x14ac:dyDescent="0.25">
      <c r="I333" s="131"/>
      <c r="L333" s="131"/>
      <c r="O333" s="131"/>
      <c r="R333" s="131"/>
    </row>
    <row r="334" spans="9:18" s="68" customFormat="1" x14ac:dyDescent="0.25">
      <c r="I334" s="131"/>
      <c r="L334" s="131"/>
      <c r="O334" s="131"/>
      <c r="R334" s="131"/>
    </row>
    <row r="335" spans="9:18" s="68" customFormat="1" x14ac:dyDescent="0.25">
      <c r="I335" s="131"/>
      <c r="L335" s="131"/>
      <c r="O335" s="131"/>
      <c r="R335" s="131"/>
    </row>
    <row r="336" spans="9:18" s="68" customFormat="1" x14ac:dyDescent="0.25">
      <c r="I336" s="131"/>
      <c r="L336" s="131"/>
      <c r="O336" s="131"/>
      <c r="R336" s="131"/>
    </row>
    <row r="337" spans="9:18" s="68" customFormat="1" x14ac:dyDescent="0.25">
      <c r="I337" s="131"/>
      <c r="L337" s="131"/>
      <c r="O337" s="131"/>
      <c r="R337" s="131"/>
    </row>
    <row r="338" spans="9:18" s="68" customFormat="1" x14ac:dyDescent="0.25">
      <c r="I338" s="131"/>
      <c r="L338" s="131"/>
      <c r="O338" s="131"/>
      <c r="R338" s="131"/>
    </row>
    <row r="339" spans="9:18" s="68" customFormat="1" x14ac:dyDescent="0.25">
      <c r="I339" s="131"/>
      <c r="L339" s="131"/>
      <c r="O339" s="131"/>
      <c r="R339" s="131"/>
    </row>
    <row r="340" spans="9:18" s="68" customFormat="1" x14ac:dyDescent="0.25">
      <c r="I340" s="131"/>
      <c r="L340" s="131"/>
      <c r="O340" s="131"/>
      <c r="R340" s="131"/>
    </row>
    <row r="341" spans="9:18" s="68" customFormat="1" x14ac:dyDescent="0.25">
      <c r="I341" s="131"/>
      <c r="L341" s="131"/>
      <c r="O341" s="131"/>
      <c r="R341" s="131"/>
    </row>
    <row r="342" spans="9:18" s="68" customFormat="1" x14ac:dyDescent="0.25">
      <c r="I342" s="131"/>
      <c r="L342" s="131"/>
      <c r="O342" s="131"/>
      <c r="R342" s="131"/>
    </row>
    <row r="343" spans="9:18" s="68" customFormat="1" x14ac:dyDescent="0.25">
      <c r="I343" s="131"/>
      <c r="L343" s="131"/>
      <c r="O343" s="131"/>
      <c r="R343" s="131"/>
    </row>
    <row r="344" spans="9:18" s="68" customFormat="1" x14ac:dyDescent="0.25">
      <c r="I344" s="131"/>
      <c r="L344" s="131"/>
      <c r="O344" s="131"/>
      <c r="R344" s="131"/>
    </row>
    <row r="345" spans="9:18" s="68" customFormat="1" x14ac:dyDescent="0.25">
      <c r="I345" s="131"/>
      <c r="L345" s="131"/>
      <c r="O345" s="131"/>
      <c r="R345" s="131"/>
    </row>
    <row r="346" spans="9:18" s="68" customFormat="1" x14ac:dyDescent="0.25">
      <c r="I346" s="131"/>
      <c r="L346" s="131"/>
      <c r="O346" s="131"/>
      <c r="R346" s="131"/>
    </row>
    <row r="347" spans="9:18" s="68" customFormat="1" x14ac:dyDescent="0.25">
      <c r="I347" s="131"/>
      <c r="L347" s="131"/>
      <c r="O347" s="131"/>
      <c r="R347" s="131"/>
    </row>
    <row r="348" spans="9:18" s="68" customFormat="1" x14ac:dyDescent="0.25">
      <c r="I348" s="131"/>
      <c r="L348" s="131"/>
      <c r="O348" s="131"/>
      <c r="R348" s="131"/>
    </row>
    <row r="349" spans="9:18" s="68" customFormat="1" x14ac:dyDescent="0.25">
      <c r="I349" s="131"/>
      <c r="L349" s="131"/>
      <c r="O349" s="131"/>
      <c r="R349" s="131"/>
    </row>
    <row r="350" spans="9:18" s="68" customFormat="1" x14ac:dyDescent="0.25">
      <c r="I350" s="131"/>
      <c r="L350" s="131"/>
      <c r="O350" s="131"/>
      <c r="R350" s="131"/>
    </row>
    <row r="351" spans="9:18" s="68" customFormat="1" x14ac:dyDescent="0.25">
      <c r="I351" s="131"/>
      <c r="L351" s="131"/>
      <c r="O351" s="131"/>
      <c r="R351" s="131"/>
    </row>
    <row r="352" spans="9:18" s="68" customFormat="1" x14ac:dyDescent="0.25">
      <c r="I352" s="131"/>
      <c r="L352" s="131"/>
      <c r="O352" s="131"/>
      <c r="R352" s="131"/>
    </row>
    <row r="353" spans="9:18" s="68" customFormat="1" x14ac:dyDescent="0.25">
      <c r="I353" s="131"/>
      <c r="L353" s="131"/>
      <c r="O353" s="131"/>
      <c r="R353" s="131"/>
    </row>
    <row r="354" spans="9:18" s="68" customFormat="1" x14ac:dyDescent="0.25">
      <c r="I354" s="131"/>
      <c r="L354" s="131"/>
      <c r="O354" s="131"/>
      <c r="R354" s="131"/>
    </row>
    <row r="355" spans="9:18" s="68" customFormat="1" x14ac:dyDescent="0.25">
      <c r="I355" s="131"/>
      <c r="L355" s="131"/>
      <c r="O355" s="131"/>
      <c r="R355" s="131"/>
    </row>
    <row r="356" spans="9:18" s="68" customFormat="1" x14ac:dyDescent="0.25">
      <c r="I356" s="131"/>
      <c r="L356" s="131"/>
      <c r="O356" s="131"/>
      <c r="R356" s="131"/>
    </row>
    <row r="357" spans="9:18" s="68" customFormat="1" x14ac:dyDescent="0.25">
      <c r="I357" s="131"/>
      <c r="L357" s="131"/>
      <c r="O357" s="131"/>
      <c r="R357" s="131"/>
    </row>
    <row r="358" spans="9:18" s="68" customFormat="1" x14ac:dyDescent="0.25">
      <c r="I358" s="131"/>
      <c r="L358" s="131"/>
      <c r="O358" s="131"/>
      <c r="R358" s="131"/>
    </row>
    <row r="359" spans="9:18" s="68" customFormat="1" x14ac:dyDescent="0.25">
      <c r="I359" s="131"/>
      <c r="L359" s="131"/>
      <c r="O359" s="131"/>
      <c r="R359" s="131"/>
    </row>
    <row r="360" spans="9:18" s="68" customFormat="1" x14ac:dyDescent="0.25">
      <c r="I360" s="131"/>
      <c r="L360" s="131"/>
      <c r="O360" s="131"/>
      <c r="R360" s="131"/>
    </row>
    <row r="361" spans="9:18" s="68" customFormat="1" x14ac:dyDescent="0.25">
      <c r="I361" s="131"/>
      <c r="L361" s="131"/>
      <c r="O361" s="131"/>
      <c r="R361" s="131"/>
    </row>
    <row r="362" spans="9:18" s="68" customFormat="1" x14ac:dyDescent="0.25">
      <c r="I362" s="131"/>
      <c r="L362" s="131"/>
      <c r="O362" s="131"/>
      <c r="R362" s="131"/>
    </row>
    <row r="363" spans="9:18" s="68" customFormat="1" x14ac:dyDescent="0.25">
      <c r="I363" s="131"/>
      <c r="L363" s="131"/>
      <c r="O363" s="131"/>
      <c r="R363" s="131"/>
    </row>
    <row r="364" spans="9:18" s="68" customFormat="1" x14ac:dyDescent="0.25">
      <c r="I364" s="131"/>
      <c r="L364" s="131"/>
      <c r="O364" s="131"/>
      <c r="R364" s="131"/>
    </row>
    <row r="365" spans="9:18" s="68" customFormat="1" x14ac:dyDescent="0.25">
      <c r="I365" s="131"/>
      <c r="L365" s="131"/>
      <c r="O365" s="131"/>
      <c r="R365" s="131"/>
    </row>
    <row r="366" spans="9:18" s="68" customFormat="1" x14ac:dyDescent="0.25">
      <c r="I366" s="131"/>
      <c r="L366" s="131"/>
      <c r="O366" s="131"/>
      <c r="R366" s="131"/>
    </row>
    <row r="367" spans="9:18" s="68" customFormat="1" x14ac:dyDescent="0.25">
      <c r="I367" s="131"/>
      <c r="L367" s="131"/>
      <c r="O367" s="131"/>
      <c r="R367" s="131"/>
    </row>
    <row r="368" spans="9:18" s="68" customFormat="1" x14ac:dyDescent="0.25">
      <c r="I368" s="131"/>
      <c r="L368" s="131"/>
      <c r="O368" s="131"/>
      <c r="R368" s="131"/>
    </row>
    <row r="369" spans="9:18" s="68" customFormat="1" x14ac:dyDescent="0.25">
      <c r="I369" s="131"/>
      <c r="L369" s="131"/>
      <c r="O369" s="131"/>
      <c r="R369" s="131"/>
    </row>
    <row r="370" spans="9:18" s="68" customFormat="1" x14ac:dyDescent="0.25">
      <c r="I370" s="131"/>
      <c r="L370" s="131"/>
      <c r="O370" s="131"/>
      <c r="R370" s="131"/>
    </row>
    <row r="371" spans="9:18" s="68" customFormat="1" x14ac:dyDescent="0.25">
      <c r="I371" s="131"/>
      <c r="L371" s="131"/>
      <c r="O371" s="131"/>
      <c r="R371" s="131"/>
    </row>
    <row r="372" spans="9:18" s="68" customFormat="1" x14ac:dyDescent="0.25">
      <c r="I372" s="131"/>
      <c r="L372" s="131"/>
      <c r="O372" s="131"/>
      <c r="R372" s="131"/>
    </row>
    <row r="373" spans="9:18" s="68" customFormat="1" x14ac:dyDescent="0.25">
      <c r="I373" s="131"/>
      <c r="L373" s="131"/>
      <c r="O373" s="131"/>
      <c r="R373" s="131"/>
    </row>
    <row r="374" spans="9:18" s="68" customFormat="1" x14ac:dyDescent="0.25">
      <c r="I374" s="131"/>
      <c r="L374" s="131"/>
      <c r="O374" s="131"/>
      <c r="R374" s="131"/>
    </row>
    <row r="375" spans="9:18" s="68" customFormat="1" x14ac:dyDescent="0.25">
      <c r="I375" s="131"/>
      <c r="L375" s="131"/>
      <c r="O375" s="131"/>
      <c r="R375" s="131"/>
    </row>
    <row r="376" spans="9:18" s="68" customFormat="1" x14ac:dyDescent="0.25">
      <c r="I376" s="131"/>
      <c r="L376" s="131"/>
      <c r="O376" s="131"/>
      <c r="R376" s="131"/>
    </row>
    <row r="377" spans="9:18" s="68" customFormat="1" x14ac:dyDescent="0.25">
      <c r="I377" s="131"/>
      <c r="L377" s="131"/>
      <c r="O377" s="131"/>
      <c r="R377" s="131"/>
    </row>
    <row r="378" spans="9:18" s="68" customFormat="1" x14ac:dyDescent="0.25">
      <c r="I378" s="131"/>
      <c r="L378" s="131"/>
      <c r="O378" s="131"/>
      <c r="R378" s="131"/>
    </row>
    <row r="379" spans="9:18" s="68" customFormat="1" x14ac:dyDescent="0.25">
      <c r="I379" s="131"/>
      <c r="L379" s="131"/>
      <c r="O379" s="131"/>
      <c r="R379" s="131"/>
    </row>
    <row r="380" spans="9:18" s="68" customFormat="1" x14ac:dyDescent="0.25">
      <c r="I380" s="131"/>
      <c r="L380" s="131"/>
      <c r="O380" s="131"/>
      <c r="R380" s="131"/>
    </row>
    <row r="381" spans="9:18" s="68" customFormat="1" x14ac:dyDescent="0.25">
      <c r="I381" s="131"/>
      <c r="L381" s="131"/>
      <c r="O381" s="131"/>
      <c r="R381" s="131"/>
    </row>
    <row r="382" spans="9:18" s="68" customFormat="1" x14ac:dyDescent="0.25">
      <c r="I382" s="131"/>
      <c r="L382" s="131"/>
      <c r="O382" s="131"/>
      <c r="R382" s="131"/>
    </row>
    <row r="383" spans="9:18" s="68" customFormat="1" x14ac:dyDescent="0.25">
      <c r="I383" s="131"/>
      <c r="L383" s="131"/>
      <c r="O383" s="131"/>
      <c r="R383" s="131"/>
    </row>
    <row r="384" spans="9:18" s="68" customFormat="1" x14ac:dyDescent="0.25">
      <c r="I384" s="131"/>
      <c r="L384" s="131"/>
      <c r="O384" s="131"/>
      <c r="R384" s="131"/>
    </row>
    <row r="385" spans="9:18" s="68" customFormat="1" x14ac:dyDescent="0.25">
      <c r="I385" s="131"/>
      <c r="L385" s="131"/>
      <c r="O385" s="131"/>
      <c r="R385" s="131"/>
    </row>
    <row r="386" spans="9:18" s="68" customFormat="1" x14ac:dyDescent="0.25">
      <c r="I386" s="131"/>
      <c r="L386" s="131"/>
      <c r="O386" s="131"/>
      <c r="R386" s="131"/>
    </row>
    <row r="387" spans="9:18" s="68" customFormat="1" x14ac:dyDescent="0.25">
      <c r="I387" s="131"/>
      <c r="L387" s="131"/>
      <c r="O387" s="131"/>
      <c r="R387" s="131"/>
    </row>
    <row r="388" spans="9:18" s="68" customFormat="1" x14ac:dyDescent="0.25">
      <c r="I388" s="131"/>
      <c r="L388" s="131"/>
      <c r="O388" s="131"/>
      <c r="R388" s="131"/>
    </row>
    <row r="389" spans="9:18" s="68" customFormat="1" x14ac:dyDescent="0.25">
      <c r="I389" s="131"/>
      <c r="L389" s="131"/>
      <c r="O389" s="131"/>
      <c r="R389" s="131"/>
    </row>
    <row r="390" spans="9:18" s="68" customFormat="1" x14ac:dyDescent="0.25">
      <c r="I390" s="131"/>
      <c r="L390" s="131"/>
      <c r="O390" s="131"/>
      <c r="R390" s="131"/>
    </row>
    <row r="391" spans="9:18" s="68" customFormat="1" x14ac:dyDescent="0.25">
      <c r="I391" s="131"/>
      <c r="L391" s="131"/>
      <c r="O391" s="131"/>
      <c r="R391" s="131"/>
    </row>
    <row r="392" spans="9:18" s="68" customFormat="1" x14ac:dyDescent="0.25">
      <c r="I392" s="131"/>
      <c r="L392" s="131"/>
      <c r="O392" s="131"/>
      <c r="R392" s="131"/>
    </row>
    <row r="393" spans="9:18" s="68" customFormat="1" x14ac:dyDescent="0.25">
      <c r="I393" s="131"/>
      <c r="L393" s="131"/>
      <c r="O393" s="131"/>
      <c r="R393" s="131"/>
    </row>
    <row r="394" spans="9:18" s="68" customFormat="1" x14ac:dyDescent="0.25">
      <c r="I394" s="131"/>
      <c r="L394" s="131"/>
      <c r="O394" s="131"/>
      <c r="R394" s="131"/>
    </row>
    <row r="395" spans="9:18" s="68" customFormat="1" x14ac:dyDescent="0.25">
      <c r="I395" s="131"/>
      <c r="L395" s="131"/>
      <c r="O395" s="131"/>
      <c r="R395" s="131"/>
    </row>
    <row r="396" spans="9:18" s="68" customFormat="1" x14ac:dyDescent="0.25">
      <c r="I396" s="131"/>
      <c r="L396" s="131"/>
      <c r="O396" s="131"/>
      <c r="R396" s="131"/>
    </row>
    <row r="397" spans="9:18" s="68" customFormat="1" x14ac:dyDescent="0.25">
      <c r="I397" s="131"/>
      <c r="L397" s="131"/>
      <c r="O397" s="131"/>
      <c r="R397" s="131"/>
    </row>
    <row r="398" spans="9:18" s="68" customFormat="1" x14ac:dyDescent="0.25">
      <c r="I398" s="131"/>
      <c r="L398" s="131"/>
      <c r="O398" s="131"/>
      <c r="R398" s="131"/>
    </row>
    <row r="399" spans="9:18" s="68" customFormat="1" x14ac:dyDescent="0.25">
      <c r="I399" s="131"/>
      <c r="L399" s="131"/>
      <c r="O399" s="131"/>
      <c r="R399" s="131"/>
    </row>
    <row r="400" spans="9:18" s="68" customFormat="1" x14ac:dyDescent="0.25">
      <c r="I400" s="131"/>
      <c r="L400" s="131"/>
      <c r="O400" s="131"/>
      <c r="R400" s="131"/>
    </row>
    <row r="401" spans="9:18" s="68" customFormat="1" x14ac:dyDescent="0.25">
      <c r="I401" s="131"/>
      <c r="L401" s="131"/>
      <c r="O401" s="131"/>
      <c r="R401" s="131"/>
    </row>
    <row r="402" spans="9:18" s="68" customFormat="1" x14ac:dyDescent="0.25">
      <c r="I402" s="131"/>
      <c r="L402" s="131"/>
      <c r="O402" s="131"/>
      <c r="R402" s="131"/>
    </row>
    <row r="403" spans="9:18" s="68" customFormat="1" x14ac:dyDescent="0.25">
      <c r="I403" s="131"/>
      <c r="L403" s="131"/>
      <c r="O403" s="131"/>
      <c r="R403" s="131"/>
    </row>
    <row r="404" spans="9:18" s="68" customFormat="1" x14ac:dyDescent="0.25">
      <c r="I404" s="131"/>
      <c r="L404" s="131"/>
      <c r="O404" s="131"/>
      <c r="R404" s="131"/>
    </row>
    <row r="405" spans="9:18" s="68" customFormat="1" x14ac:dyDescent="0.25">
      <c r="I405" s="131"/>
      <c r="L405" s="131"/>
      <c r="O405" s="131"/>
      <c r="R405" s="131"/>
    </row>
    <row r="406" spans="9:18" s="68" customFormat="1" x14ac:dyDescent="0.25">
      <c r="I406" s="131"/>
      <c r="L406" s="131"/>
      <c r="O406" s="131"/>
      <c r="R406" s="131"/>
    </row>
    <row r="407" spans="9:18" s="68" customFormat="1" x14ac:dyDescent="0.25">
      <c r="I407" s="131"/>
      <c r="L407" s="131"/>
      <c r="O407" s="131"/>
      <c r="R407" s="131"/>
    </row>
    <row r="408" spans="9:18" s="68" customFormat="1" x14ac:dyDescent="0.25">
      <c r="I408" s="131"/>
      <c r="L408" s="131"/>
      <c r="O408" s="131"/>
      <c r="R408" s="131"/>
    </row>
    <row r="409" spans="9:18" s="68" customFormat="1" x14ac:dyDescent="0.25">
      <c r="I409" s="131"/>
      <c r="L409" s="131"/>
      <c r="O409" s="131"/>
      <c r="R409" s="131"/>
    </row>
    <row r="410" spans="9:18" s="68" customFormat="1" x14ac:dyDescent="0.25">
      <c r="I410" s="131"/>
      <c r="L410" s="131"/>
      <c r="O410" s="131"/>
      <c r="R410" s="131"/>
    </row>
    <row r="411" spans="9:18" s="68" customFormat="1" x14ac:dyDescent="0.25">
      <c r="I411" s="131"/>
      <c r="L411" s="131"/>
      <c r="O411" s="131"/>
      <c r="R411" s="131"/>
    </row>
    <row r="412" spans="9:18" s="68" customFormat="1" x14ac:dyDescent="0.25">
      <c r="I412" s="131"/>
      <c r="L412" s="131"/>
      <c r="O412" s="131"/>
      <c r="R412" s="131"/>
    </row>
    <row r="413" spans="9:18" s="68" customFormat="1" x14ac:dyDescent="0.25">
      <c r="I413" s="131"/>
      <c r="L413" s="131"/>
      <c r="O413" s="131"/>
      <c r="R413" s="131"/>
    </row>
    <row r="414" spans="9:18" s="68" customFormat="1" x14ac:dyDescent="0.25">
      <c r="I414" s="131"/>
      <c r="L414" s="131"/>
      <c r="O414" s="131"/>
      <c r="R414" s="131"/>
    </row>
    <row r="415" spans="9:18" s="68" customFormat="1" x14ac:dyDescent="0.25">
      <c r="I415" s="131"/>
      <c r="L415" s="131"/>
      <c r="O415" s="131"/>
      <c r="R415" s="131"/>
    </row>
    <row r="416" spans="9:18" s="68" customFormat="1" x14ac:dyDescent="0.25">
      <c r="I416" s="131"/>
      <c r="L416" s="131"/>
      <c r="O416" s="131"/>
      <c r="R416" s="131"/>
    </row>
    <row r="417" spans="9:18" s="68" customFormat="1" x14ac:dyDescent="0.25">
      <c r="I417" s="131"/>
      <c r="L417" s="131"/>
      <c r="O417" s="131"/>
      <c r="R417" s="131"/>
    </row>
    <row r="418" spans="9:18" s="68" customFormat="1" x14ac:dyDescent="0.25">
      <c r="I418" s="131"/>
      <c r="L418" s="131"/>
      <c r="O418" s="131"/>
      <c r="R418" s="131"/>
    </row>
    <row r="419" spans="9:18" s="68" customFormat="1" x14ac:dyDescent="0.25">
      <c r="I419" s="131"/>
      <c r="L419" s="131"/>
      <c r="O419" s="131"/>
      <c r="R419" s="131"/>
    </row>
    <row r="420" spans="9:18" s="68" customFormat="1" x14ac:dyDescent="0.25">
      <c r="I420" s="131"/>
      <c r="L420" s="131"/>
      <c r="O420" s="131"/>
      <c r="R420" s="131"/>
    </row>
    <row r="421" spans="9:18" s="68" customFormat="1" x14ac:dyDescent="0.25">
      <c r="I421" s="131"/>
      <c r="L421" s="131"/>
      <c r="O421" s="131"/>
      <c r="R421" s="131"/>
    </row>
    <row r="422" spans="9:18" s="68" customFormat="1" x14ac:dyDescent="0.25">
      <c r="I422" s="131"/>
      <c r="L422" s="131"/>
      <c r="O422" s="131"/>
      <c r="R422" s="131"/>
    </row>
    <row r="423" spans="9:18" s="68" customFormat="1" x14ac:dyDescent="0.25">
      <c r="I423" s="131"/>
      <c r="L423" s="131"/>
      <c r="O423" s="131"/>
      <c r="R423" s="131"/>
    </row>
    <row r="424" spans="9:18" s="68" customFormat="1" x14ac:dyDescent="0.25">
      <c r="I424" s="131"/>
      <c r="L424" s="131"/>
      <c r="O424" s="131"/>
      <c r="R424" s="131"/>
    </row>
    <row r="425" spans="9:18" s="68" customFormat="1" x14ac:dyDescent="0.25">
      <c r="I425" s="131"/>
      <c r="L425" s="131"/>
      <c r="O425" s="131"/>
      <c r="R425" s="131"/>
    </row>
    <row r="426" spans="9:18" s="68" customFormat="1" x14ac:dyDescent="0.25">
      <c r="I426" s="131"/>
      <c r="L426" s="131"/>
      <c r="O426" s="131"/>
      <c r="R426" s="131"/>
    </row>
    <row r="427" spans="9:18" s="68" customFormat="1" x14ac:dyDescent="0.25">
      <c r="I427" s="131"/>
      <c r="L427" s="131"/>
      <c r="O427" s="131"/>
      <c r="R427" s="131"/>
    </row>
    <row r="428" spans="9:18" s="68" customFormat="1" x14ac:dyDescent="0.25">
      <c r="I428" s="131"/>
      <c r="L428" s="131"/>
      <c r="O428" s="131"/>
      <c r="R428" s="131"/>
    </row>
    <row r="429" spans="9:18" s="68" customFormat="1" x14ac:dyDescent="0.25">
      <c r="I429" s="131"/>
      <c r="L429" s="131"/>
      <c r="O429" s="131"/>
      <c r="R429" s="131"/>
    </row>
    <row r="430" spans="9:18" s="68" customFormat="1" x14ac:dyDescent="0.25">
      <c r="I430" s="131"/>
      <c r="L430" s="131"/>
      <c r="O430" s="131"/>
      <c r="R430" s="131"/>
    </row>
    <row r="431" spans="9:18" s="68" customFormat="1" x14ac:dyDescent="0.25">
      <c r="I431" s="131"/>
      <c r="L431" s="131"/>
      <c r="O431" s="131"/>
      <c r="R431" s="131"/>
    </row>
    <row r="432" spans="9:18" s="68" customFormat="1" x14ac:dyDescent="0.25">
      <c r="I432" s="131"/>
      <c r="L432" s="131"/>
      <c r="O432" s="131"/>
      <c r="R432" s="131"/>
    </row>
    <row r="433" spans="9:18" s="68" customFormat="1" x14ac:dyDescent="0.25">
      <c r="I433" s="131"/>
      <c r="L433" s="131"/>
      <c r="O433" s="131"/>
      <c r="R433" s="131"/>
    </row>
    <row r="434" spans="9:18" s="68" customFormat="1" x14ac:dyDescent="0.25">
      <c r="I434" s="131"/>
      <c r="L434" s="131"/>
      <c r="O434" s="131"/>
      <c r="R434" s="131"/>
    </row>
    <row r="435" spans="9:18" s="68" customFormat="1" x14ac:dyDescent="0.25">
      <c r="I435" s="131"/>
      <c r="L435" s="131"/>
      <c r="O435" s="131"/>
      <c r="R435" s="131"/>
    </row>
    <row r="436" spans="9:18" s="68" customFormat="1" x14ac:dyDescent="0.25">
      <c r="I436" s="131"/>
      <c r="L436" s="131"/>
      <c r="O436" s="131"/>
      <c r="R436" s="131"/>
    </row>
    <row r="437" spans="9:18" s="68" customFormat="1" x14ac:dyDescent="0.25">
      <c r="I437" s="131"/>
      <c r="L437" s="131"/>
      <c r="O437" s="131"/>
      <c r="R437" s="131"/>
    </row>
    <row r="438" spans="9:18" s="68" customFormat="1" x14ac:dyDescent="0.25">
      <c r="I438" s="131"/>
      <c r="L438" s="131"/>
      <c r="O438" s="131"/>
      <c r="R438" s="131"/>
    </row>
    <row r="439" spans="9:18" s="68" customFormat="1" x14ac:dyDescent="0.25">
      <c r="I439" s="131"/>
      <c r="L439" s="131"/>
      <c r="O439" s="131"/>
      <c r="R439" s="131"/>
    </row>
    <row r="440" spans="9:18" s="68" customFormat="1" x14ac:dyDescent="0.25">
      <c r="I440" s="131"/>
      <c r="L440" s="131"/>
      <c r="O440" s="131"/>
      <c r="R440" s="131"/>
    </row>
    <row r="441" spans="9:18" s="68" customFormat="1" x14ac:dyDescent="0.25">
      <c r="I441" s="131"/>
      <c r="L441" s="131"/>
      <c r="O441" s="131"/>
      <c r="R441" s="131"/>
    </row>
    <row r="442" spans="9:18" s="68" customFormat="1" x14ac:dyDescent="0.25">
      <c r="I442" s="131"/>
      <c r="L442" s="131"/>
      <c r="O442" s="131"/>
      <c r="R442" s="131"/>
    </row>
    <row r="443" spans="9:18" s="68" customFormat="1" x14ac:dyDescent="0.25">
      <c r="I443" s="131"/>
      <c r="L443" s="131"/>
      <c r="O443" s="131"/>
      <c r="R443" s="131"/>
    </row>
    <row r="444" spans="9:18" s="68" customFormat="1" x14ac:dyDescent="0.25">
      <c r="I444" s="131"/>
      <c r="L444" s="131"/>
      <c r="O444" s="131"/>
      <c r="R444" s="131"/>
    </row>
    <row r="445" spans="9:18" s="68" customFormat="1" x14ac:dyDescent="0.25">
      <c r="I445" s="131"/>
      <c r="L445" s="131"/>
      <c r="O445" s="131"/>
      <c r="R445" s="131"/>
    </row>
    <row r="446" spans="9:18" s="68" customFormat="1" x14ac:dyDescent="0.25">
      <c r="I446" s="131"/>
      <c r="L446" s="131"/>
      <c r="O446" s="131"/>
      <c r="R446" s="131"/>
    </row>
    <row r="447" spans="9:18" s="68" customFormat="1" x14ac:dyDescent="0.25">
      <c r="I447" s="131"/>
      <c r="L447" s="131"/>
      <c r="O447" s="131"/>
      <c r="R447" s="131"/>
    </row>
    <row r="448" spans="9:18" s="68" customFormat="1" x14ac:dyDescent="0.25">
      <c r="I448" s="131"/>
      <c r="L448" s="131"/>
      <c r="O448" s="131"/>
      <c r="R448" s="131"/>
    </row>
    <row r="449" spans="9:18" s="68" customFormat="1" x14ac:dyDescent="0.25">
      <c r="I449" s="131"/>
      <c r="L449" s="131"/>
      <c r="O449" s="131"/>
      <c r="R449" s="131"/>
    </row>
    <row r="450" spans="9:18" s="68" customFormat="1" x14ac:dyDescent="0.25">
      <c r="I450" s="131"/>
      <c r="L450" s="131"/>
      <c r="O450" s="131"/>
      <c r="R450" s="131"/>
    </row>
    <row r="451" spans="9:18" s="68" customFormat="1" x14ac:dyDescent="0.25">
      <c r="I451" s="131"/>
      <c r="L451" s="131"/>
      <c r="O451" s="131"/>
      <c r="R451" s="131"/>
    </row>
    <row r="452" spans="9:18" s="68" customFormat="1" x14ac:dyDescent="0.25">
      <c r="I452" s="131"/>
      <c r="L452" s="131"/>
      <c r="O452" s="131"/>
      <c r="R452" s="131"/>
    </row>
    <row r="453" spans="9:18" s="68" customFormat="1" x14ac:dyDescent="0.25">
      <c r="I453" s="131"/>
      <c r="L453" s="131"/>
      <c r="O453" s="131"/>
      <c r="R453" s="131"/>
    </row>
    <row r="454" spans="9:18" s="68" customFormat="1" x14ac:dyDescent="0.25">
      <c r="I454" s="131"/>
      <c r="L454" s="131"/>
      <c r="O454" s="131"/>
      <c r="R454" s="131"/>
    </row>
    <row r="455" spans="9:18" s="68" customFormat="1" x14ac:dyDescent="0.25">
      <c r="I455" s="131"/>
      <c r="L455" s="131"/>
      <c r="O455" s="131"/>
      <c r="R455" s="131"/>
    </row>
    <row r="456" spans="9:18" s="68" customFormat="1" x14ac:dyDescent="0.25">
      <c r="I456" s="131"/>
      <c r="L456" s="131"/>
      <c r="O456" s="131"/>
      <c r="R456" s="131"/>
    </row>
    <row r="457" spans="9:18" s="68" customFormat="1" x14ac:dyDescent="0.25">
      <c r="I457" s="131"/>
      <c r="L457" s="131"/>
      <c r="O457" s="131"/>
      <c r="R457" s="131"/>
    </row>
    <row r="458" spans="9:18" s="68" customFormat="1" x14ac:dyDescent="0.25">
      <c r="I458" s="131"/>
      <c r="L458" s="131"/>
      <c r="O458" s="131"/>
      <c r="R458" s="131"/>
    </row>
    <row r="459" spans="9:18" s="68" customFormat="1" x14ac:dyDescent="0.25">
      <c r="I459" s="131"/>
      <c r="L459" s="131"/>
      <c r="O459" s="131"/>
      <c r="R459" s="131"/>
    </row>
    <row r="460" spans="9:18" s="68" customFormat="1" x14ac:dyDescent="0.25">
      <c r="I460" s="131"/>
      <c r="L460" s="131"/>
      <c r="O460" s="131"/>
      <c r="R460" s="131"/>
    </row>
    <row r="461" spans="9:18" s="68" customFormat="1" x14ac:dyDescent="0.25">
      <c r="I461" s="131"/>
      <c r="L461" s="131"/>
      <c r="O461" s="131"/>
      <c r="R461" s="131"/>
    </row>
    <row r="462" spans="9:18" s="68" customFormat="1" x14ac:dyDescent="0.25">
      <c r="I462" s="131"/>
      <c r="L462" s="131"/>
      <c r="O462" s="131"/>
      <c r="R462" s="131"/>
    </row>
    <row r="463" spans="9:18" s="68" customFormat="1" x14ac:dyDescent="0.25">
      <c r="I463" s="131"/>
      <c r="L463" s="131"/>
      <c r="O463" s="131"/>
      <c r="R463" s="131"/>
    </row>
    <row r="464" spans="9:18" s="68" customFormat="1" x14ac:dyDescent="0.25">
      <c r="I464" s="131"/>
      <c r="L464" s="131"/>
      <c r="O464" s="131"/>
      <c r="R464" s="131"/>
    </row>
    <row r="465" spans="9:18" s="68" customFormat="1" x14ac:dyDescent="0.25">
      <c r="I465" s="131"/>
      <c r="L465" s="131"/>
      <c r="O465" s="131"/>
      <c r="R465" s="131"/>
    </row>
    <row r="466" spans="9:18" s="68" customFormat="1" x14ac:dyDescent="0.25">
      <c r="I466" s="131"/>
      <c r="L466" s="131"/>
      <c r="O466" s="131"/>
      <c r="R466" s="131"/>
    </row>
    <row r="467" spans="9:18" s="68" customFormat="1" x14ac:dyDescent="0.25">
      <c r="I467" s="131"/>
      <c r="L467" s="131"/>
      <c r="O467" s="131"/>
      <c r="R467" s="131"/>
    </row>
    <row r="468" spans="9:18" s="68" customFormat="1" x14ac:dyDescent="0.25">
      <c r="I468" s="131"/>
      <c r="L468" s="131"/>
      <c r="O468" s="131"/>
      <c r="R468" s="131"/>
    </row>
    <row r="469" spans="9:18" s="68" customFormat="1" x14ac:dyDescent="0.25">
      <c r="I469" s="131"/>
      <c r="L469" s="131"/>
      <c r="O469" s="131"/>
      <c r="R469" s="131"/>
    </row>
    <row r="470" spans="9:18" s="68" customFormat="1" x14ac:dyDescent="0.25">
      <c r="I470" s="131"/>
      <c r="L470" s="131"/>
      <c r="O470" s="131"/>
      <c r="R470" s="131"/>
    </row>
    <row r="471" spans="9:18" s="68" customFormat="1" x14ac:dyDescent="0.25">
      <c r="I471" s="131"/>
      <c r="L471" s="131"/>
      <c r="O471" s="131"/>
      <c r="R471" s="131"/>
    </row>
    <row r="472" spans="9:18" s="68" customFormat="1" x14ac:dyDescent="0.25">
      <c r="I472" s="131"/>
      <c r="L472" s="131"/>
      <c r="O472" s="131"/>
      <c r="R472" s="131"/>
    </row>
    <row r="473" spans="9:18" s="68" customFormat="1" x14ac:dyDescent="0.25">
      <c r="I473" s="131"/>
      <c r="L473" s="131"/>
      <c r="O473" s="131"/>
      <c r="R473" s="131"/>
    </row>
    <row r="474" spans="9:18" s="68" customFormat="1" x14ac:dyDescent="0.25">
      <c r="I474" s="131"/>
      <c r="L474" s="131"/>
      <c r="O474" s="131"/>
      <c r="R474" s="131"/>
    </row>
    <row r="475" spans="9:18" s="68" customFormat="1" x14ac:dyDescent="0.25">
      <c r="I475" s="131"/>
      <c r="L475" s="131"/>
      <c r="O475" s="131"/>
      <c r="R475" s="131"/>
    </row>
    <row r="476" spans="9:18" s="68" customFormat="1" x14ac:dyDescent="0.25">
      <c r="I476" s="131"/>
      <c r="L476" s="131"/>
      <c r="O476" s="131"/>
      <c r="R476" s="131"/>
    </row>
    <row r="477" spans="9:18" s="68" customFormat="1" x14ac:dyDescent="0.25">
      <c r="I477" s="131"/>
      <c r="L477" s="131"/>
      <c r="O477" s="131"/>
      <c r="R477" s="131"/>
    </row>
    <row r="478" spans="9:18" s="68" customFormat="1" x14ac:dyDescent="0.25">
      <c r="I478" s="131"/>
      <c r="L478" s="131"/>
      <c r="O478" s="131"/>
      <c r="R478" s="131"/>
    </row>
    <row r="479" spans="9:18" s="68" customFormat="1" x14ac:dyDescent="0.25">
      <c r="I479" s="131"/>
      <c r="L479" s="131"/>
      <c r="O479" s="131"/>
      <c r="R479" s="131"/>
    </row>
    <row r="480" spans="9:18" s="68" customFormat="1" x14ac:dyDescent="0.25">
      <c r="I480" s="131"/>
      <c r="L480" s="131"/>
      <c r="O480" s="131"/>
      <c r="R480" s="131"/>
    </row>
    <row r="481" spans="9:18" s="68" customFormat="1" x14ac:dyDescent="0.25">
      <c r="I481" s="131"/>
      <c r="L481" s="131"/>
      <c r="O481" s="131"/>
      <c r="R481" s="131"/>
    </row>
    <row r="482" spans="9:18" s="68" customFormat="1" x14ac:dyDescent="0.25">
      <c r="I482" s="131"/>
      <c r="L482" s="131"/>
      <c r="O482" s="131"/>
      <c r="R482" s="131"/>
    </row>
    <row r="483" spans="9:18" s="68" customFormat="1" x14ac:dyDescent="0.25">
      <c r="I483" s="131"/>
      <c r="L483" s="131"/>
      <c r="O483" s="131"/>
      <c r="R483" s="131"/>
    </row>
    <row r="484" spans="9:18" s="68" customFormat="1" x14ac:dyDescent="0.25">
      <c r="I484" s="131"/>
      <c r="L484" s="131"/>
      <c r="O484" s="131"/>
      <c r="R484" s="131"/>
    </row>
    <row r="485" spans="9:18" s="68" customFormat="1" x14ac:dyDescent="0.25">
      <c r="I485" s="131"/>
      <c r="L485" s="131"/>
      <c r="O485" s="131"/>
      <c r="R485" s="131"/>
    </row>
    <row r="486" spans="9:18" s="68" customFormat="1" x14ac:dyDescent="0.25">
      <c r="I486" s="131"/>
      <c r="L486" s="131"/>
      <c r="O486" s="131"/>
      <c r="R486" s="131"/>
    </row>
    <row r="487" spans="9:18" s="68" customFormat="1" x14ac:dyDescent="0.25">
      <c r="I487" s="131"/>
      <c r="L487" s="131"/>
      <c r="O487" s="131"/>
      <c r="R487" s="131"/>
    </row>
    <row r="488" spans="9:18" s="68" customFormat="1" x14ac:dyDescent="0.25">
      <c r="I488" s="131"/>
      <c r="L488" s="131"/>
      <c r="O488" s="131"/>
      <c r="R488" s="131"/>
    </row>
    <row r="489" spans="9:18" s="68" customFormat="1" x14ac:dyDescent="0.25">
      <c r="I489" s="131"/>
      <c r="L489" s="131"/>
      <c r="O489" s="131"/>
      <c r="R489" s="131"/>
    </row>
    <row r="490" spans="9:18" s="68" customFormat="1" x14ac:dyDescent="0.25">
      <c r="I490" s="131"/>
      <c r="L490" s="131"/>
      <c r="O490" s="131"/>
      <c r="R490" s="131"/>
    </row>
    <row r="491" spans="9:18" s="68" customFormat="1" x14ac:dyDescent="0.25">
      <c r="I491" s="131"/>
      <c r="L491" s="131"/>
      <c r="O491" s="131"/>
      <c r="R491" s="131"/>
    </row>
    <row r="492" spans="9:18" s="68" customFormat="1" x14ac:dyDescent="0.25">
      <c r="I492" s="131"/>
      <c r="L492" s="131"/>
      <c r="O492" s="131"/>
      <c r="R492" s="131"/>
    </row>
    <row r="493" spans="9:18" s="68" customFormat="1" x14ac:dyDescent="0.25">
      <c r="I493" s="131"/>
      <c r="L493" s="131"/>
      <c r="O493" s="131"/>
      <c r="R493" s="131"/>
    </row>
    <row r="494" spans="9:18" s="68" customFormat="1" x14ac:dyDescent="0.25">
      <c r="I494" s="131"/>
      <c r="L494" s="131"/>
      <c r="O494" s="131"/>
      <c r="R494" s="131"/>
    </row>
    <row r="495" spans="9:18" s="68" customFormat="1" x14ac:dyDescent="0.25">
      <c r="I495" s="131"/>
      <c r="L495" s="131"/>
      <c r="O495" s="131"/>
      <c r="R495" s="131"/>
    </row>
    <row r="496" spans="9:18" s="68" customFormat="1" x14ac:dyDescent="0.25">
      <c r="I496" s="131"/>
      <c r="L496" s="131"/>
      <c r="O496" s="131"/>
      <c r="R496" s="131"/>
    </row>
    <row r="497" spans="9:18" s="68" customFormat="1" x14ac:dyDescent="0.25">
      <c r="I497" s="131"/>
      <c r="L497" s="131"/>
      <c r="O497" s="131"/>
      <c r="R497" s="131"/>
    </row>
    <row r="498" spans="9:18" s="68" customFormat="1" x14ac:dyDescent="0.25">
      <c r="I498" s="131"/>
      <c r="L498" s="131"/>
      <c r="O498" s="131"/>
      <c r="R498" s="131"/>
    </row>
    <row r="499" spans="9:18" s="68" customFormat="1" x14ac:dyDescent="0.25">
      <c r="I499" s="131"/>
      <c r="L499" s="131"/>
      <c r="O499" s="131"/>
      <c r="R499" s="131"/>
    </row>
    <row r="500" spans="9:18" s="68" customFormat="1" x14ac:dyDescent="0.25">
      <c r="I500" s="131"/>
      <c r="L500" s="131"/>
      <c r="O500" s="131"/>
      <c r="R500" s="131"/>
    </row>
    <row r="501" spans="9:18" s="68" customFormat="1" x14ac:dyDescent="0.25">
      <c r="I501" s="131"/>
      <c r="L501" s="131"/>
      <c r="O501" s="131"/>
      <c r="R501" s="131"/>
    </row>
    <row r="502" spans="9:18" s="68" customFormat="1" x14ac:dyDescent="0.25">
      <c r="I502" s="131"/>
      <c r="L502" s="131"/>
      <c r="O502" s="131"/>
      <c r="R502" s="131"/>
    </row>
    <row r="503" spans="9:18" s="68" customFormat="1" x14ac:dyDescent="0.25">
      <c r="I503" s="131"/>
      <c r="L503" s="131"/>
      <c r="O503" s="131"/>
      <c r="R503" s="131"/>
    </row>
    <row r="504" spans="9:18" s="68" customFormat="1" x14ac:dyDescent="0.25">
      <c r="I504" s="131"/>
      <c r="L504" s="131"/>
      <c r="O504" s="131"/>
      <c r="R504" s="131"/>
    </row>
    <row r="505" spans="9:18" s="68" customFormat="1" x14ac:dyDescent="0.25">
      <c r="I505" s="131"/>
      <c r="L505" s="131"/>
      <c r="O505" s="131"/>
      <c r="R505" s="131"/>
    </row>
    <row r="506" spans="9:18" s="68" customFormat="1" x14ac:dyDescent="0.25">
      <c r="I506" s="131"/>
      <c r="L506" s="131"/>
      <c r="O506" s="131"/>
      <c r="R506" s="131"/>
    </row>
    <row r="507" spans="9:18" s="68" customFormat="1" x14ac:dyDescent="0.25">
      <c r="I507" s="131"/>
      <c r="L507" s="131"/>
      <c r="O507" s="131"/>
      <c r="R507" s="131"/>
    </row>
    <row r="508" spans="9:18" s="68" customFormat="1" x14ac:dyDescent="0.25">
      <c r="I508" s="131"/>
      <c r="L508" s="131"/>
      <c r="O508" s="131"/>
      <c r="R508" s="131"/>
    </row>
    <row r="509" spans="9:18" s="68" customFormat="1" x14ac:dyDescent="0.25">
      <c r="I509" s="131"/>
      <c r="L509" s="131"/>
      <c r="O509" s="131"/>
      <c r="R509" s="131"/>
    </row>
    <row r="510" spans="9:18" s="68" customFormat="1" x14ac:dyDescent="0.25">
      <c r="I510" s="131"/>
      <c r="L510" s="131"/>
      <c r="O510" s="131"/>
      <c r="R510" s="131"/>
    </row>
    <row r="511" spans="9:18" s="68" customFormat="1" x14ac:dyDescent="0.25">
      <c r="I511" s="131"/>
      <c r="L511" s="131"/>
      <c r="O511" s="131"/>
      <c r="R511" s="131"/>
    </row>
    <row r="512" spans="9:18" s="68" customFormat="1" x14ac:dyDescent="0.25">
      <c r="I512" s="131"/>
      <c r="L512" s="131"/>
      <c r="O512" s="131"/>
      <c r="R512" s="131"/>
    </row>
    <row r="513" spans="9:18" s="68" customFormat="1" x14ac:dyDescent="0.25">
      <c r="I513" s="131"/>
      <c r="L513" s="131"/>
      <c r="O513" s="131"/>
      <c r="R513" s="131"/>
    </row>
    <row r="514" spans="9:18" s="68" customFormat="1" x14ac:dyDescent="0.25">
      <c r="I514" s="131"/>
      <c r="L514" s="131"/>
      <c r="O514" s="131"/>
      <c r="R514" s="131"/>
    </row>
    <row r="515" spans="9:18" s="68" customFormat="1" x14ac:dyDescent="0.25">
      <c r="I515" s="131"/>
      <c r="L515" s="131"/>
      <c r="O515" s="131"/>
      <c r="R515" s="131"/>
    </row>
    <row r="516" spans="9:18" s="68" customFormat="1" x14ac:dyDescent="0.25">
      <c r="I516" s="131"/>
      <c r="L516" s="131"/>
      <c r="O516" s="131"/>
      <c r="R516" s="131"/>
    </row>
    <row r="517" spans="9:18" s="68" customFormat="1" x14ac:dyDescent="0.25">
      <c r="I517" s="131"/>
      <c r="L517" s="131"/>
      <c r="O517" s="131"/>
      <c r="R517" s="131"/>
    </row>
    <row r="518" spans="9:18" s="68" customFormat="1" x14ac:dyDescent="0.25">
      <c r="I518" s="131"/>
      <c r="L518" s="131"/>
      <c r="O518" s="131"/>
      <c r="R518" s="131"/>
    </row>
    <row r="519" spans="9:18" s="68" customFormat="1" x14ac:dyDescent="0.25">
      <c r="I519" s="131"/>
      <c r="L519" s="131"/>
      <c r="O519" s="131"/>
      <c r="R519" s="131"/>
    </row>
    <row r="520" spans="9:18" s="68" customFormat="1" x14ac:dyDescent="0.25">
      <c r="I520" s="131"/>
      <c r="L520" s="131"/>
      <c r="O520" s="131"/>
      <c r="R520" s="131"/>
    </row>
    <row r="521" spans="9:18" s="68" customFormat="1" x14ac:dyDescent="0.25">
      <c r="I521" s="131"/>
      <c r="L521" s="131"/>
      <c r="O521" s="131"/>
      <c r="R521" s="131"/>
    </row>
    <row r="522" spans="9:18" s="68" customFormat="1" x14ac:dyDescent="0.25">
      <c r="I522" s="131"/>
      <c r="L522" s="131"/>
      <c r="O522" s="131"/>
      <c r="R522" s="131"/>
    </row>
    <row r="523" spans="9:18" s="68" customFormat="1" x14ac:dyDescent="0.25">
      <c r="I523" s="131"/>
      <c r="L523" s="131"/>
      <c r="O523" s="131"/>
      <c r="R523" s="131"/>
    </row>
    <row r="524" spans="9:18" s="68" customFormat="1" x14ac:dyDescent="0.25">
      <c r="I524" s="131"/>
      <c r="L524" s="131"/>
      <c r="O524" s="131"/>
      <c r="R524" s="131"/>
    </row>
    <row r="525" spans="9:18" s="68" customFormat="1" x14ac:dyDescent="0.25">
      <c r="I525" s="131"/>
      <c r="L525" s="131"/>
      <c r="O525" s="131"/>
      <c r="R525" s="131"/>
    </row>
    <row r="526" spans="9:18" s="68" customFormat="1" x14ac:dyDescent="0.25">
      <c r="I526" s="131"/>
      <c r="L526" s="131"/>
      <c r="O526" s="131"/>
      <c r="R526" s="131"/>
    </row>
    <row r="527" spans="9:18" s="68" customFormat="1" x14ac:dyDescent="0.25">
      <c r="I527" s="131"/>
      <c r="L527" s="131"/>
      <c r="O527" s="131"/>
      <c r="R527" s="131"/>
    </row>
    <row r="528" spans="9:18" s="68" customFormat="1" x14ac:dyDescent="0.25">
      <c r="I528" s="131"/>
      <c r="L528" s="131"/>
      <c r="O528" s="131"/>
      <c r="R528" s="131"/>
    </row>
    <row r="529" spans="9:18" s="68" customFormat="1" x14ac:dyDescent="0.25">
      <c r="I529" s="131"/>
      <c r="L529" s="131"/>
      <c r="O529" s="131"/>
      <c r="R529" s="131"/>
    </row>
    <row r="530" spans="9:18" s="68" customFormat="1" x14ac:dyDescent="0.25">
      <c r="I530" s="131"/>
      <c r="L530" s="131"/>
      <c r="O530" s="131"/>
      <c r="R530" s="131"/>
    </row>
    <row r="531" spans="9:18" s="68" customFormat="1" x14ac:dyDescent="0.25">
      <c r="I531" s="131"/>
      <c r="L531" s="131"/>
      <c r="O531" s="131"/>
      <c r="R531" s="131"/>
    </row>
    <row r="532" spans="9:18" s="68" customFormat="1" x14ac:dyDescent="0.25">
      <c r="I532" s="131"/>
      <c r="L532" s="131"/>
      <c r="O532" s="131"/>
      <c r="R532" s="131"/>
    </row>
    <row r="533" spans="9:18" s="68" customFormat="1" x14ac:dyDescent="0.25">
      <c r="I533" s="131"/>
      <c r="L533" s="131"/>
      <c r="O533" s="131"/>
      <c r="R533" s="131"/>
    </row>
    <row r="534" spans="9:18" s="68" customFormat="1" x14ac:dyDescent="0.25">
      <c r="I534" s="131"/>
      <c r="L534" s="131"/>
      <c r="O534" s="131"/>
      <c r="R534" s="131"/>
    </row>
    <row r="535" spans="9:18" s="68" customFormat="1" x14ac:dyDescent="0.25">
      <c r="I535" s="131"/>
      <c r="L535" s="131"/>
      <c r="O535" s="131"/>
      <c r="R535" s="131"/>
    </row>
    <row r="536" spans="9:18" s="68" customFormat="1" x14ac:dyDescent="0.25">
      <c r="I536" s="131"/>
      <c r="L536" s="131"/>
      <c r="O536" s="131"/>
      <c r="R536" s="131"/>
    </row>
    <row r="537" spans="9:18" s="68" customFormat="1" x14ac:dyDescent="0.25">
      <c r="I537" s="131"/>
      <c r="L537" s="131"/>
      <c r="O537" s="131"/>
      <c r="R537" s="131"/>
    </row>
    <row r="538" spans="9:18" s="68" customFormat="1" x14ac:dyDescent="0.25">
      <c r="I538" s="131"/>
      <c r="L538" s="131"/>
      <c r="O538" s="131"/>
      <c r="R538" s="131"/>
    </row>
    <row r="539" spans="9:18" s="68" customFormat="1" x14ac:dyDescent="0.25">
      <c r="I539" s="131"/>
      <c r="L539" s="131"/>
      <c r="O539" s="131"/>
      <c r="R539" s="131"/>
    </row>
    <row r="540" spans="9:18" s="68" customFormat="1" x14ac:dyDescent="0.25">
      <c r="I540" s="131"/>
      <c r="L540" s="131"/>
      <c r="O540" s="131"/>
      <c r="R540" s="131"/>
    </row>
    <row r="541" spans="9:18" s="68" customFormat="1" x14ac:dyDescent="0.25">
      <c r="I541" s="131"/>
      <c r="L541" s="131"/>
      <c r="O541" s="131"/>
      <c r="R541" s="131"/>
    </row>
    <row r="542" spans="9:18" s="68" customFormat="1" x14ac:dyDescent="0.25">
      <c r="I542" s="131"/>
      <c r="L542" s="131"/>
      <c r="O542" s="131"/>
      <c r="R542" s="131"/>
    </row>
    <row r="543" spans="9:18" s="68" customFormat="1" x14ac:dyDescent="0.25">
      <c r="I543" s="131"/>
      <c r="L543" s="131"/>
      <c r="O543" s="131"/>
      <c r="R543" s="131"/>
    </row>
    <row r="544" spans="9:18" s="68" customFormat="1" x14ac:dyDescent="0.25">
      <c r="I544" s="131"/>
      <c r="L544" s="131"/>
      <c r="O544" s="131"/>
      <c r="R544" s="131"/>
    </row>
    <row r="545" spans="9:18" s="68" customFormat="1" x14ac:dyDescent="0.25">
      <c r="I545" s="131"/>
      <c r="L545" s="131"/>
      <c r="O545" s="131"/>
      <c r="R545" s="131"/>
    </row>
    <row r="546" spans="9:18" s="68" customFormat="1" x14ac:dyDescent="0.25">
      <c r="I546" s="131"/>
      <c r="L546" s="131"/>
      <c r="O546" s="131"/>
      <c r="R546" s="131"/>
    </row>
    <row r="547" spans="9:18" s="68" customFormat="1" x14ac:dyDescent="0.25">
      <c r="I547" s="131"/>
      <c r="L547" s="131"/>
      <c r="O547" s="131"/>
      <c r="R547" s="131"/>
    </row>
    <row r="548" spans="9:18" s="68" customFormat="1" x14ac:dyDescent="0.25">
      <c r="I548" s="131"/>
      <c r="L548" s="131"/>
      <c r="O548" s="131"/>
      <c r="R548" s="131"/>
    </row>
    <row r="549" spans="9:18" s="68" customFormat="1" x14ac:dyDescent="0.25">
      <c r="I549" s="131"/>
      <c r="L549" s="131"/>
      <c r="O549" s="131"/>
      <c r="R549" s="131"/>
    </row>
    <row r="550" spans="9:18" s="68" customFormat="1" x14ac:dyDescent="0.25">
      <c r="I550" s="131"/>
      <c r="L550" s="131"/>
      <c r="O550" s="131"/>
      <c r="R550" s="131"/>
    </row>
    <row r="551" spans="9:18" s="68" customFormat="1" x14ac:dyDescent="0.25">
      <c r="I551" s="131"/>
      <c r="L551" s="131"/>
      <c r="O551" s="131"/>
      <c r="R551" s="131"/>
    </row>
    <row r="552" spans="9:18" s="68" customFormat="1" x14ac:dyDescent="0.25">
      <c r="I552" s="131"/>
      <c r="L552" s="131"/>
      <c r="O552" s="131"/>
      <c r="R552" s="131"/>
    </row>
    <row r="553" spans="9:18" s="68" customFormat="1" x14ac:dyDescent="0.25">
      <c r="I553" s="131"/>
      <c r="L553" s="131"/>
      <c r="O553" s="131"/>
      <c r="R553" s="131"/>
    </row>
    <row r="554" spans="9:18" s="68" customFormat="1" x14ac:dyDescent="0.25">
      <c r="I554" s="131"/>
      <c r="L554" s="131"/>
      <c r="O554" s="131"/>
      <c r="R554" s="131"/>
    </row>
    <row r="555" spans="9:18" s="68" customFormat="1" x14ac:dyDescent="0.25">
      <c r="I555" s="131"/>
      <c r="L555" s="131"/>
      <c r="O555" s="131"/>
      <c r="R555" s="131"/>
    </row>
    <row r="556" spans="9:18" s="68" customFormat="1" x14ac:dyDescent="0.25">
      <c r="I556" s="131"/>
      <c r="L556" s="131"/>
      <c r="O556" s="131"/>
      <c r="R556" s="131"/>
    </row>
    <row r="557" spans="9:18" s="68" customFormat="1" x14ac:dyDescent="0.25">
      <c r="I557" s="131"/>
      <c r="L557" s="131"/>
      <c r="O557" s="131"/>
      <c r="R557" s="131"/>
    </row>
    <row r="558" spans="9:18" s="68" customFormat="1" x14ac:dyDescent="0.25">
      <c r="I558" s="131"/>
      <c r="L558" s="131"/>
      <c r="O558" s="131"/>
      <c r="R558" s="131"/>
    </row>
    <row r="559" spans="9:18" s="68" customFormat="1" x14ac:dyDescent="0.25">
      <c r="I559" s="131"/>
      <c r="L559" s="131"/>
      <c r="O559" s="131"/>
      <c r="R559" s="131"/>
    </row>
    <row r="560" spans="9:18" s="68" customFormat="1" x14ac:dyDescent="0.25">
      <c r="I560" s="131"/>
      <c r="L560" s="131"/>
      <c r="O560" s="131"/>
      <c r="R560" s="131"/>
    </row>
    <row r="561" spans="9:18" s="68" customFormat="1" x14ac:dyDescent="0.25">
      <c r="I561" s="131"/>
      <c r="L561" s="131"/>
      <c r="O561" s="131"/>
      <c r="R561" s="131"/>
    </row>
    <row r="562" spans="9:18" s="68" customFormat="1" x14ac:dyDescent="0.25">
      <c r="I562" s="131"/>
      <c r="L562" s="131"/>
      <c r="O562" s="131"/>
      <c r="R562" s="131"/>
    </row>
    <row r="563" spans="9:18" s="68" customFormat="1" x14ac:dyDescent="0.25">
      <c r="I563" s="131"/>
      <c r="L563" s="131"/>
      <c r="O563" s="131"/>
      <c r="R563" s="131"/>
    </row>
    <row r="564" spans="9:18" s="68" customFormat="1" x14ac:dyDescent="0.25">
      <c r="I564" s="131"/>
      <c r="L564" s="131"/>
      <c r="O564" s="131"/>
      <c r="R564" s="131"/>
    </row>
    <row r="565" spans="9:18" s="68" customFormat="1" x14ac:dyDescent="0.25">
      <c r="I565" s="131"/>
      <c r="L565" s="131"/>
      <c r="O565" s="131"/>
      <c r="R565" s="131"/>
    </row>
    <row r="566" spans="9:18" s="68" customFormat="1" x14ac:dyDescent="0.25">
      <c r="I566" s="131"/>
      <c r="L566" s="131"/>
      <c r="O566" s="131"/>
      <c r="R566" s="131"/>
    </row>
    <row r="567" spans="9:18" s="68" customFormat="1" x14ac:dyDescent="0.25">
      <c r="I567" s="131"/>
      <c r="L567" s="131"/>
      <c r="O567" s="131"/>
      <c r="R567" s="131"/>
    </row>
  </sheetData>
  <sheetProtection password="FFFD" sheet="1" insertColumns="0" deleteColumns="0" deleteRows="0"/>
  <mergeCells count="191">
    <mergeCell ref="C91:F91"/>
    <mergeCell ref="C92:F92"/>
    <mergeCell ref="C89:F89"/>
    <mergeCell ref="C79:F79"/>
    <mergeCell ref="C66:F66"/>
    <mergeCell ref="C68:F68"/>
    <mergeCell ref="C3:R3"/>
    <mergeCell ref="E15:F15"/>
    <mergeCell ref="E16:F16"/>
    <mergeCell ref="E17:F17"/>
    <mergeCell ref="E18:F19"/>
    <mergeCell ref="E20:F23"/>
    <mergeCell ref="K11:L11"/>
    <mergeCell ref="K12:L12"/>
    <mergeCell ref="N4:R4"/>
    <mergeCell ref="N5:R5"/>
    <mergeCell ref="N12:R12"/>
    <mergeCell ref="N70:O70"/>
    <mergeCell ref="N71:O71"/>
    <mergeCell ref="N63:O63"/>
    <mergeCell ref="N64:O64"/>
    <mergeCell ref="N6:R6"/>
    <mergeCell ref="K66:L66"/>
    <mergeCell ref="Q92:R92"/>
    <mergeCell ref="N92:O92"/>
    <mergeCell ref="N85:O85"/>
    <mergeCell ref="N72:O72"/>
    <mergeCell ref="N73:O73"/>
    <mergeCell ref="N76:O76"/>
    <mergeCell ref="Q85:R85"/>
    <mergeCell ref="Q89:R89"/>
    <mergeCell ref="Q74:R74"/>
    <mergeCell ref="Q75:R75"/>
    <mergeCell ref="Q87:R87"/>
    <mergeCell ref="Q88:R88"/>
    <mergeCell ref="Q91:R91"/>
    <mergeCell ref="Q79:R79"/>
    <mergeCell ref="Q72:R72"/>
    <mergeCell ref="Q73:R73"/>
    <mergeCell ref="Q76:R76"/>
    <mergeCell ref="N77:O77"/>
    <mergeCell ref="N79:O79"/>
    <mergeCell ref="Q77:R77"/>
    <mergeCell ref="H68:I68"/>
    <mergeCell ref="K67:L67"/>
    <mergeCell ref="N74:O74"/>
    <mergeCell ref="N75:O75"/>
    <mergeCell ref="N78:O78"/>
    <mergeCell ref="N80:O80"/>
    <mergeCell ref="N81:O81"/>
    <mergeCell ref="N82:O82"/>
    <mergeCell ref="N83:O83"/>
    <mergeCell ref="K68:L68"/>
    <mergeCell ref="K69:L69"/>
    <mergeCell ref="H71:I71"/>
    <mergeCell ref="H72:I72"/>
    <mergeCell ref="H79:I79"/>
    <mergeCell ref="H83:I83"/>
    <mergeCell ref="Q64:R64"/>
    <mergeCell ref="Q65:R65"/>
    <mergeCell ref="Q66:R66"/>
    <mergeCell ref="Q68:R68"/>
    <mergeCell ref="Q69:R69"/>
    <mergeCell ref="N65:O65"/>
    <mergeCell ref="N66:O66"/>
    <mergeCell ref="N68:O68"/>
    <mergeCell ref="N69:O69"/>
    <mergeCell ref="Q67:R67"/>
    <mergeCell ref="N67:O67"/>
    <mergeCell ref="H92:I92"/>
    <mergeCell ref="H77:I77"/>
    <mergeCell ref="H73:I73"/>
    <mergeCell ref="H88:I88"/>
    <mergeCell ref="K86:L86"/>
    <mergeCell ref="K74:L74"/>
    <mergeCell ref="K75:L75"/>
    <mergeCell ref="K78:L78"/>
    <mergeCell ref="K80:L80"/>
    <mergeCell ref="K81:L81"/>
    <mergeCell ref="K82:L82"/>
    <mergeCell ref="K83:L83"/>
    <mergeCell ref="K84:L84"/>
    <mergeCell ref="K92:L92"/>
    <mergeCell ref="K79:L79"/>
    <mergeCell ref="K73:L73"/>
    <mergeCell ref="K76:L76"/>
    <mergeCell ref="K77:L77"/>
    <mergeCell ref="H74:I74"/>
    <mergeCell ref="H75:I75"/>
    <mergeCell ref="H89:I89"/>
    <mergeCell ref="K85:L85"/>
    <mergeCell ref="K89:L89"/>
    <mergeCell ref="H87:I87"/>
    <mergeCell ref="K4:L4"/>
    <mergeCell ref="K5:L5"/>
    <mergeCell ref="K6:L6"/>
    <mergeCell ref="K7:L7"/>
    <mergeCell ref="K8:L8"/>
    <mergeCell ref="K9:L9"/>
    <mergeCell ref="K10:L10"/>
    <mergeCell ref="D13:I13"/>
    <mergeCell ref="Q63:R63"/>
    <mergeCell ref="K63:L63"/>
    <mergeCell ref="N8:R8"/>
    <mergeCell ref="N9:R9"/>
    <mergeCell ref="N10:R10"/>
    <mergeCell ref="N11:R11"/>
    <mergeCell ref="E53:F53"/>
    <mergeCell ref="D4:J4"/>
    <mergeCell ref="D5:J5"/>
    <mergeCell ref="D6:J6"/>
    <mergeCell ref="D7:J7"/>
    <mergeCell ref="D10:J10"/>
    <mergeCell ref="N7:R7"/>
    <mergeCell ref="D8:J8"/>
    <mergeCell ref="D9:J9"/>
    <mergeCell ref="H63:I63"/>
    <mergeCell ref="E24:F24"/>
    <mergeCell ref="E54:F55"/>
    <mergeCell ref="E56:F58"/>
    <mergeCell ref="E59:F61"/>
    <mergeCell ref="E52:F52"/>
    <mergeCell ref="E37:F37"/>
    <mergeCell ref="E25:F30"/>
    <mergeCell ref="E31:F36"/>
    <mergeCell ref="E38:F49"/>
    <mergeCell ref="E50:F51"/>
    <mergeCell ref="C67:F67"/>
    <mergeCell ref="H67:I67"/>
    <mergeCell ref="C63:F63"/>
    <mergeCell ref="C64:F64"/>
    <mergeCell ref="C65:F65"/>
    <mergeCell ref="C71:F71"/>
    <mergeCell ref="C84:F84"/>
    <mergeCell ref="C69:F69"/>
    <mergeCell ref="Q86:R86"/>
    <mergeCell ref="H69:I69"/>
    <mergeCell ref="H64:I64"/>
    <mergeCell ref="H65:I65"/>
    <mergeCell ref="H66:I66"/>
    <mergeCell ref="Q78:R78"/>
    <mergeCell ref="Q80:R80"/>
    <mergeCell ref="Q81:R81"/>
    <mergeCell ref="Q82:R82"/>
    <mergeCell ref="Q83:R83"/>
    <mergeCell ref="Q84:R84"/>
    <mergeCell ref="K64:L64"/>
    <mergeCell ref="K65:L65"/>
    <mergeCell ref="K70:L70"/>
    <mergeCell ref="K71:L71"/>
    <mergeCell ref="K72:L72"/>
    <mergeCell ref="H84:I84"/>
    <mergeCell ref="N84:O84"/>
    <mergeCell ref="Q90:R90"/>
    <mergeCell ref="H86:I86"/>
    <mergeCell ref="C70:F70"/>
    <mergeCell ref="C72:F72"/>
    <mergeCell ref="C73:F73"/>
    <mergeCell ref="C76:F76"/>
    <mergeCell ref="C77:F77"/>
    <mergeCell ref="H85:I85"/>
    <mergeCell ref="H76:I76"/>
    <mergeCell ref="C74:F74"/>
    <mergeCell ref="C90:F90"/>
    <mergeCell ref="N89:O89"/>
    <mergeCell ref="Q70:R70"/>
    <mergeCell ref="Q71:R71"/>
    <mergeCell ref="D11:J11"/>
    <mergeCell ref="D12:J12"/>
    <mergeCell ref="H90:I90"/>
    <mergeCell ref="H91:I91"/>
    <mergeCell ref="K87:L87"/>
    <mergeCell ref="K88:L88"/>
    <mergeCell ref="K90:L90"/>
    <mergeCell ref="K91:L91"/>
    <mergeCell ref="N86:O86"/>
    <mergeCell ref="N87:O87"/>
    <mergeCell ref="N88:O88"/>
    <mergeCell ref="N90:O90"/>
    <mergeCell ref="N91:O91"/>
    <mergeCell ref="H78:I78"/>
    <mergeCell ref="H80:I80"/>
    <mergeCell ref="H81:I81"/>
    <mergeCell ref="H82:I82"/>
    <mergeCell ref="B62:D62"/>
    <mergeCell ref="C86:F86"/>
    <mergeCell ref="C88:F88"/>
    <mergeCell ref="C85:F85"/>
    <mergeCell ref="C78:F78"/>
    <mergeCell ref="C87:F87"/>
    <mergeCell ref="H70:I70"/>
  </mergeCells>
  <conditionalFormatting sqref="I16:J16">
    <cfRule type="cellIs" dxfId="39" priority="4" stopIfTrue="1" operator="notBetween">
      <formula>0</formula>
      <formula>999999999</formula>
    </cfRule>
  </conditionalFormatting>
  <conditionalFormatting sqref="I18:J23 L18:M23 O18:P23 R18:R23 I25:I36 L25:L36 O25:O36 R25:R36 I38:I51 L38:L51 O38:O51 R38:R51 I53:I61 L53:L61 O53:O61 R53:R61">
    <cfRule type="cellIs" dxfId="38" priority="78" stopIfTrue="1" operator="notBetween">
      <formula>0</formula>
      <formula>999999999</formula>
    </cfRule>
  </conditionalFormatting>
  <conditionalFormatting sqref="J25:J27">
    <cfRule type="cellIs" dxfId="37" priority="30" stopIfTrue="1" operator="notBetween">
      <formula>0</formula>
      <formula>999999999</formula>
    </cfRule>
  </conditionalFormatting>
  <conditionalFormatting sqref="L16:M16">
    <cfRule type="cellIs" dxfId="36" priority="33" stopIfTrue="1" operator="notBetween">
      <formula>0</formula>
      <formula>999999999</formula>
    </cfRule>
  </conditionalFormatting>
  <conditionalFormatting sqref="M25:M27">
    <cfRule type="cellIs" dxfId="35" priority="29" stopIfTrue="1" operator="notBetween">
      <formula>0</formula>
      <formula>999999999</formula>
    </cfRule>
  </conditionalFormatting>
  <conditionalFormatting sqref="O16">
    <cfRule type="cellIs" dxfId="34" priority="8" stopIfTrue="1" operator="notBetween">
      <formula>0</formula>
      <formula>999999999</formula>
    </cfRule>
  </conditionalFormatting>
  <conditionalFormatting sqref="P25:P27">
    <cfRule type="cellIs" dxfId="33" priority="28" stopIfTrue="1" operator="notBetween">
      <formula>0</formula>
      <formula>999999999</formula>
    </cfRule>
  </conditionalFormatting>
  <conditionalFormatting sqref="R16">
    <cfRule type="cellIs" dxfId="32" priority="9" stopIfTrue="1" operator="notBetween">
      <formula>0</formula>
      <formula>999999999</formula>
    </cfRule>
  </conditionalFormatting>
  <pageMargins left="0.70866141732283472" right="0.70866141732283472" top="0.78740157480314965" bottom="0.78740157480314965" header="0.31496062992125984" footer="0.31496062992125984"/>
  <pageSetup paperSize="9" scale="42" fitToWidth="0" fitToHeight="2" orientation="landscape" r:id="rId1"/>
  <rowBreaks count="1" manualBreakCount="1">
    <brk id="36" min="1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58"/>
  <sheetViews>
    <sheetView topLeftCell="A2" zoomScale="80" zoomScaleNormal="80" workbookViewId="0">
      <selection activeCell="H14" sqref="H14"/>
    </sheetView>
  </sheetViews>
  <sheetFormatPr baseColWidth="10" defaultColWidth="11.42578125" defaultRowHeight="12.75" x14ac:dyDescent="0.2"/>
  <cols>
    <col min="1" max="2" width="3.7109375" style="71" customWidth="1"/>
    <col min="3" max="3" width="58.7109375" style="71" customWidth="1"/>
    <col min="4" max="4" width="14" style="72" customWidth="1"/>
    <col min="5" max="5" width="7.28515625" style="73" customWidth="1"/>
    <col min="6" max="6" width="17.5703125" style="73" customWidth="1"/>
    <col min="7" max="7" width="2.28515625" style="176" customWidth="1"/>
    <col min="8" max="8" width="11.42578125" style="73" customWidth="1"/>
    <col min="9" max="9" width="7.5703125" style="73" customWidth="1"/>
    <col min="10" max="10" width="21.5703125" style="85" customWidth="1"/>
    <col min="11" max="11" width="6.42578125" style="73" customWidth="1"/>
    <col min="12" max="12" width="2.28515625" style="85" customWidth="1"/>
    <col min="13" max="13" width="11.28515625" style="73" customWidth="1"/>
    <col min="14" max="14" width="7.28515625" style="73" customWidth="1"/>
    <col min="15" max="15" width="1.42578125" style="85" customWidth="1"/>
    <col min="16" max="16" width="11.5703125" style="73" customWidth="1"/>
    <col min="17" max="17" width="6.7109375" style="73" customWidth="1"/>
    <col min="18" max="18" width="3.7109375" style="71" customWidth="1"/>
    <col min="19" max="19" width="1.7109375" style="71" customWidth="1"/>
    <col min="20" max="20" width="3.7109375" style="75" customWidth="1"/>
    <col min="21" max="22" width="40.7109375" style="75" customWidth="1"/>
    <col min="23" max="23" width="48.28515625" style="75" customWidth="1"/>
    <col min="24" max="24" width="3.7109375" style="75" customWidth="1"/>
    <col min="25" max="16384" width="11.42578125" style="71"/>
  </cols>
  <sheetData>
    <row r="1" spans="1:24" ht="13.15" hidden="1" customHeight="1" x14ac:dyDescent="0.2">
      <c r="J1" s="74"/>
      <c r="L1" s="74"/>
      <c r="O1" s="74"/>
    </row>
    <row r="2" spans="1:24" ht="13.15" customHeight="1" x14ac:dyDescent="0.2">
      <c r="F2" s="72"/>
      <c r="G2" s="84"/>
      <c r="H2" s="72"/>
      <c r="J2" s="74"/>
      <c r="L2" s="74"/>
      <c r="O2" s="74"/>
    </row>
    <row r="3" spans="1:24" ht="13.15" customHeight="1" x14ac:dyDescent="0.2">
      <c r="B3" s="86"/>
      <c r="C3" s="123"/>
      <c r="D3" s="124"/>
      <c r="E3" s="125"/>
      <c r="F3" s="125"/>
      <c r="G3" s="177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/>
    </row>
    <row r="4" spans="1:24" ht="13.15" customHeight="1" x14ac:dyDescent="0.2">
      <c r="B4" s="87"/>
      <c r="C4" s="286" t="s">
        <v>109</v>
      </c>
      <c r="D4" s="286"/>
      <c r="E4" s="286"/>
      <c r="F4" s="286"/>
      <c r="G4" s="286"/>
      <c r="H4" s="286"/>
      <c r="I4" s="286"/>
      <c r="J4" s="286" t="s">
        <v>119</v>
      </c>
      <c r="K4" s="286"/>
      <c r="L4" s="286"/>
      <c r="M4" s="286"/>
      <c r="N4" s="286"/>
      <c r="O4" s="286"/>
      <c r="P4" s="286"/>
      <c r="Q4" s="286"/>
      <c r="R4" s="138"/>
    </row>
    <row r="5" spans="1:24" s="120" customFormat="1" ht="23.25" customHeight="1" x14ac:dyDescent="0.2">
      <c r="B5" s="87"/>
      <c r="C5" s="142" t="s">
        <v>110</v>
      </c>
      <c r="D5" s="266">
        <v>44562</v>
      </c>
      <c r="E5" s="266"/>
      <c r="F5" s="266"/>
      <c r="G5" s="266"/>
      <c r="H5" s="266"/>
      <c r="I5" s="266"/>
      <c r="J5" s="292" t="s">
        <v>17</v>
      </c>
      <c r="K5" s="292"/>
      <c r="L5" s="293">
        <f>IF('Overview IB'!D11="","",'Overview IB'!D11)</f>
        <v>44562</v>
      </c>
      <c r="M5" s="293"/>
      <c r="N5" s="293"/>
      <c r="O5" s="293"/>
      <c r="P5" s="293"/>
      <c r="Q5" s="293"/>
      <c r="R5" s="122"/>
    </row>
    <row r="6" spans="1:24" s="120" customFormat="1" ht="18.75" customHeight="1" x14ac:dyDescent="0.2">
      <c r="B6" s="87"/>
      <c r="C6" s="142" t="s">
        <v>111</v>
      </c>
      <c r="D6" s="266">
        <v>44742</v>
      </c>
      <c r="E6" s="266"/>
      <c r="F6" s="266"/>
      <c r="G6" s="266"/>
      <c r="H6" s="266"/>
      <c r="I6" s="266"/>
      <c r="J6" s="292" t="s">
        <v>18</v>
      </c>
      <c r="K6" s="292"/>
      <c r="L6" s="293">
        <f>IF('Overview IB'!D12="","",'Overview IB'!D12)</f>
        <v>45291</v>
      </c>
      <c r="M6" s="293"/>
      <c r="N6" s="293"/>
      <c r="O6" s="293"/>
      <c r="P6" s="293"/>
      <c r="Q6" s="293"/>
      <c r="R6" s="122"/>
    </row>
    <row r="7" spans="1:24" s="120" customFormat="1" ht="18.75" customHeight="1" x14ac:dyDescent="0.2">
      <c r="B7" s="87"/>
      <c r="C7" s="143" t="s">
        <v>36</v>
      </c>
      <c r="D7" s="295">
        <f>IF(OR(D5="",L7="befüllt sich automatisch"),0,((D6-D5)/30)/L7)</f>
        <v>0.24691358024691357</v>
      </c>
      <c r="E7" s="295"/>
      <c r="F7" s="295"/>
      <c r="G7" s="296"/>
      <c r="H7" s="295"/>
      <c r="I7" s="295"/>
      <c r="J7" s="292" t="s">
        <v>72</v>
      </c>
      <c r="K7" s="292"/>
      <c r="L7" s="294">
        <f>IF(IF(OR(L6="",L5=""),"",(L6-L5)/30)="","befüllt sich automatisch",IF(OR(L6="",L5=""),"",(L6-L5)/30))</f>
        <v>24.3</v>
      </c>
      <c r="M7" s="294"/>
      <c r="N7" s="294"/>
      <c r="O7" s="294"/>
      <c r="P7" s="294"/>
      <c r="Q7" s="294"/>
      <c r="R7" s="122"/>
    </row>
    <row r="8" spans="1:24" ht="12.4" customHeight="1" x14ac:dyDescent="0.2">
      <c r="A8" s="76"/>
      <c r="B8" s="87"/>
      <c r="C8" s="88"/>
      <c r="D8" s="88"/>
      <c r="E8" s="88"/>
      <c r="F8" s="121"/>
      <c r="G8" s="125"/>
      <c r="H8" s="121"/>
      <c r="I8" s="121"/>
      <c r="J8" s="88"/>
      <c r="K8" s="88"/>
      <c r="L8" s="88"/>
      <c r="M8" s="88"/>
      <c r="N8" s="88"/>
      <c r="O8" s="88"/>
      <c r="P8" s="88"/>
      <c r="Q8" s="88"/>
      <c r="R8" s="89"/>
      <c r="S8" s="76"/>
      <c r="T8" s="76"/>
      <c r="U8" s="76"/>
    </row>
    <row r="9" spans="1:24" s="76" customFormat="1" ht="25.9" customHeight="1" x14ac:dyDescent="0.2">
      <c r="B9" s="87"/>
      <c r="C9" s="165" t="s">
        <v>42</v>
      </c>
      <c r="D9" s="93" t="s">
        <v>86</v>
      </c>
      <c r="E9" s="260"/>
      <c r="F9" s="270"/>
      <c r="G9" s="37"/>
      <c r="H9" s="175" t="s">
        <v>37</v>
      </c>
      <c r="I9" s="39" t="s">
        <v>11</v>
      </c>
      <c r="J9" s="281" t="s">
        <v>74</v>
      </c>
      <c r="K9" s="282"/>
      <c r="L9" s="282"/>
      <c r="M9" s="282"/>
      <c r="N9" s="282"/>
      <c r="O9" s="282"/>
      <c r="P9" s="282"/>
      <c r="Q9" s="283"/>
      <c r="R9" s="90"/>
      <c r="T9" s="77"/>
      <c r="U9" s="78"/>
      <c r="V9" s="78"/>
      <c r="W9" s="78"/>
      <c r="X9" s="77"/>
    </row>
    <row r="10" spans="1:24" s="76" customFormat="1" ht="18.75" customHeight="1" x14ac:dyDescent="0.2">
      <c r="B10" s="87"/>
      <c r="C10" s="94" t="s">
        <v>121</v>
      </c>
      <c r="D10" s="153">
        <f>'Overview IB'!D16</f>
        <v>941</v>
      </c>
      <c r="E10" s="274" t="str">
        <f>IF('Overview IB'!E16 &gt; 0, 'Overview IB'!E16, "")</f>
        <v/>
      </c>
      <c r="F10" s="275"/>
      <c r="G10" s="37"/>
      <c r="H10" s="107">
        <v>702</v>
      </c>
      <c r="I10" s="141">
        <f>IF(H10=0,0,H10/D10)</f>
        <v>0.74601487778958553</v>
      </c>
      <c r="J10" s="277"/>
      <c r="K10" s="278"/>
      <c r="L10" s="278"/>
      <c r="M10" s="278"/>
      <c r="N10" s="278"/>
      <c r="O10" s="278"/>
      <c r="P10" s="278"/>
      <c r="Q10" s="279"/>
      <c r="R10" s="90"/>
      <c r="T10" s="77"/>
      <c r="U10" s="78"/>
      <c r="V10" s="78"/>
      <c r="W10" s="78"/>
      <c r="X10" s="77"/>
    </row>
    <row r="11" spans="1:24" s="76" customFormat="1" ht="28.9" customHeight="1" x14ac:dyDescent="0.2">
      <c r="B11" s="87"/>
      <c r="C11" s="8" t="s">
        <v>87</v>
      </c>
      <c r="D11" s="93" t="s">
        <v>86</v>
      </c>
      <c r="E11" s="276" t="s">
        <v>91</v>
      </c>
      <c r="F11" s="216"/>
      <c r="G11" s="37"/>
      <c r="H11" s="38"/>
      <c r="I11" s="39"/>
      <c r="J11" s="304"/>
      <c r="K11" s="305"/>
      <c r="L11" s="305"/>
      <c r="M11" s="305"/>
      <c r="N11" s="305"/>
      <c r="O11" s="305"/>
      <c r="P11" s="305"/>
      <c r="Q11" s="306"/>
      <c r="R11" s="90"/>
      <c r="T11" s="77"/>
      <c r="U11" s="78"/>
      <c r="V11" s="78"/>
      <c r="W11" s="78"/>
      <c r="X11" s="77"/>
    </row>
    <row r="12" spans="1:24" ht="15" x14ac:dyDescent="0.2">
      <c r="B12" s="36"/>
      <c r="C12" s="95" t="s">
        <v>67</v>
      </c>
      <c r="D12" s="153">
        <f>'Overview IB'!D18</f>
        <v>96</v>
      </c>
      <c r="E12" s="271" t="str">
        <f>IF('Overview IB'!E18 &gt; 0, 'Overview IB'!E18, "")</f>
        <v>z.B. ganzheitliches Lernen, Sommerprogramm, Corona-spezifische Maßnahmen zur Bekämpfung der Folgend der Pandemie</v>
      </c>
      <c r="F12" s="271"/>
      <c r="G12" s="37"/>
      <c r="H12" s="115">
        <v>24</v>
      </c>
      <c r="I12" s="181">
        <f>IF(H12=0,0,H12/D12)</f>
        <v>0.25</v>
      </c>
      <c r="J12" s="267"/>
      <c r="K12" s="267"/>
      <c r="L12" s="267"/>
      <c r="M12" s="267"/>
      <c r="N12" s="267"/>
      <c r="O12" s="267"/>
      <c r="P12" s="267"/>
      <c r="Q12" s="267"/>
      <c r="R12" s="91"/>
      <c r="U12" s="167"/>
      <c r="V12" s="167"/>
      <c r="W12" s="167"/>
    </row>
    <row r="13" spans="1:24" ht="15" x14ac:dyDescent="0.2">
      <c r="B13" s="36"/>
      <c r="C13" s="96" t="s">
        <v>122</v>
      </c>
      <c r="D13" s="153">
        <f>'Overview IB'!D19</f>
        <v>0</v>
      </c>
      <c r="E13" s="272"/>
      <c r="F13" s="273"/>
      <c r="G13" s="37"/>
      <c r="H13" s="115"/>
      <c r="I13" s="182">
        <f t="shared" ref="I13:I17" si="0">IF(H13=0,0,H13/D13)</f>
        <v>0</v>
      </c>
      <c r="J13" s="267"/>
      <c r="K13" s="267"/>
      <c r="L13" s="267"/>
      <c r="M13" s="267"/>
      <c r="N13" s="267"/>
      <c r="O13" s="267"/>
      <c r="P13" s="267"/>
      <c r="Q13" s="267"/>
      <c r="R13" s="91"/>
      <c r="U13" s="167"/>
      <c r="V13" s="167"/>
      <c r="W13" s="167"/>
    </row>
    <row r="14" spans="1:24" ht="15" x14ac:dyDescent="0.2">
      <c r="B14" s="36"/>
      <c r="C14" s="95" t="s">
        <v>68</v>
      </c>
      <c r="D14" s="153">
        <f>'Overview IB'!D20</f>
        <v>96</v>
      </c>
      <c r="E14" s="271" t="str">
        <f>IF('Overview IB'!E20 &gt; 0, 'Overview IB'!E20, "")</f>
        <v>z.B. ganzheitliches Lernen, Sommerprogramm, Elternarbeit, Digitalisierung</v>
      </c>
      <c r="F14" s="271"/>
      <c r="G14" s="37"/>
      <c r="H14" s="115">
        <v>24</v>
      </c>
      <c r="I14" s="181">
        <f t="shared" si="0"/>
        <v>0.25</v>
      </c>
      <c r="J14" s="267"/>
      <c r="K14" s="267"/>
      <c r="L14" s="267"/>
      <c r="M14" s="267"/>
      <c r="N14" s="267"/>
      <c r="O14" s="267"/>
      <c r="P14" s="267"/>
      <c r="Q14" s="267"/>
      <c r="R14" s="91"/>
      <c r="U14" s="167"/>
      <c r="V14" s="167"/>
      <c r="W14" s="167"/>
    </row>
    <row r="15" spans="1:24" ht="15" x14ac:dyDescent="0.2">
      <c r="B15" s="36"/>
      <c r="C15" s="97" t="s">
        <v>65</v>
      </c>
      <c r="D15" s="153">
        <f>'Overview IB'!D21</f>
        <v>0</v>
      </c>
      <c r="E15" s="272"/>
      <c r="F15" s="272"/>
      <c r="G15" s="37"/>
      <c r="H15" s="115"/>
      <c r="I15" s="182">
        <f t="shared" si="0"/>
        <v>0</v>
      </c>
      <c r="J15" s="267"/>
      <c r="K15" s="267"/>
      <c r="L15" s="267"/>
      <c r="M15" s="267"/>
      <c r="N15" s="267"/>
      <c r="O15" s="267"/>
      <c r="P15" s="267"/>
      <c r="Q15" s="267"/>
      <c r="R15" s="91"/>
      <c r="U15" s="167"/>
      <c r="V15" s="167"/>
      <c r="W15" s="167"/>
    </row>
    <row r="16" spans="1:24" ht="15" x14ac:dyDescent="0.2">
      <c r="B16" s="36"/>
      <c r="C16" s="97" t="s">
        <v>66</v>
      </c>
      <c r="D16" s="153">
        <f>'Overview IB'!D22</f>
        <v>0</v>
      </c>
      <c r="E16" s="272"/>
      <c r="F16" s="272"/>
      <c r="G16" s="37"/>
      <c r="H16" s="115"/>
      <c r="I16" s="182">
        <f t="shared" si="0"/>
        <v>0</v>
      </c>
      <c r="J16" s="267"/>
      <c r="K16" s="267"/>
      <c r="L16" s="267"/>
      <c r="M16" s="267"/>
      <c r="N16" s="267"/>
      <c r="O16" s="267"/>
      <c r="P16" s="267"/>
      <c r="Q16" s="267"/>
      <c r="R16" s="91"/>
      <c r="U16" s="167"/>
      <c r="V16" s="167"/>
      <c r="W16" s="167"/>
    </row>
    <row r="17" spans="2:23" ht="15" x14ac:dyDescent="0.2">
      <c r="B17" s="36"/>
      <c r="C17" s="97" t="s">
        <v>70</v>
      </c>
      <c r="D17" s="153">
        <f>'Overview IB'!D23</f>
        <v>0</v>
      </c>
      <c r="E17" s="273"/>
      <c r="F17" s="273"/>
      <c r="G17" s="37"/>
      <c r="H17" s="107"/>
      <c r="I17" s="182">
        <f t="shared" si="0"/>
        <v>0</v>
      </c>
      <c r="J17" s="267"/>
      <c r="K17" s="267"/>
      <c r="L17" s="267"/>
      <c r="M17" s="267"/>
      <c r="N17" s="267"/>
      <c r="O17" s="267"/>
      <c r="P17" s="267"/>
      <c r="Q17" s="267"/>
      <c r="R17" s="91"/>
      <c r="U17" s="297"/>
      <c r="V17" s="297"/>
      <c r="W17" s="297"/>
    </row>
    <row r="18" spans="2:23" ht="26.1" customHeight="1" x14ac:dyDescent="0.2">
      <c r="B18" s="36"/>
      <c r="C18" s="8" t="s">
        <v>55</v>
      </c>
      <c r="D18" s="93" t="s">
        <v>86</v>
      </c>
      <c r="E18" s="216" t="s">
        <v>91</v>
      </c>
      <c r="F18" s="216"/>
      <c r="G18" s="37"/>
      <c r="H18" s="175" t="s">
        <v>37</v>
      </c>
      <c r="I18" s="114" t="s">
        <v>11</v>
      </c>
      <c r="J18" s="302" t="s">
        <v>74</v>
      </c>
      <c r="K18" s="302"/>
      <c r="L18" s="302"/>
      <c r="M18" s="302"/>
      <c r="N18" s="302"/>
      <c r="O18" s="302"/>
      <c r="P18" s="302"/>
      <c r="Q18" s="302"/>
      <c r="R18" s="91"/>
      <c r="U18" s="301"/>
      <c r="V18" s="301"/>
      <c r="W18" s="301"/>
    </row>
    <row r="19" spans="2:23" ht="15" x14ac:dyDescent="0.2">
      <c r="B19" s="36"/>
      <c r="C19" s="95" t="s">
        <v>83</v>
      </c>
      <c r="D19" s="153">
        <f>'Overview IB'!D25</f>
        <v>0</v>
      </c>
      <c r="E19" s="271" t="str">
        <f>IF('Overview IB'!E25 &gt; 0, 'Overview IB'!E25, "")</f>
        <v/>
      </c>
      <c r="F19" s="271"/>
      <c r="G19" s="37"/>
      <c r="H19" s="116"/>
      <c r="I19" s="181">
        <f>IF(H19=0,0,H19/D19)</f>
        <v>0</v>
      </c>
      <c r="J19" s="267"/>
      <c r="K19" s="267"/>
      <c r="L19" s="267"/>
      <c r="M19" s="267"/>
      <c r="N19" s="267"/>
      <c r="O19" s="267"/>
      <c r="P19" s="267"/>
      <c r="Q19" s="267"/>
      <c r="R19" s="91"/>
      <c r="U19" s="170"/>
      <c r="V19" s="170"/>
      <c r="W19" s="170"/>
    </row>
    <row r="20" spans="2:23" ht="30" x14ac:dyDescent="0.2">
      <c r="B20" s="36"/>
      <c r="C20" s="96" t="s">
        <v>57</v>
      </c>
      <c r="D20" s="153">
        <f>'Overview IB'!D26</f>
        <v>0</v>
      </c>
      <c r="E20" s="272"/>
      <c r="F20" s="272"/>
      <c r="G20" s="37"/>
      <c r="H20" s="116"/>
      <c r="I20" s="182">
        <f t="shared" ref="I20:I30" si="1">IF(H20=0,0,H20/D20)</f>
        <v>0</v>
      </c>
      <c r="J20" s="267"/>
      <c r="K20" s="267"/>
      <c r="L20" s="267"/>
      <c r="M20" s="267"/>
      <c r="N20" s="267"/>
      <c r="O20" s="267"/>
      <c r="P20" s="267"/>
      <c r="Q20" s="267"/>
      <c r="R20" s="91"/>
      <c r="U20" s="301"/>
      <c r="V20" s="301"/>
      <c r="W20" s="301"/>
    </row>
    <row r="21" spans="2:23" ht="15" x14ac:dyDescent="0.2">
      <c r="B21" s="36"/>
      <c r="C21" s="97" t="s">
        <v>71</v>
      </c>
      <c r="D21" s="153">
        <f>'Overview IB'!D27</f>
        <v>0</v>
      </c>
      <c r="E21" s="272"/>
      <c r="F21" s="272"/>
      <c r="G21" s="37"/>
      <c r="H21" s="116"/>
      <c r="I21" s="182">
        <f t="shared" si="1"/>
        <v>0</v>
      </c>
      <c r="J21" s="267"/>
      <c r="K21" s="267"/>
      <c r="L21" s="267"/>
      <c r="M21" s="267"/>
      <c r="N21" s="267"/>
      <c r="O21" s="267"/>
      <c r="P21" s="267"/>
      <c r="Q21" s="267"/>
      <c r="R21" s="91"/>
      <c r="U21" s="301"/>
      <c r="V21" s="301"/>
      <c r="W21" s="301"/>
    </row>
    <row r="22" spans="2:23" ht="30" x14ac:dyDescent="0.2">
      <c r="B22" s="36"/>
      <c r="C22" s="95" t="s">
        <v>84</v>
      </c>
      <c r="D22" s="153">
        <f>'Overview IB'!D28</f>
        <v>0</v>
      </c>
      <c r="E22" s="272"/>
      <c r="F22" s="272"/>
      <c r="G22" s="37"/>
      <c r="H22" s="116"/>
      <c r="I22" s="181">
        <f t="shared" si="1"/>
        <v>0</v>
      </c>
      <c r="J22" s="267"/>
      <c r="K22" s="267"/>
      <c r="L22" s="267"/>
      <c r="M22" s="267"/>
      <c r="N22" s="267"/>
      <c r="O22" s="267"/>
      <c r="P22" s="267"/>
      <c r="Q22" s="267"/>
      <c r="R22" s="91"/>
      <c r="U22" s="301"/>
      <c r="V22" s="301"/>
      <c r="W22" s="301"/>
    </row>
    <row r="23" spans="2:23" ht="17.649999999999999" customHeight="1" x14ac:dyDescent="0.2">
      <c r="B23" s="36"/>
      <c r="C23" s="97" t="s">
        <v>58</v>
      </c>
      <c r="D23" s="153">
        <f>'Overview IB'!D29</f>
        <v>0</v>
      </c>
      <c r="E23" s="272"/>
      <c r="F23" s="272"/>
      <c r="G23" s="37"/>
      <c r="H23" s="116"/>
      <c r="I23" s="182">
        <f t="shared" si="1"/>
        <v>0</v>
      </c>
      <c r="J23" s="267"/>
      <c r="K23" s="267"/>
      <c r="L23" s="267"/>
      <c r="M23" s="267"/>
      <c r="N23" s="267"/>
      <c r="O23" s="267"/>
      <c r="P23" s="267"/>
      <c r="Q23" s="267"/>
      <c r="R23" s="91"/>
      <c r="U23" s="301"/>
      <c r="V23" s="301"/>
      <c r="W23" s="301"/>
    </row>
    <row r="24" spans="2:23" ht="15" x14ac:dyDescent="0.2">
      <c r="B24" s="36"/>
      <c r="C24" s="97" t="s">
        <v>56</v>
      </c>
      <c r="D24" s="153">
        <f>'Overview IB'!D30</f>
        <v>0</v>
      </c>
      <c r="E24" s="273"/>
      <c r="F24" s="273"/>
      <c r="G24" s="37"/>
      <c r="H24" s="47"/>
      <c r="I24" s="182">
        <f t="shared" si="1"/>
        <v>0</v>
      </c>
      <c r="J24" s="267"/>
      <c r="K24" s="267"/>
      <c r="L24" s="267"/>
      <c r="M24" s="267"/>
      <c r="N24" s="267"/>
      <c r="O24" s="267"/>
      <c r="P24" s="267"/>
      <c r="Q24" s="267"/>
      <c r="R24" s="91"/>
      <c r="U24" s="301"/>
      <c r="V24" s="301"/>
      <c r="W24" s="301"/>
    </row>
    <row r="25" spans="2:23" ht="17.649999999999999" customHeight="1" x14ac:dyDescent="0.2">
      <c r="B25" s="36"/>
      <c r="C25" s="95" t="s">
        <v>59</v>
      </c>
      <c r="D25" s="153">
        <f>'Overview IB'!D31</f>
        <v>0</v>
      </c>
      <c r="E25" s="287" t="str">
        <f>IF('Overview IB'!E31 &gt; 0, 'Overview IB'!E31, "")</f>
        <v/>
      </c>
      <c r="F25" s="287"/>
      <c r="G25" s="37"/>
      <c r="H25" s="116"/>
      <c r="I25" s="181">
        <f t="shared" si="1"/>
        <v>0</v>
      </c>
      <c r="J25" s="267"/>
      <c r="K25" s="267"/>
      <c r="L25" s="267"/>
      <c r="M25" s="267"/>
      <c r="N25" s="267"/>
      <c r="O25" s="267"/>
      <c r="P25" s="267"/>
      <c r="Q25" s="267"/>
      <c r="R25" s="91"/>
      <c r="U25" s="301"/>
      <c r="V25" s="301"/>
      <c r="W25" s="301"/>
    </row>
    <row r="26" spans="2:23" ht="15" x14ac:dyDescent="0.2">
      <c r="B26" s="36"/>
      <c r="C26" s="96" t="s">
        <v>61</v>
      </c>
      <c r="D26" s="153">
        <f>'Overview IB'!D32</f>
        <v>0</v>
      </c>
      <c r="E26" s="288"/>
      <c r="F26" s="288"/>
      <c r="G26" s="37"/>
      <c r="H26" s="47"/>
      <c r="I26" s="182">
        <f t="shared" si="1"/>
        <v>0</v>
      </c>
      <c r="J26" s="267"/>
      <c r="K26" s="267"/>
      <c r="L26" s="267"/>
      <c r="M26" s="267"/>
      <c r="N26" s="267"/>
      <c r="O26" s="267"/>
      <c r="P26" s="267"/>
      <c r="Q26" s="267"/>
      <c r="R26" s="91"/>
      <c r="U26" s="301"/>
      <c r="V26" s="301"/>
      <c r="W26" s="301"/>
    </row>
    <row r="27" spans="2:23" ht="15" x14ac:dyDescent="0.2">
      <c r="B27" s="36"/>
      <c r="C27" s="96" t="s">
        <v>60</v>
      </c>
      <c r="D27" s="153">
        <f>'Overview IB'!D33</f>
        <v>0</v>
      </c>
      <c r="E27" s="288"/>
      <c r="F27" s="288"/>
      <c r="G27" s="37"/>
      <c r="H27" s="117"/>
      <c r="I27" s="182">
        <f t="shared" si="1"/>
        <v>0</v>
      </c>
      <c r="J27" s="267"/>
      <c r="K27" s="267"/>
      <c r="L27" s="267"/>
      <c r="M27" s="267"/>
      <c r="N27" s="267"/>
      <c r="O27" s="267"/>
      <c r="P27" s="267"/>
      <c r="Q27" s="267"/>
      <c r="R27" s="91"/>
      <c r="U27" s="301"/>
      <c r="V27" s="301"/>
      <c r="W27" s="301"/>
    </row>
    <row r="28" spans="2:23" ht="15" x14ac:dyDescent="0.2">
      <c r="B28" s="36"/>
      <c r="C28" s="166" t="s">
        <v>14</v>
      </c>
      <c r="D28" s="153">
        <f>'Overview IB'!D34</f>
        <v>0</v>
      </c>
      <c r="E28" s="288"/>
      <c r="F28" s="288"/>
      <c r="G28" s="37"/>
      <c r="H28" s="116"/>
      <c r="I28" s="182">
        <f t="shared" si="1"/>
        <v>0</v>
      </c>
      <c r="J28" s="267"/>
      <c r="K28" s="267"/>
      <c r="L28" s="267"/>
      <c r="M28" s="267"/>
      <c r="N28" s="267"/>
      <c r="O28" s="267"/>
      <c r="P28" s="267"/>
      <c r="Q28" s="267"/>
      <c r="R28" s="91"/>
      <c r="U28" s="301"/>
      <c r="V28" s="301"/>
      <c r="W28" s="301"/>
    </row>
    <row r="29" spans="2:23" ht="15" x14ac:dyDescent="0.2">
      <c r="B29" s="36"/>
      <c r="C29" s="97" t="s">
        <v>75</v>
      </c>
      <c r="D29" s="153">
        <f>'Overview IB'!D35</f>
        <v>0</v>
      </c>
      <c r="E29" s="288"/>
      <c r="F29" s="288"/>
      <c r="G29" s="37"/>
      <c r="H29" s="47"/>
      <c r="I29" s="182">
        <f t="shared" si="1"/>
        <v>0</v>
      </c>
      <c r="J29" s="267"/>
      <c r="K29" s="267"/>
      <c r="L29" s="267"/>
      <c r="M29" s="267"/>
      <c r="N29" s="267"/>
      <c r="O29" s="267"/>
      <c r="P29" s="267"/>
      <c r="Q29" s="267"/>
      <c r="R29" s="91"/>
      <c r="U29" s="301"/>
      <c r="V29" s="301"/>
      <c r="W29" s="301"/>
    </row>
    <row r="30" spans="2:23" ht="15" x14ac:dyDescent="0.2">
      <c r="B30" s="36"/>
      <c r="C30" s="97" t="s">
        <v>76</v>
      </c>
      <c r="D30" s="153">
        <f>'Overview IB'!D36</f>
        <v>0</v>
      </c>
      <c r="E30" s="289"/>
      <c r="F30" s="289"/>
      <c r="G30" s="37"/>
      <c r="H30" s="117"/>
      <c r="I30" s="182">
        <f t="shared" si="1"/>
        <v>0</v>
      </c>
      <c r="J30" s="267"/>
      <c r="K30" s="267"/>
      <c r="L30" s="267"/>
      <c r="M30" s="267"/>
      <c r="N30" s="267"/>
      <c r="O30" s="267"/>
      <c r="P30" s="267"/>
      <c r="Q30" s="267"/>
      <c r="R30" s="91"/>
      <c r="U30" s="301"/>
      <c r="V30" s="301"/>
      <c r="W30" s="301"/>
    </row>
    <row r="31" spans="2:23" ht="26.1" customHeight="1" x14ac:dyDescent="0.2">
      <c r="B31" s="36"/>
      <c r="C31" s="8" t="s">
        <v>62</v>
      </c>
      <c r="D31" s="93" t="s">
        <v>86</v>
      </c>
      <c r="E31" s="216" t="s">
        <v>91</v>
      </c>
      <c r="F31" s="216"/>
      <c r="G31" s="37"/>
      <c r="H31" s="175" t="s">
        <v>37</v>
      </c>
      <c r="I31" s="114" t="s">
        <v>11</v>
      </c>
      <c r="J31" s="302" t="s">
        <v>74</v>
      </c>
      <c r="K31" s="302"/>
      <c r="L31" s="302"/>
      <c r="M31" s="302"/>
      <c r="N31" s="302"/>
      <c r="O31" s="302"/>
      <c r="P31" s="302"/>
      <c r="Q31" s="302"/>
      <c r="R31" s="91"/>
      <c r="U31" s="303"/>
      <c r="V31" s="303"/>
      <c r="W31" s="303"/>
    </row>
    <row r="32" spans="2:23" ht="13.15" customHeight="1" x14ac:dyDescent="0.2">
      <c r="B32" s="36"/>
      <c r="C32" s="95" t="s">
        <v>79</v>
      </c>
      <c r="D32" s="153">
        <f>'Overview IB'!D38</f>
        <v>0</v>
      </c>
      <c r="E32" s="271" t="str">
        <f>IF('Overview IB'!E38 &gt; 0, 'Overview IB'!E38, "")</f>
        <v/>
      </c>
      <c r="F32" s="271"/>
      <c r="G32" s="37"/>
      <c r="H32" s="45">
        <f>SUM(H33:H37)</f>
        <v>0</v>
      </c>
      <c r="I32" s="46">
        <f>IF(H32=0,0,H32/D32)</f>
        <v>0</v>
      </c>
      <c r="J32" s="267"/>
      <c r="K32" s="267"/>
      <c r="L32" s="267"/>
      <c r="M32" s="267"/>
      <c r="N32" s="267"/>
      <c r="O32" s="267"/>
      <c r="P32" s="267"/>
      <c r="Q32" s="267"/>
      <c r="R32" s="91"/>
      <c r="U32" s="297"/>
      <c r="V32" s="297"/>
      <c r="W32" s="297"/>
    </row>
    <row r="33" spans="2:23" ht="15" x14ac:dyDescent="0.2">
      <c r="B33" s="36"/>
      <c r="C33" s="97" t="s">
        <v>47</v>
      </c>
      <c r="D33" s="153">
        <f>'Overview IB'!D39</f>
        <v>0</v>
      </c>
      <c r="E33" s="272"/>
      <c r="F33" s="272"/>
      <c r="G33" s="37"/>
      <c r="H33" s="116"/>
      <c r="I33" s="48">
        <f t="shared" ref="I33:I45" si="2">IF(H33=0,0,H33/D33)</f>
        <v>0</v>
      </c>
      <c r="J33" s="267"/>
      <c r="K33" s="267"/>
      <c r="L33" s="267"/>
      <c r="M33" s="267"/>
      <c r="N33" s="267"/>
      <c r="O33" s="267"/>
      <c r="P33" s="267"/>
      <c r="Q33" s="267"/>
      <c r="R33" s="91"/>
      <c r="U33" s="297"/>
      <c r="V33" s="297"/>
      <c r="W33" s="297"/>
    </row>
    <row r="34" spans="2:23" ht="15" x14ac:dyDescent="0.2">
      <c r="B34" s="36"/>
      <c r="C34" s="97" t="s">
        <v>48</v>
      </c>
      <c r="D34" s="153">
        <f>'Overview IB'!D40</f>
        <v>0</v>
      </c>
      <c r="E34" s="272"/>
      <c r="F34" s="272"/>
      <c r="G34" s="37"/>
      <c r="H34" s="47"/>
      <c r="I34" s="48">
        <f t="shared" si="2"/>
        <v>0</v>
      </c>
      <c r="J34" s="267"/>
      <c r="K34" s="267"/>
      <c r="L34" s="267"/>
      <c r="M34" s="267"/>
      <c r="N34" s="267"/>
      <c r="O34" s="267"/>
      <c r="P34" s="267"/>
      <c r="Q34" s="267"/>
      <c r="R34" s="91"/>
      <c r="U34" s="297"/>
      <c r="V34" s="297"/>
      <c r="W34" s="297"/>
    </row>
    <row r="35" spans="2:23" ht="15" x14ac:dyDescent="0.2">
      <c r="B35" s="36"/>
      <c r="C35" s="97" t="s">
        <v>49</v>
      </c>
      <c r="D35" s="153">
        <f>'Overview IB'!D41</f>
        <v>0</v>
      </c>
      <c r="E35" s="272"/>
      <c r="F35" s="272"/>
      <c r="G35" s="37"/>
      <c r="H35" s="47"/>
      <c r="I35" s="48">
        <f t="shared" si="2"/>
        <v>0</v>
      </c>
      <c r="J35" s="267"/>
      <c r="K35" s="267"/>
      <c r="L35" s="267"/>
      <c r="M35" s="267"/>
      <c r="N35" s="267"/>
      <c r="O35" s="267"/>
      <c r="P35" s="267"/>
      <c r="Q35" s="267"/>
      <c r="R35" s="91"/>
      <c r="U35" s="297"/>
      <c r="V35" s="297"/>
      <c r="W35" s="297"/>
    </row>
    <row r="36" spans="2:23" ht="15" x14ac:dyDescent="0.2">
      <c r="B36" s="36"/>
      <c r="C36" s="97" t="s">
        <v>50</v>
      </c>
      <c r="D36" s="153">
        <f>'Overview IB'!D42</f>
        <v>0</v>
      </c>
      <c r="E36" s="272"/>
      <c r="F36" s="272"/>
      <c r="G36" s="37"/>
      <c r="H36" s="47"/>
      <c r="I36" s="48">
        <f t="shared" si="2"/>
        <v>0</v>
      </c>
      <c r="J36" s="267"/>
      <c r="K36" s="267"/>
      <c r="L36" s="267"/>
      <c r="M36" s="267"/>
      <c r="N36" s="267"/>
      <c r="O36" s="267"/>
      <c r="P36" s="267"/>
      <c r="Q36" s="267"/>
      <c r="R36" s="91"/>
      <c r="U36" s="297"/>
      <c r="V36" s="297"/>
      <c r="W36" s="297"/>
    </row>
    <row r="37" spans="2:23" ht="15" x14ac:dyDescent="0.2">
      <c r="B37" s="36"/>
      <c r="C37" s="97" t="s">
        <v>51</v>
      </c>
      <c r="D37" s="153">
        <f>'Overview IB'!D43</f>
        <v>0</v>
      </c>
      <c r="E37" s="272"/>
      <c r="F37" s="272"/>
      <c r="G37" s="37"/>
      <c r="H37" s="47"/>
      <c r="I37" s="48">
        <f t="shared" si="2"/>
        <v>0</v>
      </c>
      <c r="J37" s="267"/>
      <c r="K37" s="267"/>
      <c r="L37" s="267"/>
      <c r="M37" s="267"/>
      <c r="N37" s="267"/>
      <c r="O37" s="267"/>
      <c r="P37" s="267"/>
      <c r="Q37" s="267"/>
      <c r="R37" s="91"/>
      <c r="U37" s="297"/>
      <c r="V37" s="297"/>
      <c r="W37" s="297"/>
    </row>
    <row r="38" spans="2:23" ht="15" x14ac:dyDescent="0.2">
      <c r="B38" s="36"/>
      <c r="C38" s="95" t="s">
        <v>80</v>
      </c>
      <c r="D38" s="153">
        <f>'Overview IB'!D44</f>
        <v>0</v>
      </c>
      <c r="E38" s="272"/>
      <c r="F38" s="272"/>
      <c r="G38" s="37"/>
      <c r="H38" s="47"/>
      <c r="I38" s="46">
        <f t="shared" si="2"/>
        <v>0</v>
      </c>
      <c r="J38" s="267"/>
      <c r="K38" s="267"/>
      <c r="L38" s="267"/>
      <c r="M38" s="267"/>
      <c r="N38" s="267"/>
      <c r="O38" s="267"/>
      <c r="P38" s="267"/>
      <c r="Q38" s="267"/>
      <c r="R38" s="91"/>
      <c r="U38" s="297"/>
      <c r="V38" s="297"/>
      <c r="W38" s="297"/>
    </row>
    <row r="39" spans="2:23" ht="15" x14ac:dyDescent="0.2">
      <c r="B39" s="36"/>
      <c r="C39" s="95" t="s">
        <v>81</v>
      </c>
      <c r="D39" s="153">
        <f>'Overview IB'!D45</f>
        <v>0</v>
      </c>
      <c r="E39" s="272"/>
      <c r="F39" s="272"/>
      <c r="G39" s="37"/>
      <c r="H39" s="47"/>
      <c r="I39" s="46">
        <f t="shared" si="2"/>
        <v>0</v>
      </c>
      <c r="J39" s="267"/>
      <c r="K39" s="267"/>
      <c r="L39" s="267"/>
      <c r="M39" s="267"/>
      <c r="N39" s="267"/>
      <c r="O39" s="267"/>
      <c r="P39" s="267"/>
      <c r="Q39" s="267"/>
      <c r="R39" s="91"/>
      <c r="U39" s="297"/>
      <c r="V39" s="297"/>
      <c r="W39" s="297"/>
    </row>
    <row r="40" spans="2:23" ht="15" x14ac:dyDescent="0.2">
      <c r="B40" s="36"/>
      <c r="C40" s="95" t="s">
        <v>30</v>
      </c>
      <c r="D40" s="153">
        <f>'Overview IB'!D46</f>
        <v>0</v>
      </c>
      <c r="E40" s="272"/>
      <c r="F40" s="272"/>
      <c r="G40" s="37"/>
      <c r="H40" s="47"/>
      <c r="I40" s="46">
        <f t="shared" si="2"/>
        <v>0</v>
      </c>
      <c r="J40" s="267"/>
      <c r="K40" s="267"/>
      <c r="L40" s="267"/>
      <c r="M40" s="267"/>
      <c r="N40" s="267"/>
      <c r="O40" s="267"/>
      <c r="P40" s="267"/>
      <c r="Q40" s="267"/>
      <c r="R40" s="91"/>
      <c r="U40" s="297"/>
      <c r="V40" s="297"/>
      <c r="W40" s="297"/>
    </row>
    <row r="41" spans="2:23" ht="30" x14ac:dyDescent="0.2">
      <c r="B41" s="36"/>
      <c r="C41" s="95" t="s">
        <v>126</v>
      </c>
      <c r="D41" s="153">
        <f>'Overview IB'!D47</f>
        <v>0</v>
      </c>
      <c r="E41" s="272"/>
      <c r="F41" s="272"/>
      <c r="G41" s="37"/>
      <c r="H41" s="47"/>
      <c r="I41" s="46">
        <f t="shared" si="2"/>
        <v>0</v>
      </c>
      <c r="J41" s="267"/>
      <c r="K41" s="267"/>
      <c r="L41" s="267"/>
      <c r="M41" s="267"/>
      <c r="N41" s="267"/>
      <c r="O41" s="267"/>
      <c r="P41" s="267"/>
      <c r="Q41" s="267"/>
      <c r="R41" s="91"/>
      <c r="U41" s="297"/>
      <c r="V41" s="297"/>
      <c r="W41" s="297"/>
    </row>
    <row r="42" spans="2:23" ht="30" x14ac:dyDescent="0.2">
      <c r="B42" s="36"/>
      <c r="C42" s="97" t="s">
        <v>52</v>
      </c>
      <c r="D42" s="153">
        <f>'Overview IB'!D48</f>
        <v>0</v>
      </c>
      <c r="E42" s="272"/>
      <c r="F42" s="272"/>
      <c r="G42" s="37"/>
      <c r="H42" s="47"/>
      <c r="I42" s="48">
        <f t="shared" si="2"/>
        <v>0</v>
      </c>
      <c r="J42" s="267"/>
      <c r="K42" s="267"/>
      <c r="L42" s="267"/>
      <c r="M42" s="267"/>
      <c r="N42" s="267"/>
      <c r="O42" s="267"/>
      <c r="P42" s="267"/>
      <c r="Q42" s="267"/>
      <c r="R42" s="91"/>
      <c r="U42" s="297"/>
      <c r="V42" s="297"/>
      <c r="W42" s="297"/>
    </row>
    <row r="43" spans="2:23" ht="15" x14ac:dyDescent="0.2">
      <c r="B43" s="36"/>
      <c r="C43" s="97" t="s">
        <v>69</v>
      </c>
      <c r="D43" s="153">
        <f>'Overview IB'!D49</f>
        <v>0</v>
      </c>
      <c r="E43" s="273"/>
      <c r="F43" s="273"/>
      <c r="G43" s="37"/>
      <c r="H43" s="47"/>
      <c r="I43" s="48">
        <f t="shared" si="2"/>
        <v>0</v>
      </c>
      <c r="J43" s="267"/>
      <c r="K43" s="267"/>
      <c r="L43" s="267"/>
      <c r="M43" s="267"/>
      <c r="N43" s="267"/>
      <c r="O43" s="267"/>
      <c r="P43" s="267"/>
      <c r="Q43" s="267"/>
      <c r="R43" s="91"/>
      <c r="U43" s="297"/>
      <c r="V43" s="297"/>
      <c r="W43" s="297"/>
    </row>
    <row r="44" spans="2:23" ht="15" x14ac:dyDescent="0.2">
      <c r="B44" s="36"/>
      <c r="C44" s="95" t="s">
        <v>53</v>
      </c>
      <c r="D44" s="153">
        <f>'Overview IB'!D50</f>
        <v>0</v>
      </c>
      <c r="E44" s="271" t="str">
        <f>IF('Overview IB'!E50 &gt; 0, 'Overview IB'!E50, "")</f>
        <v/>
      </c>
      <c r="F44" s="271"/>
      <c r="G44" s="37"/>
      <c r="H44" s="47"/>
      <c r="I44" s="46">
        <f t="shared" si="2"/>
        <v>0</v>
      </c>
      <c r="J44" s="267"/>
      <c r="K44" s="267"/>
      <c r="L44" s="267"/>
      <c r="M44" s="267"/>
      <c r="N44" s="267"/>
      <c r="O44" s="267"/>
      <c r="P44" s="267"/>
      <c r="Q44" s="267"/>
      <c r="R44" s="91"/>
      <c r="U44" s="167"/>
      <c r="V44" s="167"/>
      <c r="W44" s="167"/>
    </row>
    <row r="45" spans="2:23" ht="16.5" customHeight="1" x14ac:dyDescent="0.2">
      <c r="B45" s="36"/>
      <c r="C45" s="97" t="s">
        <v>97</v>
      </c>
      <c r="D45" s="153">
        <f>'Overview IB'!D51</f>
        <v>0</v>
      </c>
      <c r="E45" s="272"/>
      <c r="F45" s="273"/>
      <c r="G45" s="37"/>
      <c r="H45" s="47"/>
      <c r="I45" s="48">
        <f t="shared" si="2"/>
        <v>0</v>
      </c>
      <c r="J45" s="267"/>
      <c r="K45" s="267"/>
      <c r="L45" s="267"/>
      <c r="M45" s="267"/>
      <c r="N45" s="267"/>
      <c r="O45" s="267"/>
      <c r="P45" s="267"/>
      <c r="Q45" s="267"/>
      <c r="R45" s="91"/>
      <c r="U45" s="297"/>
      <c r="V45" s="297"/>
      <c r="W45" s="297"/>
    </row>
    <row r="46" spans="2:23" ht="26.1" customHeight="1" x14ac:dyDescent="0.2">
      <c r="B46" s="36"/>
      <c r="C46" s="8" t="s">
        <v>64</v>
      </c>
      <c r="D46" s="93" t="s">
        <v>86</v>
      </c>
      <c r="E46" s="216" t="s">
        <v>91</v>
      </c>
      <c r="F46" s="216"/>
      <c r="G46" s="37"/>
      <c r="H46" s="175" t="s">
        <v>37</v>
      </c>
      <c r="I46" s="114" t="s">
        <v>11</v>
      </c>
      <c r="J46" s="290" t="s">
        <v>74</v>
      </c>
      <c r="K46" s="291"/>
      <c r="L46" s="291"/>
      <c r="M46" s="291"/>
      <c r="N46" s="291"/>
      <c r="O46" s="291"/>
      <c r="P46" s="291"/>
      <c r="Q46" s="291"/>
      <c r="R46" s="91"/>
      <c r="U46" s="301"/>
      <c r="V46" s="301"/>
      <c r="W46" s="301"/>
    </row>
    <row r="47" spans="2:23" ht="14.65" customHeight="1" x14ac:dyDescent="0.2">
      <c r="B47" s="36"/>
      <c r="C47" s="95" t="s">
        <v>54</v>
      </c>
      <c r="D47" s="153">
        <f>'Overview IB'!D53</f>
        <v>0</v>
      </c>
      <c r="E47" s="274" t="str">
        <f>IF('Overview IB'!E53 &gt; 0, 'Overview IB'!E53, "")</f>
        <v/>
      </c>
      <c r="F47" s="275"/>
      <c r="G47" s="37"/>
      <c r="H47" s="116"/>
      <c r="I47" s="46">
        <f>IF(H47=0,0,H47/D47)</f>
        <v>0</v>
      </c>
      <c r="J47" s="298"/>
      <c r="K47" s="299"/>
      <c r="L47" s="299"/>
      <c r="M47" s="299"/>
      <c r="N47" s="299"/>
      <c r="O47" s="299"/>
      <c r="P47" s="299"/>
      <c r="Q47" s="299"/>
      <c r="R47" s="91"/>
      <c r="U47" s="301"/>
      <c r="V47" s="301"/>
      <c r="W47" s="301"/>
    </row>
    <row r="48" spans="2:23" ht="15" x14ac:dyDescent="0.2">
      <c r="B48" s="36"/>
      <c r="C48" s="94" t="s">
        <v>82</v>
      </c>
      <c r="D48" s="153">
        <f>'Overview IB'!D54</f>
        <v>444</v>
      </c>
      <c r="E48" s="271" t="str">
        <f>IF('Overview IB'!E54 &gt; 0, 'Overview IB'!E54, "")</f>
        <v>z.B. Freiwilligenmanagement</v>
      </c>
      <c r="F48" s="271"/>
      <c r="G48" s="37"/>
      <c r="H48" s="47">
        <v>374</v>
      </c>
      <c r="I48" s="46">
        <f t="shared" ref="I48:I55" si="3">IF(H48=0,0,H48/D48)</f>
        <v>0.84234234234234229</v>
      </c>
      <c r="J48" s="267"/>
      <c r="K48" s="267"/>
      <c r="L48" s="267"/>
      <c r="M48" s="267"/>
      <c r="N48" s="267"/>
      <c r="O48" s="267"/>
      <c r="P48" s="267"/>
      <c r="Q48" s="267"/>
      <c r="R48" s="91"/>
      <c r="U48" s="301"/>
      <c r="V48" s="301"/>
      <c r="W48" s="301"/>
    </row>
    <row r="49" spans="2:23" ht="13.15" customHeight="1" x14ac:dyDescent="0.2">
      <c r="B49" s="36"/>
      <c r="C49" s="97" t="s">
        <v>77</v>
      </c>
      <c r="D49" s="153">
        <f>'Overview IB'!D55</f>
        <v>0</v>
      </c>
      <c r="E49" s="273"/>
      <c r="F49" s="273"/>
      <c r="G49" s="37"/>
      <c r="H49" s="47"/>
      <c r="I49" s="48">
        <f t="shared" si="3"/>
        <v>0</v>
      </c>
      <c r="J49" s="267"/>
      <c r="K49" s="267"/>
      <c r="L49" s="267"/>
      <c r="M49" s="267"/>
      <c r="N49" s="267"/>
      <c r="O49" s="267"/>
      <c r="P49" s="267"/>
      <c r="Q49" s="267"/>
      <c r="R49" s="91"/>
      <c r="U49" s="297"/>
      <c r="V49" s="297"/>
      <c r="W49" s="297"/>
    </row>
    <row r="50" spans="2:23" ht="14.65" customHeight="1" x14ac:dyDescent="0.2">
      <c r="B50" s="36"/>
      <c r="C50" s="94" t="s">
        <v>63</v>
      </c>
      <c r="D50" s="153">
        <f>'Overview IB'!D56</f>
        <v>0</v>
      </c>
      <c r="E50" s="271" t="str">
        <f>IF('Overview IB'!E56 &gt; 0, 'Overview IB'!E56, "")</f>
        <v/>
      </c>
      <c r="F50" s="271"/>
      <c r="G50" s="37"/>
      <c r="H50" s="47"/>
      <c r="I50" s="46">
        <f t="shared" si="3"/>
        <v>0</v>
      </c>
      <c r="J50" s="267"/>
      <c r="K50" s="267"/>
      <c r="L50" s="267"/>
      <c r="M50" s="267"/>
      <c r="N50" s="267"/>
      <c r="O50" s="267"/>
      <c r="P50" s="267"/>
      <c r="Q50" s="267"/>
      <c r="R50" s="91"/>
      <c r="U50" s="297"/>
      <c r="V50" s="297"/>
      <c r="W50" s="297"/>
    </row>
    <row r="51" spans="2:23" ht="13.15" customHeight="1" x14ac:dyDescent="0.2">
      <c r="B51" s="36"/>
      <c r="C51" s="97" t="s">
        <v>123</v>
      </c>
      <c r="D51" s="153">
        <f>'Overview IB'!D57</f>
        <v>0</v>
      </c>
      <c r="E51" s="272"/>
      <c r="F51" s="272"/>
      <c r="G51" s="37"/>
      <c r="H51" s="47"/>
      <c r="I51" s="48">
        <f t="shared" si="3"/>
        <v>0</v>
      </c>
      <c r="J51" s="267"/>
      <c r="K51" s="267"/>
      <c r="L51" s="267"/>
      <c r="M51" s="267"/>
      <c r="N51" s="267"/>
      <c r="O51" s="267"/>
      <c r="P51" s="267"/>
      <c r="Q51" s="267"/>
      <c r="R51" s="91"/>
      <c r="U51" s="297"/>
      <c r="V51" s="297"/>
      <c r="W51" s="297"/>
    </row>
    <row r="52" spans="2:23" ht="14.65" customHeight="1" x14ac:dyDescent="0.2">
      <c r="B52" s="36"/>
      <c r="C52" s="97" t="s">
        <v>78</v>
      </c>
      <c r="D52" s="153">
        <f>'Overview IB'!D58</f>
        <v>0</v>
      </c>
      <c r="E52" s="273"/>
      <c r="F52" s="273"/>
      <c r="G52" s="37"/>
      <c r="H52" s="47"/>
      <c r="I52" s="48">
        <f t="shared" si="3"/>
        <v>0</v>
      </c>
      <c r="J52" s="267"/>
      <c r="K52" s="267"/>
      <c r="L52" s="267"/>
      <c r="M52" s="267"/>
      <c r="N52" s="267"/>
      <c r="O52" s="267"/>
      <c r="P52" s="267"/>
      <c r="Q52" s="267"/>
      <c r="R52" s="91"/>
      <c r="U52" s="297"/>
      <c r="V52" s="297"/>
      <c r="W52" s="297"/>
    </row>
    <row r="53" spans="2:23" ht="13.15" customHeight="1" x14ac:dyDescent="0.2">
      <c r="B53" s="36"/>
      <c r="C53" s="99" t="s">
        <v>88</v>
      </c>
      <c r="D53" s="153">
        <f>'Overview IB'!D59</f>
        <v>0</v>
      </c>
      <c r="E53" s="271" t="str">
        <f>IF('Overview IB'!E59 &gt; 0, 'Overview IB'!E59, "")</f>
        <v/>
      </c>
      <c r="F53" s="271"/>
      <c r="G53" s="37"/>
      <c r="H53" s="47"/>
      <c r="I53" s="46">
        <f t="shared" si="3"/>
        <v>0</v>
      </c>
      <c r="J53" s="267"/>
      <c r="K53" s="267"/>
      <c r="L53" s="267"/>
      <c r="M53" s="267"/>
      <c r="N53" s="267"/>
      <c r="O53" s="267"/>
      <c r="P53" s="267"/>
      <c r="Q53" s="267"/>
      <c r="R53" s="91"/>
      <c r="U53" s="297"/>
      <c r="V53" s="297"/>
      <c r="W53" s="297"/>
    </row>
    <row r="54" spans="2:23" ht="15" x14ac:dyDescent="0.2">
      <c r="B54" s="36"/>
      <c r="C54" s="164" t="s">
        <v>89</v>
      </c>
      <c r="D54" s="153">
        <f>'Overview IB'!D60</f>
        <v>0</v>
      </c>
      <c r="E54" s="272"/>
      <c r="F54" s="272"/>
      <c r="G54" s="37"/>
      <c r="H54" s="47"/>
      <c r="I54" s="48">
        <f t="shared" si="3"/>
        <v>0</v>
      </c>
      <c r="J54" s="267"/>
      <c r="K54" s="267"/>
      <c r="L54" s="267"/>
      <c r="M54" s="267"/>
      <c r="N54" s="267"/>
      <c r="O54" s="267"/>
      <c r="P54" s="267"/>
      <c r="Q54" s="267"/>
      <c r="R54" s="91"/>
      <c r="U54" s="297"/>
      <c r="V54" s="297"/>
      <c r="W54" s="297"/>
    </row>
    <row r="55" spans="2:23" ht="15" x14ac:dyDescent="0.2">
      <c r="B55" s="36"/>
      <c r="C55" s="164" t="s">
        <v>90</v>
      </c>
      <c r="D55" s="153">
        <f>'Overview IB'!D61</f>
        <v>0</v>
      </c>
      <c r="E55" s="273"/>
      <c r="F55" s="273"/>
      <c r="G55" s="37"/>
      <c r="H55" s="47"/>
      <c r="I55" s="48">
        <f t="shared" si="3"/>
        <v>0</v>
      </c>
      <c r="J55" s="267"/>
      <c r="K55" s="267"/>
      <c r="L55" s="267"/>
      <c r="M55" s="267"/>
      <c r="N55" s="267"/>
      <c r="O55" s="267"/>
      <c r="P55" s="267"/>
      <c r="Q55" s="267"/>
      <c r="R55" s="91"/>
      <c r="U55" s="300"/>
      <c r="V55" s="300"/>
      <c r="W55" s="300"/>
    </row>
    <row r="56" spans="2:23" ht="13.15" customHeight="1" x14ac:dyDescent="0.2">
      <c r="B56" s="284"/>
      <c r="C56" s="285"/>
      <c r="D56" s="179"/>
      <c r="E56" s="49"/>
      <c r="F56" s="50"/>
      <c r="G56" s="178"/>
      <c r="H56" s="171"/>
      <c r="I56" s="51"/>
      <c r="J56" s="52"/>
      <c r="K56" s="52"/>
      <c r="L56" s="52"/>
      <c r="M56" s="168"/>
      <c r="N56" s="52"/>
      <c r="O56" s="52"/>
      <c r="P56" s="307"/>
      <c r="Q56" s="307"/>
      <c r="R56" s="308"/>
      <c r="U56" s="167"/>
      <c r="V56" s="167"/>
      <c r="W56" s="167"/>
    </row>
    <row r="57" spans="2:23" ht="27.6" customHeight="1" x14ac:dyDescent="0.2">
      <c r="B57" s="36"/>
      <c r="C57" s="205" t="s">
        <v>38</v>
      </c>
      <c r="D57" s="206"/>
      <c r="E57" s="206"/>
      <c r="F57" s="206"/>
      <c r="G57" s="37"/>
      <c r="H57" s="282" t="s">
        <v>37</v>
      </c>
      <c r="I57" s="283"/>
      <c r="J57" s="290" t="s">
        <v>74</v>
      </c>
      <c r="K57" s="291"/>
      <c r="L57" s="291"/>
      <c r="M57" s="291"/>
      <c r="N57" s="291"/>
      <c r="O57" s="291"/>
      <c r="P57" s="291"/>
      <c r="Q57" s="291"/>
      <c r="R57" s="91"/>
      <c r="U57" s="167"/>
      <c r="V57" s="167"/>
      <c r="W57" s="167"/>
    </row>
    <row r="58" spans="2:23" ht="13.15" customHeight="1" x14ac:dyDescent="0.2">
      <c r="B58" s="36"/>
      <c r="C58" s="202" t="s">
        <v>125</v>
      </c>
      <c r="D58" s="203"/>
      <c r="E58" s="203"/>
      <c r="F58" s="203"/>
      <c r="G58" s="37"/>
      <c r="H58" s="268"/>
      <c r="I58" s="269"/>
      <c r="J58" s="298"/>
      <c r="K58" s="299"/>
      <c r="L58" s="299"/>
      <c r="M58" s="299"/>
      <c r="N58" s="299"/>
      <c r="O58" s="299"/>
      <c r="P58" s="299"/>
      <c r="Q58" s="299"/>
      <c r="R58" s="91"/>
      <c r="U58" s="297"/>
      <c r="V58" s="297"/>
      <c r="W58" s="297"/>
    </row>
    <row r="59" spans="2:23" ht="15" x14ac:dyDescent="0.2">
      <c r="B59" s="36"/>
      <c r="C59" s="211" t="s">
        <v>44</v>
      </c>
      <c r="D59" s="212"/>
      <c r="E59" s="212"/>
      <c r="F59" s="212"/>
      <c r="G59" s="37"/>
      <c r="H59" s="268"/>
      <c r="I59" s="269"/>
      <c r="J59" s="267"/>
      <c r="K59" s="267"/>
      <c r="L59" s="267"/>
      <c r="M59" s="267"/>
      <c r="N59" s="267"/>
      <c r="O59" s="267"/>
      <c r="P59" s="267"/>
      <c r="Q59" s="267"/>
      <c r="R59" s="91"/>
      <c r="U59" s="167"/>
      <c r="V59" s="167"/>
      <c r="W59" s="167"/>
    </row>
    <row r="60" spans="2:23" ht="15" x14ac:dyDescent="0.2">
      <c r="B60" s="36"/>
      <c r="C60" s="211" t="s">
        <v>43</v>
      </c>
      <c r="D60" s="212"/>
      <c r="E60" s="212"/>
      <c r="F60" s="212"/>
      <c r="G60" s="37"/>
      <c r="H60" s="268">
        <v>279</v>
      </c>
      <c r="I60" s="269"/>
      <c r="J60" s="267" t="s">
        <v>134</v>
      </c>
      <c r="K60" s="267"/>
      <c r="L60" s="267"/>
      <c r="M60" s="267"/>
      <c r="N60" s="267"/>
      <c r="O60" s="267"/>
      <c r="P60" s="267"/>
      <c r="Q60" s="267"/>
      <c r="R60" s="91"/>
      <c r="U60" s="167"/>
      <c r="V60" s="167"/>
      <c r="W60" s="167"/>
    </row>
    <row r="61" spans="2:23" ht="15" x14ac:dyDescent="0.2">
      <c r="B61" s="36"/>
      <c r="C61" s="211" t="s">
        <v>128</v>
      </c>
      <c r="D61" s="212"/>
      <c r="E61" s="212"/>
      <c r="F61" s="212"/>
      <c r="G61" s="37"/>
      <c r="H61" s="280"/>
      <c r="I61" s="269"/>
      <c r="J61" s="277"/>
      <c r="K61" s="278"/>
      <c r="L61" s="278"/>
      <c r="M61" s="278"/>
      <c r="N61" s="278"/>
      <c r="O61" s="278"/>
      <c r="P61" s="278"/>
      <c r="Q61" s="279"/>
      <c r="R61" s="91"/>
      <c r="U61" s="189"/>
      <c r="V61" s="189"/>
      <c r="W61" s="189"/>
    </row>
    <row r="62" spans="2:23" ht="15" x14ac:dyDescent="0.2">
      <c r="B62" s="36"/>
      <c r="C62" s="211" t="s">
        <v>108</v>
      </c>
      <c r="D62" s="212"/>
      <c r="E62" s="212"/>
      <c r="F62" s="212"/>
      <c r="G62" s="37"/>
      <c r="H62" s="268"/>
      <c r="I62" s="269"/>
      <c r="J62" s="267"/>
      <c r="K62" s="267"/>
      <c r="L62" s="267"/>
      <c r="M62" s="267"/>
      <c r="N62" s="267"/>
      <c r="O62" s="267"/>
      <c r="P62" s="267"/>
      <c r="Q62" s="267"/>
      <c r="R62" s="91"/>
      <c r="U62" s="167"/>
      <c r="V62" s="167"/>
      <c r="W62" s="167"/>
    </row>
    <row r="63" spans="2:23" ht="13.15" customHeight="1" x14ac:dyDescent="0.2">
      <c r="B63" s="36"/>
      <c r="C63" s="211" t="s">
        <v>107</v>
      </c>
      <c r="D63" s="212"/>
      <c r="E63" s="212"/>
      <c r="F63" s="212"/>
      <c r="G63" s="37"/>
      <c r="H63" s="268"/>
      <c r="I63" s="269"/>
      <c r="J63" s="267"/>
      <c r="K63" s="267"/>
      <c r="L63" s="267"/>
      <c r="M63" s="267"/>
      <c r="N63" s="267"/>
      <c r="O63" s="267"/>
      <c r="P63" s="267"/>
      <c r="Q63" s="267"/>
      <c r="R63" s="91"/>
      <c r="U63" s="167"/>
      <c r="V63" s="167"/>
      <c r="W63" s="167"/>
    </row>
    <row r="64" spans="2:23" ht="15" x14ac:dyDescent="0.2">
      <c r="B64" s="36"/>
      <c r="C64" s="211" t="s">
        <v>45</v>
      </c>
      <c r="D64" s="212"/>
      <c r="E64" s="212"/>
      <c r="F64" s="212"/>
      <c r="G64" s="37"/>
      <c r="H64" s="268"/>
      <c r="I64" s="269"/>
      <c r="J64" s="267"/>
      <c r="K64" s="267"/>
      <c r="L64" s="267"/>
      <c r="M64" s="267"/>
      <c r="N64" s="267"/>
      <c r="O64" s="267"/>
      <c r="P64" s="267"/>
      <c r="Q64" s="267"/>
      <c r="R64" s="91"/>
      <c r="U64" s="167"/>
      <c r="V64" s="167"/>
      <c r="W64" s="167"/>
    </row>
    <row r="65" spans="2:23" ht="15" x14ac:dyDescent="0.2">
      <c r="B65" s="36"/>
      <c r="C65" s="211" t="s">
        <v>73</v>
      </c>
      <c r="D65" s="212"/>
      <c r="E65" s="212"/>
      <c r="F65" s="212"/>
      <c r="G65" s="37"/>
      <c r="H65" s="268"/>
      <c r="I65" s="269"/>
      <c r="J65" s="267"/>
      <c r="K65" s="267"/>
      <c r="L65" s="267"/>
      <c r="M65" s="267"/>
      <c r="N65" s="267"/>
      <c r="O65" s="267"/>
      <c r="P65" s="267"/>
      <c r="Q65" s="267"/>
      <c r="R65" s="91"/>
      <c r="U65" s="167"/>
      <c r="V65" s="167"/>
      <c r="W65" s="167"/>
    </row>
    <row r="66" spans="2:23" ht="14.65" customHeight="1" x14ac:dyDescent="0.2">
      <c r="B66" s="36"/>
      <c r="C66" s="202" t="s">
        <v>117</v>
      </c>
      <c r="D66" s="203"/>
      <c r="E66" s="203"/>
      <c r="F66" s="203"/>
      <c r="G66" s="37"/>
      <c r="H66" s="268"/>
      <c r="I66" s="269"/>
      <c r="J66" s="267"/>
      <c r="K66" s="267"/>
      <c r="L66" s="267"/>
      <c r="M66" s="267"/>
      <c r="N66" s="267"/>
      <c r="O66" s="267"/>
      <c r="P66" s="267"/>
      <c r="Q66" s="267"/>
      <c r="R66" s="91"/>
      <c r="U66" s="167"/>
      <c r="V66" s="167"/>
      <c r="W66" s="167"/>
    </row>
    <row r="67" spans="2:23" ht="15" x14ac:dyDescent="0.2">
      <c r="B67" s="36"/>
      <c r="C67" s="208" t="s">
        <v>103</v>
      </c>
      <c r="D67" s="209"/>
      <c r="E67" s="209"/>
      <c r="F67" s="209"/>
      <c r="G67" s="37"/>
      <c r="H67" s="268"/>
      <c r="I67" s="269"/>
      <c r="J67" s="267"/>
      <c r="K67" s="267"/>
      <c r="L67" s="267"/>
      <c r="M67" s="267"/>
      <c r="N67" s="267"/>
      <c r="O67" s="267"/>
      <c r="P67" s="267"/>
      <c r="Q67" s="267"/>
      <c r="R67" s="91"/>
      <c r="U67" s="167"/>
      <c r="V67" s="167"/>
      <c r="W67" s="167"/>
    </row>
    <row r="68" spans="2:23" ht="15" x14ac:dyDescent="0.2">
      <c r="B68" s="36"/>
      <c r="C68" s="208" t="s">
        <v>104</v>
      </c>
      <c r="D68" s="209"/>
      <c r="E68" s="209"/>
      <c r="F68" s="209"/>
      <c r="G68" s="37"/>
      <c r="H68" s="268"/>
      <c r="I68" s="269"/>
      <c r="J68" s="267"/>
      <c r="K68" s="267"/>
      <c r="L68" s="267"/>
      <c r="M68" s="267"/>
      <c r="N68" s="267"/>
      <c r="O68" s="267"/>
      <c r="P68" s="267"/>
      <c r="Q68" s="267"/>
      <c r="R68" s="91"/>
      <c r="U68" s="167"/>
      <c r="V68" s="167"/>
      <c r="W68" s="167"/>
    </row>
    <row r="69" spans="2:23" ht="13.15" customHeight="1" x14ac:dyDescent="0.2">
      <c r="B69" s="36"/>
      <c r="C69" s="162" t="s">
        <v>105</v>
      </c>
      <c r="D69" s="163"/>
      <c r="E69" s="163"/>
      <c r="F69" s="163"/>
      <c r="G69" s="37"/>
      <c r="H69" s="280"/>
      <c r="I69" s="269"/>
      <c r="J69" s="267"/>
      <c r="K69" s="267"/>
      <c r="L69" s="267"/>
      <c r="M69" s="267"/>
      <c r="N69" s="267"/>
      <c r="O69" s="267"/>
      <c r="P69" s="267"/>
      <c r="Q69" s="267"/>
      <c r="R69" s="91"/>
      <c r="U69" s="167"/>
      <c r="V69" s="167"/>
      <c r="W69" s="167"/>
    </row>
    <row r="70" spans="2:23" ht="15" x14ac:dyDescent="0.2">
      <c r="B70" s="36"/>
      <c r="C70" s="208" t="s">
        <v>98</v>
      </c>
      <c r="D70" s="209"/>
      <c r="E70" s="209"/>
      <c r="F70" s="209"/>
      <c r="G70" s="37"/>
      <c r="H70" s="280"/>
      <c r="I70" s="269"/>
      <c r="J70" s="267"/>
      <c r="K70" s="267"/>
      <c r="L70" s="267"/>
      <c r="M70" s="267"/>
      <c r="N70" s="267"/>
      <c r="O70" s="267"/>
      <c r="P70" s="267"/>
      <c r="Q70" s="267"/>
      <c r="R70" s="91"/>
      <c r="U70" s="167"/>
      <c r="V70" s="167"/>
      <c r="W70" s="167"/>
    </row>
    <row r="71" spans="2:23" ht="15" x14ac:dyDescent="0.2">
      <c r="B71" s="36"/>
      <c r="C71" s="202" t="s">
        <v>118</v>
      </c>
      <c r="D71" s="203"/>
      <c r="E71" s="203"/>
      <c r="F71" s="203"/>
      <c r="G71" s="37"/>
      <c r="H71" s="280"/>
      <c r="I71" s="269"/>
      <c r="J71" s="267"/>
      <c r="K71" s="267"/>
      <c r="L71" s="267"/>
      <c r="M71" s="267"/>
      <c r="N71" s="267"/>
      <c r="O71" s="267"/>
      <c r="P71" s="267"/>
      <c r="Q71" s="267"/>
      <c r="R71" s="91"/>
      <c r="U71" s="167"/>
      <c r="V71" s="167"/>
      <c r="W71" s="167"/>
    </row>
    <row r="72" spans="2:23" ht="15" x14ac:dyDescent="0.2">
      <c r="B72" s="36"/>
      <c r="C72" s="208" t="s">
        <v>40</v>
      </c>
      <c r="D72" s="209"/>
      <c r="E72" s="209"/>
      <c r="F72" s="209"/>
      <c r="G72" s="37"/>
      <c r="H72" s="280">
        <v>371</v>
      </c>
      <c r="I72" s="269"/>
      <c r="J72" s="267" t="s">
        <v>132</v>
      </c>
      <c r="K72" s="267"/>
      <c r="L72" s="267"/>
      <c r="M72" s="267"/>
      <c r="N72" s="267"/>
      <c r="O72" s="267"/>
      <c r="P72" s="267"/>
      <c r="Q72" s="267"/>
      <c r="R72" s="91"/>
      <c r="U72" s="167"/>
      <c r="V72" s="167"/>
      <c r="W72" s="167"/>
    </row>
    <row r="73" spans="2:23" ht="15" x14ac:dyDescent="0.2">
      <c r="B73" s="36"/>
      <c r="C73" s="208" t="s">
        <v>41</v>
      </c>
      <c r="D73" s="209"/>
      <c r="E73" s="209"/>
      <c r="F73" s="209"/>
      <c r="G73" s="37"/>
      <c r="H73" s="268">
        <v>331</v>
      </c>
      <c r="I73" s="269"/>
      <c r="J73" s="267" t="s">
        <v>133</v>
      </c>
      <c r="K73" s="267"/>
      <c r="L73" s="267"/>
      <c r="M73" s="267"/>
      <c r="N73" s="267"/>
      <c r="O73" s="267"/>
      <c r="P73" s="267"/>
      <c r="Q73" s="267"/>
      <c r="R73" s="91"/>
      <c r="U73" s="167"/>
      <c r="V73" s="167"/>
      <c r="W73" s="167"/>
    </row>
    <row r="74" spans="2:23" ht="14.65" customHeight="1" x14ac:dyDescent="0.2">
      <c r="B74" s="36"/>
      <c r="C74" s="162" t="s">
        <v>99</v>
      </c>
      <c r="D74" s="163"/>
      <c r="E74" s="163"/>
      <c r="F74" s="163"/>
      <c r="G74" s="37"/>
      <c r="H74" s="268"/>
      <c r="I74" s="269"/>
      <c r="J74" s="267"/>
      <c r="K74" s="267"/>
      <c r="L74" s="267"/>
      <c r="M74" s="267"/>
      <c r="N74" s="267"/>
      <c r="O74" s="267"/>
      <c r="P74" s="267"/>
      <c r="Q74" s="267"/>
      <c r="R74" s="91"/>
      <c r="U74" s="167"/>
      <c r="V74" s="167"/>
      <c r="W74" s="167"/>
    </row>
    <row r="75" spans="2:23" ht="13.15" customHeight="1" x14ac:dyDescent="0.2">
      <c r="B75" s="36"/>
      <c r="C75" s="162" t="s">
        <v>100</v>
      </c>
      <c r="D75" s="163"/>
      <c r="E75" s="163"/>
      <c r="F75" s="163"/>
      <c r="G75" s="37"/>
      <c r="H75" s="268"/>
      <c r="I75" s="269"/>
      <c r="J75" s="267"/>
      <c r="K75" s="267"/>
      <c r="L75" s="267"/>
      <c r="M75" s="267"/>
      <c r="N75" s="267"/>
      <c r="O75" s="267"/>
      <c r="P75" s="267"/>
      <c r="Q75" s="267"/>
      <c r="R75" s="91"/>
      <c r="U75" s="167"/>
      <c r="V75" s="167"/>
      <c r="W75" s="167"/>
    </row>
    <row r="76" spans="2:23" ht="16.899999999999999" customHeight="1" x14ac:dyDescent="0.2">
      <c r="B76" s="36"/>
      <c r="C76" s="162" t="s">
        <v>101</v>
      </c>
      <c r="D76" s="163"/>
      <c r="E76" s="163"/>
      <c r="F76" s="163"/>
      <c r="G76" s="37"/>
      <c r="H76" s="268"/>
      <c r="I76" s="269"/>
      <c r="J76" s="267"/>
      <c r="K76" s="267"/>
      <c r="L76" s="267"/>
      <c r="M76" s="267"/>
      <c r="N76" s="267"/>
      <c r="O76" s="267"/>
      <c r="P76" s="267"/>
      <c r="Q76" s="267"/>
      <c r="R76" s="91"/>
      <c r="U76" s="167"/>
      <c r="V76" s="167"/>
      <c r="W76" s="167"/>
    </row>
    <row r="77" spans="2:23" ht="13.15" customHeight="1" x14ac:dyDescent="0.2">
      <c r="B77" s="36"/>
      <c r="C77" s="162" t="s">
        <v>102</v>
      </c>
      <c r="D77" s="163"/>
      <c r="E77" s="163"/>
      <c r="F77" s="163"/>
      <c r="G77" s="37"/>
      <c r="H77" s="280"/>
      <c r="I77" s="269"/>
      <c r="J77" s="267"/>
      <c r="K77" s="267"/>
      <c r="L77" s="267"/>
      <c r="M77" s="267"/>
      <c r="N77" s="267"/>
      <c r="O77" s="267"/>
      <c r="P77" s="267"/>
      <c r="Q77" s="267"/>
      <c r="R77" s="91"/>
      <c r="U77" s="167"/>
      <c r="V77" s="167"/>
      <c r="W77" s="167"/>
    </row>
    <row r="78" spans="2:23" ht="15" x14ac:dyDescent="0.2">
      <c r="B78" s="36"/>
      <c r="C78" s="202" t="s">
        <v>39</v>
      </c>
      <c r="D78" s="203"/>
      <c r="E78" s="203"/>
      <c r="F78" s="203"/>
      <c r="G78" s="37"/>
      <c r="H78" s="268"/>
      <c r="I78" s="269"/>
      <c r="J78" s="267"/>
      <c r="K78" s="267"/>
      <c r="L78" s="267"/>
      <c r="M78" s="267"/>
      <c r="N78" s="267"/>
      <c r="O78" s="267"/>
      <c r="P78" s="267"/>
      <c r="Q78" s="267"/>
      <c r="R78" s="91"/>
      <c r="U78" s="167"/>
      <c r="V78" s="167"/>
      <c r="W78" s="167"/>
    </row>
    <row r="79" spans="2:23" ht="26.1" customHeight="1" x14ac:dyDescent="0.2">
      <c r="B79" s="36"/>
      <c r="C79" s="205" t="s">
        <v>46</v>
      </c>
      <c r="D79" s="206"/>
      <c r="E79" s="206"/>
      <c r="F79" s="206"/>
      <c r="G79" s="37"/>
      <c r="H79" s="282" t="s">
        <v>37</v>
      </c>
      <c r="I79" s="283"/>
      <c r="J79" s="290" t="s">
        <v>74</v>
      </c>
      <c r="K79" s="291"/>
      <c r="L79" s="291"/>
      <c r="M79" s="291"/>
      <c r="N79" s="291"/>
      <c r="O79" s="291"/>
      <c r="P79" s="291"/>
      <c r="Q79" s="291"/>
      <c r="R79" s="91"/>
      <c r="U79" s="167"/>
      <c r="V79" s="167"/>
      <c r="W79" s="167"/>
    </row>
    <row r="80" spans="2:23" ht="15" x14ac:dyDescent="0.2">
      <c r="B80" s="36"/>
      <c r="C80" s="202" t="s">
        <v>106</v>
      </c>
      <c r="D80" s="203"/>
      <c r="E80" s="203"/>
      <c r="F80" s="203"/>
      <c r="G80" s="37"/>
      <c r="H80" s="268"/>
      <c r="I80" s="269"/>
      <c r="J80" s="267"/>
      <c r="K80" s="267"/>
      <c r="L80" s="267"/>
      <c r="M80" s="267"/>
      <c r="N80" s="267"/>
      <c r="O80" s="267"/>
      <c r="P80" s="267"/>
      <c r="Q80" s="267"/>
      <c r="R80" s="91"/>
      <c r="U80" s="167"/>
      <c r="V80" s="167"/>
      <c r="W80" s="167"/>
    </row>
    <row r="81" spans="2:24" ht="15" x14ac:dyDescent="0.2">
      <c r="B81" s="36"/>
      <c r="C81" s="202" t="s">
        <v>96</v>
      </c>
      <c r="D81" s="203"/>
      <c r="E81" s="203" t="s">
        <v>85</v>
      </c>
      <c r="F81" s="203" t="s">
        <v>85</v>
      </c>
      <c r="G81" s="37"/>
      <c r="H81" s="280"/>
      <c r="I81" s="269"/>
      <c r="J81" s="267"/>
      <c r="K81" s="267"/>
      <c r="L81" s="267"/>
      <c r="M81" s="267"/>
      <c r="N81" s="267"/>
      <c r="O81" s="267"/>
      <c r="P81" s="267"/>
      <c r="Q81" s="267"/>
      <c r="R81" s="91"/>
      <c r="U81" s="167"/>
      <c r="V81" s="167"/>
      <c r="W81" s="167"/>
    </row>
    <row r="82" spans="2:24" ht="30.95" customHeight="1" x14ac:dyDescent="0.2">
      <c r="B82" s="36"/>
      <c r="C82" s="202" t="s">
        <v>93</v>
      </c>
      <c r="D82" s="203"/>
      <c r="E82" s="203" t="s">
        <v>85</v>
      </c>
      <c r="F82" s="203" t="s">
        <v>85</v>
      </c>
      <c r="G82" s="37"/>
      <c r="H82" s="268"/>
      <c r="I82" s="269"/>
      <c r="J82" s="267"/>
      <c r="K82" s="267"/>
      <c r="L82" s="267"/>
      <c r="M82" s="267"/>
      <c r="N82" s="267"/>
      <c r="O82" s="267"/>
      <c r="P82" s="267"/>
      <c r="Q82" s="267"/>
      <c r="R82" s="91"/>
      <c r="U82" s="167"/>
      <c r="V82" s="167"/>
      <c r="W82" s="167"/>
    </row>
    <row r="83" spans="2:24" ht="15" x14ac:dyDescent="0.2">
      <c r="B83" s="36"/>
      <c r="C83" s="202" t="s">
        <v>92</v>
      </c>
      <c r="D83" s="203"/>
      <c r="E83" s="203"/>
      <c r="F83" s="203"/>
      <c r="G83" s="37"/>
      <c r="H83" s="268"/>
      <c r="I83" s="269"/>
      <c r="J83" s="267"/>
      <c r="K83" s="267"/>
      <c r="L83" s="267"/>
      <c r="M83" s="267"/>
      <c r="N83" s="267"/>
      <c r="O83" s="267"/>
      <c r="P83" s="267"/>
      <c r="Q83" s="267"/>
      <c r="R83" s="91"/>
      <c r="U83" s="167"/>
      <c r="V83" s="167"/>
      <c r="W83" s="167"/>
    </row>
    <row r="84" spans="2:24" s="79" customFormat="1" ht="15" x14ac:dyDescent="0.2">
      <c r="B84" s="36"/>
      <c r="C84" s="202" t="s">
        <v>127</v>
      </c>
      <c r="D84" s="203"/>
      <c r="E84" s="203"/>
      <c r="F84" s="203"/>
      <c r="G84" s="37"/>
      <c r="H84" s="268"/>
      <c r="I84" s="269"/>
      <c r="J84" s="267"/>
      <c r="K84" s="267"/>
      <c r="L84" s="267"/>
      <c r="M84" s="267"/>
      <c r="N84" s="267"/>
      <c r="O84" s="267"/>
      <c r="P84" s="267"/>
      <c r="Q84" s="267"/>
      <c r="R84" s="90"/>
      <c r="S84" s="81"/>
      <c r="T84" s="81"/>
      <c r="U84" s="81"/>
      <c r="V84" s="81"/>
      <c r="W84" s="81"/>
      <c r="X84" s="81"/>
    </row>
    <row r="85" spans="2:24" s="81" customFormat="1" ht="15" x14ac:dyDescent="0.2">
      <c r="B85" s="36"/>
      <c r="C85" s="202" t="s">
        <v>95</v>
      </c>
      <c r="D85" s="203"/>
      <c r="E85" s="203" t="s">
        <v>85</v>
      </c>
      <c r="F85" s="203" t="s">
        <v>85</v>
      </c>
      <c r="G85" s="37"/>
      <c r="H85" s="268"/>
      <c r="I85" s="269"/>
      <c r="J85" s="267"/>
      <c r="K85" s="267"/>
      <c r="L85" s="267"/>
      <c r="M85" s="267"/>
      <c r="N85" s="267"/>
      <c r="O85" s="267"/>
      <c r="P85" s="267"/>
      <c r="Q85" s="267"/>
      <c r="R85" s="91"/>
      <c r="S85" s="75"/>
      <c r="T85" s="75"/>
      <c r="U85" s="169"/>
    </row>
    <row r="86" spans="2:24" s="81" customFormat="1" ht="13.9" customHeight="1" x14ac:dyDescent="0.2">
      <c r="B86" s="36"/>
      <c r="C86" s="202" t="s">
        <v>94</v>
      </c>
      <c r="D86" s="203"/>
      <c r="E86" s="203" t="s">
        <v>85</v>
      </c>
      <c r="F86" s="203" t="s">
        <v>85</v>
      </c>
      <c r="G86" s="37"/>
      <c r="H86" s="268"/>
      <c r="I86" s="269"/>
      <c r="J86" s="267"/>
      <c r="K86" s="267"/>
      <c r="L86" s="267"/>
      <c r="M86" s="267"/>
      <c r="N86" s="267"/>
      <c r="O86" s="267"/>
      <c r="P86" s="267"/>
      <c r="Q86" s="267"/>
      <c r="R86" s="91"/>
      <c r="S86" s="169"/>
      <c r="T86" s="169"/>
      <c r="U86" s="169"/>
    </row>
    <row r="87" spans="2:24" s="81" customFormat="1" x14ac:dyDescent="0.2">
      <c r="B87" s="106"/>
      <c r="C87" s="53"/>
      <c r="D87" s="54"/>
      <c r="E87" s="55"/>
      <c r="F87" s="53"/>
      <c r="G87" s="53"/>
      <c r="H87" s="53"/>
      <c r="I87" s="53"/>
      <c r="J87" s="53"/>
      <c r="K87" s="54"/>
      <c r="L87" s="54"/>
      <c r="M87" s="54"/>
      <c r="N87" s="54"/>
      <c r="O87" s="54"/>
      <c r="P87" s="54"/>
      <c r="Q87" s="54"/>
      <c r="R87" s="92"/>
      <c r="S87" s="169"/>
      <c r="T87" s="169"/>
      <c r="U87" s="169"/>
    </row>
    <row r="88" spans="2:24" s="81" customFormat="1" x14ac:dyDescent="0.2">
      <c r="D88" s="169"/>
      <c r="E88" s="80"/>
      <c r="F88" s="80"/>
      <c r="G88" s="176"/>
      <c r="H88" s="80"/>
      <c r="I88" s="80"/>
      <c r="J88" s="80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</row>
    <row r="89" spans="2:24" s="81" customFormat="1" x14ac:dyDescent="0.2">
      <c r="D89" s="169"/>
      <c r="E89" s="80"/>
      <c r="F89" s="80"/>
      <c r="G89" s="176"/>
      <c r="H89" s="80"/>
      <c r="I89" s="80"/>
      <c r="J89" s="80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</row>
    <row r="90" spans="2:24" s="81" customFormat="1" x14ac:dyDescent="0.2">
      <c r="D90" s="169"/>
      <c r="E90" s="82"/>
      <c r="F90" s="82"/>
      <c r="G90" s="176"/>
      <c r="H90" s="82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</row>
    <row r="91" spans="2:24" s="81" customFormat="1" x14ac:dyDescent="0.2">
      <c r="D91" s="169"/>
      <c r="E91" s="83"/>
      <c r="F91" s="83"/>
      <c r="G91" s="176"/>
      <c r="H91" s="83"/>
      <c r="I91" s="169"/>
      <c r="J91" s="169"/>
      <c r="K91" s="169"/>
      <c r="L91" s="169"/>
      <c r="M91" s="169"/>
      <c r="N91" s="169"/>
      <c r="O91" s="169"/>
      <c r="P91" s="169"/>
      <c r="R91" s="169"/>
      <c r="S91" s="169"/>
      <c r="T91" s="169"/>
      <c r="U91" s="169"/>
    </row>
    <row r="92" spans="2:24" s="81" customFormat="1" x14ac:dyDescent="0.2">
      <c r="D92" s="169"/>
      <c r="E92" s="83"/>
      <c r="F92" s="83"/>
      <c r="G92" s="176"/>
      <c r="H92" s="83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</row>
    <row r="93" spans="2:24" s="81" customFormat="1" x14ac:dyDescent="0.2">
      <c r="D93" s="169"/>
      <c r="E93" s="83"/>
      <c r="F93" s="83"/>
      <c r="G93" s="176"/>
      <c r="H93" s="83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</row>
    <row r="94" spans="2:24" s="75" customFormat="1" x14ac:dyDescent="0.2">
      <c r="C94" s="81"/>
      <c r="D94" s="169"/>
      <c r="E94" s="80"/>
      <c r="F94" s="80"/>
      <c r="G94" s="176"/>
      <c r="H94" s="80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</row>
    <row r="95" spans="2:24" s="75" customFormat="1" x14ac:dyDescent="0.2">
      <c r="D95" s="84"/>
      <c r="E95" s="74"/>
      <c r="F95" s="74"/>
      <c r="G95" s="176"/>
      <c r="H95" s="74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</row>
    <row r="96" spans="2:24" s="75" customFormat="1" x14ac:dyDescent="0.2">
      <c r="D96" s="84"/>
      <c r="E96" s="74"/>
      <c r="F96" s="74"/>
      <c r="G96" s="176"/>
      <c r="H96" s="74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</row>
    <row r="97" spans="4:21" s="75" customFormat="1" x14ac:dyDescent="0.2">
      <c r="D97" s="84"/>
      <c r="E97" s="74"/>
      <c r="F97" s="74"/>
      <c r="G97" s="176"/>
      <c r="H97" s="74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</row>
    <row r="98" spans="4:21" s="75" customFormat="1" x14ac:dyDescent="0.2">
      <c r="D98" s="84"/>
      <c r="E98" s="74"/>
      <c r="F98" s="74"/>
      <c r="G98" s="176"/>
      <c r="H98" s="74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</row>
    <row r="99" spans="4:21" s="75" customFormat="1" x14ac:dyDescent="0.2">
      <c r="D99" s="84"/>
      <c r="E99" s="74"/>
      <c r="F99" s="74"/>
      <c r="G99" s="176"/>
      <c r="H99" s="74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</row>
    <row r="100" spans="4:21" s="75" customFormat="1" x14ac:dyDescent="0.2">
      <c r="D100" s="84"/>
      <c r="E100" s="74"/>
      <c r="F100" s="74"/>
      <c r="G100" s="176"/>
      <c r="H100" s="74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</row>
    <row r="101" spans="4:21" s="75" customFormat="1" x14ac:dyDescent="0.2">
      <c r="D101" s="84"/>
      <c r="E101" s="74"/>
      <c r="F101" s="74"/>
      <c r="G101" s="176"/>
      <c r="H101" s="74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</row>
    <row r="102" spans="4:21" s="75" customFormat="1" x14ac:dyDescent="0.2">
      <c r="D102" s="84"/>
      <c r="E102" s="74"/>
      <c r="F102" s="74"/>
      <c r="G102" s="176"/>
      <c r="H102" s="74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</row>
    <row r="103" spans="4:21" s="75" customFormat="1" x14ac:dyDescent="0.2">
      <c r="D103" s="84"/>
      <c r="E103" s="74"/>
      <c r="F103" s="74"/>
      <c r="G103" s="176"/>
      <c r="H103" s="74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</row>
    <row r="104" spans="4:21" s="75" customFormat="1" x14ac:dyDescent="0.2">
      <c r="D104" s="84"/>
      <c r="E104" s="74"/>
      <c r="F104" s="74"/>
      <c r="G104" s="176"/>
      <c r="H104" s="74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</row>
    <row r="105" spans="4:21" s="75" customFormat="1" x14ac:dyDescent="0.2">
      <c r="D105" s="84"/>
      <c r="E105" s="74"/>
      <c r="F105" s="74"/>
      <c r="G105" s="176"/>
      <c r="H105" s="74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</row>
    <row r="106" spans="4:21" s="75" customFormat="1" x14ac:dyDescent="0.2">
      <c r="D106" s="84"/>
      <c r="E106" s="74"/>
      <c r="F106" s="74"/>
      <c r="G106" s="176"/>
      <c r="H106" s="74"/>
      <c r="I106" s="74"/>
      <c r="J106" s="74"/>
      <c r="K106" s="74"/>
      <c r="L106" s="74"/>
      <c r="M106" s="74"/>
      <c r="N106" s="74"/>
      <c r="O106" s="74"/>
      <c r="P106" s="74"/>
      <c r="Q106" s="74"/>
    </row>
    <row r="107" spans="4:21" s="75" customFormat="1" x14ac:dyDescent="0.2">
      <c r="D107" s="84"/>
      <c r="E107" s="74"/>
      <c r="F107" s="74"/>
      <c r="G107" s="176"/>
      <c r="H107" s="74"/>
      <c r="I107" s="74"/>
      <c r="J107" s="74"/>
      <c r="K107" s="74"/>
      <c r="L107" s="74"/>
      <c r="M107" s="74"/>
      <c r="N107" s="74"/>
      <c r="O107" s="74"/>
      <c r="P107" s="74"/>
      <c r="Q107" s="74"/>
    </row>
    <row r="108" spans="4:21" s="75" customFormat="1" x14ac:dyDescent="0.2">
      <c r="D108" s="84"/>
      <c r="E108" s="74"/>
      <c r="F108" s="74"/>
      <c r="G108" s="176"/>
      <c r="H108" s="74"/>
      <c r="I108" s="74"/>
      <c r="J108" s="74"/>
      <c r="K108" s="74"/>
      <c r="L108" s="74"/>
      <c r="M108" s="74"/>
      <c r="N108" s="74"/>
      <c r="O108" s="74"/>
      <c r="P108" s="74"/>
      <c r="Q108" s="74"/>
    </row>
    <row r="109" spans="4:21" s="75" customFormat="1" x14ac:dyDescent="0.2">
      <c r="D109" s="84"/>
      <c r="E109" s="74"/>
      <c r="F109" s="74"/>
      <c r="G109" s="176"/>
      <c r="H109" s="74"/>
      <c r="I109" s="74"/>
      <c r="J109" s="74"/>
      <c r="K109" s="74"/>
      <c r="L109" s="74"/>
      <c r="M109" s="74"/>
      <c r="N109" s="74"/>
      <c r="O109" s="74"/>
      <c r="P109" s="74"/>
      <c r="Q109" s="74"/>
    </row>
    <row r="110" spans="4:21" s="75" customFormat="1" x14ac:dyDescent="0.2">
      <c r="D110" s="84"/>
      <c r="E110" s="74"/>
      <c r="F110" s="74"/>
      <c r="G110" s="176"/>
      <c r="H110" s="74"/>
      <c r="I110" s="74"/>
      <c r="J110" s="74"/>
      <c r="K110" s="74"/>
      <c r="L110" s="74"/>
      <c r="M110" s="74"/>
      <c r="N110" s="74"/>
      <c r="O110" s="74"/>
      <c r="P110" s="74"/>
      <c r="Q110" s="74"/>
    </row>
    <row r="111" spans="4:21" s="75" customFormat="1" x14ac:dyDescent="0.2">
      <c r="D111" s="84"/>
      <c r="E111" s="74"/>
      <c r="F111" s="74"/>
      <c r="G111" s="176"/>
      <c r="H111" s="74"/>
      <c r="I111" s="74"/>
      <c r="J111" s="74"/>
      <c r="K111" s="74"/>
      <c r="L111" s="74"/>
      <c r="M111" s="74"/>
      <c r="N111" s="74"/>
      <c r="O111" s="74"/>
      <c r="P111" s="74"/>
      <c r="Q111" s="74"/>
    </row>
    <row r="112" spans="4:21" s="75" customFormat="1" x14ac:dyDescent="0.2">
      <c r="D112" s="84"/>
      <c r="E112" s="74"/>
      <c r="F112" s="74"/>
      <c r="G112" s="176"/>
      <c r="H112" s="74"/>
      <c r="I112" s="74"/>
      <c r="J112" s="74"/>
      <c r="K112" s="74"/>
      <c r="L112" s="74"/>
      <c r="M112" s="74"/>
      <c r="N112" s="74"/>
      <c r="O112" s="74"/>
      <c r="P112" s="74"/>
      <c r="Q112" s="74"/>
    </row>
    <row r="113" spans="4:17" s="75" customFormat="1" x14ac:dyDescent="0.2">
      <c r="D113" s="84"/>
      <c r="E113" s="74"/>
      <c r="F113" s="74"/>
      <c r="G113" s="176"/>
      <c r="H113" s="74"/>
      <c r="I113" s="74"/>
      <c r="J113" s="74"/>
      <c r="K113" s="74"/>
      <c r="L113" s="74"/>
      <c r="M113" s="74"/>
      <c r="N113" s="74"/>
      <c r="O113" s="74"/>
      <c r="P113" s="74"/>
      <c r="Q113" s="74"/>
    </row>
    <row r="114" spans="4:17" s="75" customFormat="1" x14ac:dyDescent="0.2">
      <c r="D114" s="84"/>
      <c r="E114" s="74"/>
      <c r="F114" s="74"/>
      <c r="G114" s="176"/>
      <c r="H114" s="74"/>
      <c r="I114" s="74"/>
      <c r="J114" s="74"/>
      <c r="K114" s="74"/>
      <c r="L114" s="74"/>
      <c r="M114" s="74"/>
      <c r="N114" s="74"/>
      <c r="O114" s="74"/>
      <c r="P114" s="74"/>
      <c r="Q114" s="74"/>
    </row>
    <row r="115" spans="4:17" s="75" customFormat="1" x14ac:dyDescent="0.2">
      <c r="D115" s="84"/>
      <c r="E115" s="74"/>
      <c r="F115" s="74"/>
      <c r="G115" s="176"/>
      <c r="H115" s="74"/>
      <c r="I115" s="74"/>
      <c r="J115" s="74"/>
      <c r="K115" s="74"/>
      <c r="L115" s="74"/>
      <c r="M115" s="74"/>
      <c r="N115" s="74"/>
      <c r="O115" s="74"/>
      <c r="P115" s="74"/>
      <c r="Q115" s="74"/>
    </row>
    <row r="116" spans="4:17" s="75" customFormat="1" x14ac:dyDescent="0.2">
      <c r="D116" s="84"/>
      <c r="E116" s="74"/>
      <c r="F116" s="74"/>
      <c r="G116" s="176"/>
      <c r="H116" s="74"/>
      <c r="I116" s="74"/>
      <c r="J116" s="74"/>
      <c r="K116" s="74"/>
      <c r="L116" s="74"/>
      <c r="M116" s="74"/>
      <c r="N116" s="74"/>
      <c r="O116" s="74"/>
      <c r="P116" s="74"/>
      <c r="Q116" s="74"/>
    </row>
    <row r="117" spans="4:17" s="75" customFormat="1" x14ac:dyDescent="0.2">
      <c r="D117" s="84"/>
      <c r="E117" s="74"/>
      <c r="F117" s="74"/>
      <c r="G117" s="176"/>
      <c r="H117" s="74"/>
      <c r="I117" s="74"/>
      <c r="J117" s="74"/>
      <c r="K117" s="74"/>
      <c r="L117" s="74"/>
      <c r="M117" s="74"/>
      <c r="N117" s="74"/>
      <c r="O117" s="74"/>
      <c r="P117" s="74"/>
      <c r="Q117" s="74"/>
    </row>
    <row r="118" spans="4:17" s="75" customFormat="1" x14ac:dyDescent="0.2">
      <c r="D118" s="84"/>
      <c r="E118" s="74"/>
      <c r="F118" s="74"/>
      <c r="G118" s="176"/>
      <c r="H118" s="74"/>
      <c r="I118" s="74"/>
      <c r="J118" s="74"/>
      <c r="K118" s="74"/>
      <c r="L118" s="74"/>
      <c r="M118" s="74"/>
      <c r="N118" s="74"/>
      <c r="O118" s="74"/>
      <c r="P118" s="74"/>
      <c r="Q118" s="74"/>
    </row>
    <row r="119" spans="4:17" s="75" customFormat="1" x14ac:dyDescent="0.2">
      <c r="D119" s="84"/>
      <c r="E119" s="74"/>
      <c r="F119" s="74"/>
      <c r="G119" s="176"/>
      <c r="H119" s="74"/>
      <c r="I119" s="74"/>
      <c r="J119" s="74"/>
      <c r="K119" s="74"/>
      <c r="L119" s="74"/>
      <c r="M119" s="74"/>
      <c r="N119" s="74"/>
      <c r="O119" s="74"/>
      <c r="P119" s="74"/>
      <c r="Q119" s="74"/>
    </row>
    <row r="120" spans="4:17" s="75" customFormat="1" x14ac:dyDescent="0.2">
      <c r="D120" s="84"/>
      <c r="E120" s="74"/>
      <c r="F120" s="74"/>
      <c r="G120" s="176"/>
      <c r="H120" s="74"/>
      <c r="I120" s="74"/>
      <c r="J120" s="74"/>
      <c r="K120" s="74"/>
      <c r="L120" s="74"/>
      <c r="M120" s="74"/>
      <c r="N120" s="74"/>
      <c r="O120" s="74"/>
      <c r="P120" s="74"/>
      <c r="Q120" s="74"/>
    </row>
    <row r="121" spans="4:17" s="75" customFormat="1" x14ac:dyDescent="0.2">
      <c r="D121" s="84"/>
      <c r="E121" s="74"/>
      <c r="F121" s="74"/>
      <c r="G121" s="176"/>
      <c r="H121" s="74"/>
      <c r="I121" s="74"/>
      <c r="J121" s="74"/>
      <c r="K121" s="74"/>
      <c r="L121" s="74"/>
      <c r="M121" s="74"/>
      <c r="N121" s="74"/>
      <c r="O121" s="74"/>
      <c r="P121" s="74"/>
      <c r="Q121" s="74"/>
    </row>
    <row r="122" spans="4:17" s="75" customFormat="1" x14ac:dyDescent="0.2">
      <c r="D122" s="84"/>
      <c r="E122" s="74"/>
      <c r="F122" s="74"/>
      <c r="G122" s="176"/>
      <c r="H122" s="74"/>
      <c r="I122" s="74"/>
      <c r="J122" s="74"/>
      <c r="K122" s="74"/>
      <c r="L122" s="74"/>
      <c r="M122" s="74"/>
      <c r="N122" s="74"/>
      <c r="O122" s="74"/>
      <c r="P122" s="74"/>
      <c r="Q122" s="74"/>
    </row>
    <row r="123" spans="4:17" s="75" customFormat="1" x14ac:dyDescent="0.2">
      <c r="D123" s="84"/>
      <c r="E123" s="74"/>
      <c r="F123" s="74"/>
      <c r="G123" s="176"/>
      <c r="H123" s="74"/>
      <c r="I123" s="74"/>
      <c r="J123" s="74"/>
      <c r="K123" s="74"/>
      <c r="L123" s="74"/>
      <c r="M123" s="74"/>
      <c r="N123" s="74"/>
      <c r="O123" s="74"/>
      <c r="P123" s="74"/>
      <c r="Q123" s="74"/>
    </row>
    <row r="124" spans="4:17" s="75" customFormat="1" x14ac:dyDescent="0.2">
      <c r="D124" s="84"/>
      <c r="E124" s="74"/>
      <c r="F124" s="74"/>
      <c r="G124" s="176"/>
      <c r="H124" s="74"/>
      <c r="I124" s="74"/>
      <c r="J124" s="74"/>
      <c r="K124" s="74"/>
      <c r="L124" s="74"/>
      <c r="M124" s="74"/>
      <c r="N124" s="74"/>
      <c r="O124" s="74"/>
      <c r="P124" s="74"/>
      <c r="Q124" s="74"/>
    </row>
    <row r="125" spans="4:17" s="75" customFormat="1" x14ac:dyDescent="0.2">
      <c r="D125" s="84"/>
      <c r="E125" s="74"/>
      <c r="F125" s="74"/>
      <c r="G125" s="176"/>
      <c r="H125" s="74"/>
      <c r="I125" s="74"/>
      <c r="J125" s="74"/>
      <c r="K125" s="74"/>
      <c r="L125" s="74"/>
      <c r="M125" s="74"/>
      <c r="N125" s="74"/>
      <c r="O125" s="74"/>
      <c r="P125" s="74"/>
      <c r="Q125" s="74"/>
    </row>
    <row r="126" spans="4:17" s="75" customFormat="1" x14ac:dyDescent="0.2">
      <c r="D126" s="84"/>
      <c r="E126" s="74"/>
      <c r="F126" s="74"/>
      <c r="G126" s="176"/>
      <c r="H126" s="74"/>
      <c r="I126" s="74"/>
      <c r="J126" s="74"/>
      <c r="K126" s="74"/>
      <c r="L126" s="74"/>
      <c r="M126" s="74"/>
      <c r="N126" s="74"/>
      <c r="O126" s="74"/>
      <c r="P126" s="74"/>
      <c r="Q126" s="74"/>
    </row>
    <row r="127" spans="4:17" s="75" customFormat="1" x14ac:dyDescent="0.2">
      <c r="D127" s="84"/>
      <c r="E127" s="74"/>
      <c r="F127" s="74"/>
      <c r="G127" s="176"/>
      <c r="H127" s="74"/>
      <c r="I127" s="74"/>
      <c r="J127" s="74"/>
      <c r="K127" s="74"/>
      <c r="L127" s="74"/>
      <c r="M127" s="74"/>
      <c r="N127" s="74"/>
      <c r="O127" s="74"/>
      <c r="P127" s="74"/>
      <c r="Q127" s="74"/>
    </row>
    <row r="128" spans="4:17" s="75" customFormat="1" x14ac:dyDescent="0.2">
      <c r="D128" s="84"/>
      <c r="E128" s="74"/>
      <c r="F128" s="74"/>
      <c r="G128" s="176"/>
      <c r="H128" s="74"/>
      <c r="I128" s="74"/>
      <c r="J128" s="74"/>
      <c r="K128" s="74"/>
      <c r="L128" s="74"/>
      <c r="M128" s="74"/>
      <c r="N128" s="74"/>
      <c r="O128" s="74"/>
      <c r="P128" s="74"/>
      <c r="Q128" s="74"/>
    </row>
    <row r="129" spans="4:17" s="75" customFormat="1" x14ac:dyDescent="0.2">
      <c r="D129" s="84"/>
      <c r="E129" s="74"/>
      <c r="F129" s="74"/>
      <c r="G129" s="176"/>
      <c r="H129" s="74"/>
      <c r="I129" s="74"/>
      <c r="J129" s="74"/>
      <c r="K129" s="74"/>
      <c r="L129" s="74"/>
      <c r="M129" s="74"/>
      <c r="N129" s="74"/>
      <c r="O129" s="74"/>
      <c r="P129" s="74"/>
      <c r="Q129" s="74"/>
    </row>
    <row r="130" spans="4:17" s="75" customFormat="1" x14ac:dyDescent="0.2">
      <c r="D130" s="84"/>
      <c r="E130" s="74"/>
      <c r="F130" s="74"/>
      <c r="G130" s="176"/>
      <c r="H130" s="74"/>
      <c r="I130" s="74"/>
      <c r="J130" s="74"/>
      <c r="K130" s="74"/>
      <c r="L130" s="74"/>
      <c r="M130" s="74"/>
      <c r="N130" s="74"/>
      <c r="O130" s="74"/>
      <c r="P130" s="74"/>
      <c r="Q130" s="74"/>
    </row>
    <row r="131" spans="4:17" s="75" customFormat="1" x14ac:dyDescent="0.2">
      <c r="D131" s="84"/>
      <c r="E131" s="74"/>
      <c r="F131" s="74"/>
      <c r="G131" s="176"/>
      <c r="H131" s="74"/>
      <c r="I131" s="74"/>
      <c r="J131" s="74"/>
      <c r="K131" s="74"/>
      <c r="L131" s="74"/>
      <c r="M131" s="74"/>
      <c r="N131" s="74"/>
      <c r="O131" s="74"/>
      <c r="P131" s="74"/>
      <c r="Q131" s="74"/>
    </row>
    <row r="132" spans="4:17" s="75" customFormat="1" x14ac:dyDescent="0.2">
      <c r="D132" s="84"/>
      <c r="E132" s="74"/>
      <c r="F132" s="74"/>
      <c r="G132" s="176"/>
      <c r="H132" s="74"/>
      <c r="I132" s="74"/>
      <c r="J132" s="74"/>
      <c r="K132" s="74"/>
      <c r="L132" s="74"/>
      <c r="M132" s="74"/>
      <c r="N132" s="74"/>
      <c r="O132" s="74"/>
      <c r="P132" s="74"/>
      <c r="Q132" s="74"/>
    </row>
    <row r="133" spans="4:17" s="75" customFormat="1" x14ac:dyDescent="0.2">
      <c r="D133" s="84"/>
      <c r="E133" s="74"/>
      <c r="F133" s="74"/>
      <c r="G133" s="176"/>
      <c r="H133" s="74"/>
      <c r="I133" s="74"/>
      <c r="J133" s="74"/>
      <c r="K133" s="74"/>
      <c r="L133" s="74"/>
      <c r="M133" s="74"/>
      <c r="N133" s="74"/>
      <c r="O133" s="74"/>
      <c r="P133" s="74"/>
      <c r="Q133" s="74"/>
    </row>
    <row r="134" spans="4:17" s="75" customFormat="1" x14ac:dyDescent="0.2">
      <c r="D134" s="84"/>
      <c r="E134" s="74"/>
      <c r="F134" s="74"/>
      <c r="G134" s="176"/>
      <c r="H134" s="74"/>
      <c r="I134" s="74"/>
      <c r="J134" s="74"/>
      <c r="K134" s="74"/>
      <c r="L134" s="74"/>
      <c r="M134" s="74"/>
      <c r="N134" s="74"/>
      <c r="O134" s="74"/>
      <c r="P134" s="74"/>
      <c r="Q134" s="74"/>
    </row>
    <row r="135" spans="4:17" s="75" customFormat="1" x14ac:dyDescent="0.2">
      <c r="D135" s="84"/>
      <c r="E135" s="74"/>
      <c r="F135" s="74"/>
      <c r="G135" s="176"/>
      <c r="H135" s="74"/>
      <c r="I135" s="74"/>
      <c r="J135" s="74"/>
      <c r="K135" s="74"/>
      <c r="L135" s="74"/>
      <c r="M135" s="74"/>
      <c r="N135" s="74"/>
      <c r="O135" s="74"/>
      <c r="P135" s="74"/>
      <c r="Q135" s="74"/>
    </row>
    <row r="136" spans="4:17" s="75" customFormat="1" x14ac:dyDescent="0.2">
      <c r="D136" s="84"/>
      <c r="E136" s="74"/>
      <c r="F136" s="74"/>
      <c r="G136" s="176"/>
      <c r="H136" s="74"/>
      <c r="I136" s="74"/>
      <c r="J136" s="74"/>
      <c r="K136" s="74"/>
      <c r="L136" s="74"/>
      <c r="M136" s="74"/>
      <c r="N136" s="74"/>
      <c r="O136" s="74"/>
      <c r="P136" s="74"/>
      <c r="Q136" s="74"/>
    </row>
    <row r="137" spans="4:17" s="75" customFormat="1" x14ac:dyDescent="0.2">
      <c r="D137" s="84"/>
      <c r="E137" s="74"/>
      <c r="F137" s="74"/>
      <c r="G137" s="176"/>
      <c r="H137" s="74"/>
      <c r="I137" s="74"/>
      <c r="J137" s="74"/>
      <c r="K137" s="74"/>
      <c r="L137" s="74"/>
      <c r="M137" s="74"/>
      <c r="N137" s="74"/>
      <c r="O137" s="74"/>
      <c r="P137" s="74"/>
      <c r="Q137" s="74"/>
    </row>
    <row r="138" spans="4:17" s="75" customFormat="1" x14ac:dyDescent="0.2">
      <c r="D138" s="84"/>
      <c r="E138" s="74"/>
      <c r="F138" s="74"/>
      <c r="G138" s="176"/>
      <c r="H138" s="74"/>
      <c r="I138" s="74"/>
      <c r="J138" s="74"/>
      <c r="K138" s="74"/>
      <c r="L138" s="74"/>
      <c r="M138" s="74"/>
      <c r="N138" s="74"/>
      <c r="O138" s="74"/>
      <c r="P138" s="74"/>
      <c r="Q138" s="74"/>
    </row>
    <row r="139" spans="4:17" s="75" customFormat="1" x14ac:dyDescent="0.2">
      <c r="D139" s="84"/>
      <c r="E139" s="74"/>
      <c r="F139" s="74"/>
      <c r="G139" s="176"/>
      <c r="H139" s="74"/>
      <c r="I139" s="74"/>
      <c r="J139" s="74"/>
      <c r="K139" s="74"/>
      <c r="L139" s="74"/>
      <c r="M139" s="74"/>
      <c r="N139" s="74"/>
      <c r="O139" s="74"/>
      <c r="P139" s="74"/>
      <c r="Q139" s="74"/>
    </row>
    <row r="140" spans="4:17" s="75" customFormat="1" x14ac:dyDescent="0.2">
      <c r="D140" s="84"/>
      <c r="E140" s="74"/>
      <c r="F140" s="74"/>
      <c r="G140" s="176"/>
      <c r="H140" s="74"/>
      <c r="I140" s="74"/>
      <c r="J140" s="74"/>
      <c r="K140" s="74"/>
      <c r="L140" s="74"/>
      <c r="M140" s="74"/>
      <c r="N140" s="74"/>
      <c r="O140" s="74"/>
      <c r="P140" s="74"/>
      <c r="Q140" s="74"/>
    </row>
    <row r="141" spans="4:17" s="75" customFormat="1" x14ac:dyDescent="0.2">
      <c r="D141" s="84"/>
      <c r="E141" s="74"/>
      <c r="F141" s="74"/>
      <c r="G141" s="176"/>
      <c r="H141" s="74"/>
      <c r="I141" s="74"/>
      <c r="J141" s="74"/>
      <c r="K141" s="74"/>
      <c r="L141" s="74"/>
      <c r="M141" s="74"/>
      <c r="N141" s="74"/>
      <c r="O141" s="74"/>
      <c r="P141" s="74"/>
      <c r="Q141" s="74"/>
    </row>
    <row r="142" spans="4:17" s="75" customFormat="1" x14ac:dyDescent="0.2">
      <c r="D142" s="84"/>
      <c r="E142" s="74"/>
      <c r="F142" s="74"/>
      <c r="G142" s="176"/>
      <c r="H142" s="74"/>
      <c r="I142" s="74"/>
      <c r="J142" s="74"/>
      <c r="K142" s="74"/>
      <c r="L142" s="74"/>
      <c r="M142" s="74"/>
      <c r="N142" s="74"/>
      <c r="O142" s="74"/>
      <c r="P142" s="74"/>
      <c r="Q142" s="74"/>
    </row>
    <row r="143" spans="4:17" s="75" customFormat="1" x14ac:dyDescent="0.2">
      <c r="D143" s="84"/>
      <c r="E143" s="74"/>
      <c r="F143" s="74"/>
      <c r="G143" s="176"/>
      <c r="H143" s="74"/>
      <c r="I143" s="74"/>
      <c r="J143" s="74"/>
      <c r="K143" s="74"/>
      <c r="L143" s="74"/>
      <c r="M143" s="74"/>
      <c r="N143" s="74"/>
      <c r="O143" s="74"/>
      <c r="P143" s="74"/>
      <c r="Q143" s="74"/>
    </row>
    <row r="144" spans="4:17" s="75" customFormat="1" x14ac:dyDescent="0.2">
      <c r="D144" s="84"/>
      <c r="E144" s="74"/>
      <c r="F144" s="74"/>
      <c r="G144" s="176"/>
      <c r="H144" s="74"/>
      <c r="I144" s="74"/>
      <c r="J144" s="74"/>
      <c r="K144" s="74"/>
      <c r="L144" s="74"/>
      <c r="M144" s="74"/>
      <c r="N144" s="74"/>
      <c r="O144" s="74"/>
      <c r="P144" s="74"/>
      <c r="Q144" s="74"/>
    </row>
    <row r="145" spans="4:17" s="75" customFormat="1" x14ac:dyDescent="0.2">
      <c r="D145" s="84"/>
      <c r="E145" s="74"/>
      <c r="F145" s="74"/>
      <c r="G145" s="176"/>
      <c r="H145" s="74"/>
      <c r="I145" s="74"/>
      <c r="J145" s="74"/>
      <c r="K145" s="74"/>
      <c r="L145" s="74"/>
      <c r="M145" s="74"/>
      <c r="N145" s="74"/>
      <c r="O145" s="74"/>
      <c r="P145" s="74"/>
      <c r="Q145" s="74"/>
    </row>
    <row r="146" spans="4:17" s="75" customFormat="1" x14ac:dyDescent="0.2">
      <c r="D146" s="84"/>
      <c r="E146" s="74"/>
      <c r="F146" s="74"/>
      <c r="G146" s="176"/>
      <c r="H146" s="74"/>
      <c r="I146" s="74"/>
      <c r="J146" s="74"/>
      <c r="K146" s="74"/>
      <c r="L146" s="74"/>
      <c r="M146" s="74"/>
      <c r="N146" s="74"/>
      <c r="O146" s="74"/>
      <c r="P146" s="74"/>
      <c r="Q146" s="74"/>
    </row>
    <row r="147" spans="4:17" s="75" customFormat="1" x14ac:dyDescent="0.2">
      <c r="D147" s="84"/>
      <c r="E147" s="74"/>
      <c r="F147" s="74"/>
      <c r="G147" s="176"/>
      <c r="H147" s="74"/>
      <c r="I147" s="74"/>
      <c r="J147" s="74"/>
      <c r="K147" s="74"/>
      <c r="L147" s="74"/>
      <c r="M147" s="74"/>
      <c r="N147" s="74"/>
      <c r="O147" s="74"/>
      <c r="P147" s="74"/>
      <c r="Q147" s="74"/>
    </row>
    <row r="148" spans="4:17" s="75" customFormat="1" x14ac:dyDescent="0.2">
      <c r="D148" s="84"/>
      <c r="E148" s="74"/>
      <c r="F148" s="74"/>
      <c r="G148" s="176"/>
      <c r="H148" s="74"/>
      <c r="I148" s="74"/>
      <c r="J148" s="74"/>
      <c r="K148" s="74"/>
      <c r="L148" s="74"/>
      <c r="M148" s="74"/>
      <c r="N148" s="74"/>
      <c r="O148" s="74"/>
      <c r="P148" s="74"/>
      <c r="Q148" s="74"/>
    </row>
    <row r="149" spans="4:17" s="75" customFormat="1" x14ac:dyDescent="0.2">
      <c r="D149" s="84"/>
      <c r="E149" s="74"/>
      <c r="F149" s="74"/>
      <c r="G149" s="176"/>
      <c r="H149" s="74"/>
      <c r="I149" s="74"/>
      <c r="J149" s="74"/>
      <c r="K149" s="74"/>
      <c r="L149" s="74"/>
      <c r="M149" s="74"/>
      <c r="N149" s="74"/>
      <c r="O149" s="74"/>
      <c r="P149" s="74"/>
      <c r="Q149" s="74"/>
    </row>
    <row r="150" spans="4:17" s="75" customFormat="1" x14ac:dyDescent="0.2">
      <c r="D150" s="84"/>
      <c r="E150" s="74"/>
      <c r="F150" s="74"/>
      <c r="G150" s="176"/>
      <c r="H150" s="74"/>
      <c r="I150" s="74"/>
      <c r="J150" s="74"/>
      <c r="K150" s="74"/>
      <c r="L150" s="74"/>
      <c r="M150" s="74"/>
      <c r="N150" s="74"/>
      <c r="O150" s="74"/>
      <c r="P150" s="74"/>
      <c r="Q150" s="74"/>
    </row>
    <row r="151" spans="4:17" s="75" customFormat="1" x14ac:dyDescent="0.2">
      <c r="D151" s="84"/>
      <c r="E151" s="74"/>
      <c r="F151" s="74"/>
      <c r="G151" s="176"/>
      <c r="H151" s="74"/>
      <c r="I151" s="74"/>
      <c r="J151" s="74"/>
      <c r="K151" s="74"/>
      <c r="L151" s="74"/>
      <c r="M151" s="74"/>
      <c r="N151" s="74"/>
      <c r="O151" s="74"/>
      <c r="P151" s="74"/>
      <c r="Q151" s="74"/>
    </row>
    <row r="152" spans="4:17" s="75" customFormat="1" x14ac:dyDescent="0.2">
      <c r="D152" s="84"/>
      <c r="E152" s="74"/>
      <c r="F152" s="74"/>
      <c r="G152" s="176"/>
      <c r="H152" s="74"/>
      <c r="I152" s="74"/>
      <c r="J152" s="74"/>
      <c r="K152" s="74"/>
      <c r="L152" s="74"/>
      <c r="M152" s="74"/>
      <c r="N152" s="74"/>
      <c r="O152" s="74"/>
      <c r="P152" s="74"/>
      <c r="Q152" s="74"/>
    </row>
    <row r="153" spans="4:17" s="75" customFormat="1" x14ac:dyDescent="0.2">
      <c r="D153" s="84"/>
      <c r="E153" s="74"/>
      <c r="F153" s="74"/>
      <c r="G153" s="176"/>
      <c r="H153" s="74"/>
      <c r="I153" s="74"/>
      <c r="J153" s="74"/>
      <c r="K153" s="74"/>
      <c r="L153" s="74"/>
      <c r="M153" s="74"/>
      <c r="N153" s="74"/>
      <c r="O153" s="74"/>
      <c r="P153" s="74"/>
      <c r="Q153" s="74"/>
    </row>
    <row r="154" spans="4:17" s="75" customFormat="1" x14ac:dyDescent="0.2">
      <c r="D154" s="84"/>
      <c r="E154" s="74"/>
      <c r="F154" s="74"/>
      <c r="G154" s="176"/>
      <c r="H154" s="74"/>
      <c r="I154" s="74"/>
      <c r="J154" s="74"/>
      <c r="K154" s="74"/>
      <c r="L154" s="74"/>
      <c r="M154" s="74"/>
      <c r="N154" s="74"/>
      <c r="O154" s="74"/>
      <c r="P154" s="74"/>
      <c r="Q154" s="74"/>
    </row>
    <row r="155" spans="4:17" s="75" customFormat="1" x14ac:dyDescent="0.2">
      <c r="D155" s="84"/>
      <c r="E155" s="74"/>
      <c r="F155" s="74"/>
      <c r="G155" s="176"/>
      <c r="H155" s="74"/>
      <c r="I155" s="74"/>
      <c r="J155" s="74"/>
      <c r="K155" s="74"/>
      <c r="L155" s="74"/>
      <c r="M155" s="74"/>
      <c r="N155" s="74"/>
      <c r="O155" s="74"/>
      <c r="P155" s="74"/>
      <c r="Q155" s="74"/>
    </row>
    <row r="156" spans="4:17" s="75" customFormat="1" x14ac:dyDescent="0.2">
      <c r="D156" s="84"/>
      <c r="E156" s="74"/>
      <c r="F156" s="74"/>
      <c r="G156" s="176"/>
      <c r="H156" s="74"/>
      <c r="I156" s="74"/>
      <c r="J156" s="74"/>
      <c r="K156" s="74"/>
      <c r="L156" s="74"/>
      <c r="M156" s="74"/>
      <c r="N156" s="74"/>
      <c r="O156" s="74"/>
      <c r="P156" s="74"/>
      <c r="Q156" s="74"/>
    </row>
    <row r="157" spans="4:17" s="75" customFormat="1" x14ac:dyDescent="0.2">
      <c r="D157" s="84"/>
      <c r="E157" s="74"/>
      <c r="F157" s="74"/>
      <c r="G157" s="176"/>
      <c r="H157" s="74"/>
      <c r="I157" s="74"/>
      <c r="J157" s="74"/>
      <c r="K157" s="74"/>
      <c r="L157" s="74"/>
      <c r="M157" s="74"/>
      <c r="N157" s="74"/>
      <c r="O157" s="74"/>
      <c r="P157" s="74"/>
      <c r="Q157" s="74"/>
    </row>
    <row r="158" spans="4:17" s="75" customFormat="1" x14ac:dyDescent="0.2">
      <c r="D158" s="84"/>
      <c r="E158" s="74"/>
      <c r="F158" s="74"/>
      <c r="G158" s="176"/>
      <c r="H158" s="74"/>
      <c r="I158" s="74"/>
      <c r="J158" s="74"/>
      <c r="K158" s="74"/>
      <c r="L158" s="74"/>
      <c r="M158" s="74"/>
      <c r="N158" s="74"/>
      <c r="O158" s="74"/>
      <c r="P158" s="74"/>
      <c r="Q158" s="74"/>
    </row>
    <row r="159" spans="4:17" s="75" customFormat="1" x14ac:dyDescent="0.2">
      <c r="D159" s="84"/>
      <c r="E159" s="74"/>
      <c r="F159" s="74"/>
      <c r="G159" s="176"/>
      <c r="H159" s="74"/>
      <c r="I159" s="74"/>
      <c r="J159" s="74"/>
      <c r="K159" s="74"/>
      <c r="L159" s="74"/>
      <c r="M159" s="74"/>
      <c r="N159" s="74"/>
      <c r="O159" s="74"/>
      <c r="P159" s="74"/>
      <c r="Q159" s="74"/>
    </row>
    <row r="160" spans="4:17" s="75" customFormat="1" x14ac:dyDescent="0.2">
      <c r="D160" s="84"/>
      <c r="E160" s="74"/>
      <c r="F160" s="74"/>
      <c r="G160" s="176"/>
      <c r="H160" s="74"/>
      <c r="I160" s="74"/>
      <c r="J160" s="74"/>
      <c r="K160" s="74"/>
      <c r="L160" s="74"/>
      <c r="M160" s="74"/>
      <c r="N160" s="74"/>
      <c r="O160" s="74"/>
      <c r="P160" s="74"/>
      <c r="Q160" s="74"/>
    </row>
    <row r="161" spans="4:17" s="75" customFormat="1" x14ac:dyDescent="0.2">
      <c r="D161" s="84"/>
      <c r="E161" s="74"/>
      <c r="F161" s="74"/>
      <c r="G161" s="176"/>
      <c r="H161" s="74"/>
      <c r="I161" s="74"/>
      <c r="J161" s="74"/>
      <c r="K161" s="74"/>
      <c r="L161" s="74"/>
      <c r="M161" s="74"/>
      <c r="N161" s="74"/>
      <c r="O161" s="74"/>
      <c r="P161" s="74"/>
      <c r="Q161" s="74"/>
    </row>
    <row r="162" spans="4:17" s="75" customFormat="1" x14ac:dyDescent="0.2">
      <c r="D162" s="84"/>
      <c r="E162" s="74"/>
      <c r="F162" s="74"/>
      <c r="G162" s="176"/>
      <c r="H162" s="74"/>
      <c r="I162" s="74"/>
      <c r="J162" s="74"/>
      <c r="K162" s="74"/>
      <c r="L162" s="74"/>
      <c r="M162" s="74"/>
      <c r="N162" s="74"/>
      <c r="O162" s="74"/>
      <c r="P162" s="74"/>
      <c r="Q162" s="74"/>
    </row>
    <row r="163" spans="4:17" s="75" customFormat="1" x14ac:dyDescent="0.2">
      <c r="D163" s="84"/>
      <c r="E163" s="74"/>
      <c r="F163" s="74"/>
      <c r="G163" s="176"/>
      <c r="H163" s="74"/>
      <c r="I163" s="74"/>
      <c r="J163" s="74"/>
      <c r="K163" s="74"/>
      <c r="L163" s="74"/>
      <c r="M163" s="74"/>
      <c r="N163" s="74"/>
      <c r="O163" s="74"/>
      <c r="P163" s="74"/>
      <c r="Q163" s="74"/>
    </row>
    <row r="164" spans="4:17" s="75" customFormat="1" x14ac:dyDescent="0.2">
      <c r="D164" s="84"/>
      <c r="E164" s="74"/>
      <c r="F164" s="74"/>
      <c r="G164" s="176"/>
      <c r="H164" s="74"/>
      <c r="I164" s="74"/>
      <c r="J164" s="74"/>
      <c r="K164" s="74"/>
      <c r="L164" s="74"/>
      <c r="M164" s="74"/>
      <c r="N164" s="74"/>
      <c r="O164" s="74"/>
      <c r="P164" s="74"/>
      <c r="Q164" s="74"/>
    </row>
    <row r="165" spans="4:17" s="75" customFormat="1" x14ac:dyDescent="0.2">
      <c r="D165" s="84"/>
      <c r="E165" s="74"/>
      <c r="F165" s="74"/>
      <c r="G165" s="176"/>
      <c r="H165" s="74"/>
      <c r="I165" s="74"/>
      <c r="J165" s="74"/>
      <c r="K165" s="74"/>
      <c r="L165" s="74"/>
      <c r="M165" s="74"/>
      <c r="N165" s="74"/>
      <c r="O165" s="74"/>
      <c r="P165" s="74"/>
      <c r="Q165" s="74"/>
    </row>
    <row r="166" spans="4:17" s="75" customFormat="1" x14ac:dyDescent="0.2">
      <c r="D166" s="84"/>
      <c r="E166" s="74"/>
      <c r="F166" s="74"/>
      <c r="G166" s="176"/>
      <c r="H166" s="74"/>
      <c r="I166" s="74"/>
      <c r="J166" s="74"/>
      <c r="K166" s="74"/>
      <c r="L166" s="74"/>
      <c r="M166" s="74"/>
      <c r="N166" s="74"/>
      <c r="O166" s="74"/>
      <c r="P166" s="74"/>
      <c r="Q166" s="74"/>
    </row>
    <row r="167" spans="4:17" s="75" customFormat="1" x14ac:dyDescent="0.2">
      <c r="D167" s="84"/>
      <c r="E167" s="74"/>
      <c r="F167" s="74"/>
      <c r="G167" s="176"/>
      <c r="H167" s="74"/>
      <c r="I167" s="74"/>
      <c r="J167" s="74"/>
      <c r="K167" s="74"/>
      <c r="L167" s="74"/>
      <c r="M167" s="74"/>
      <c r="N167" s="74"/>
      <c r="O167" s="74"/>
      <c r="P167" s="74"/>
      <c r="Q167" s="74"/>
    </row>
    <row r="168" spans="4:17" s="75" customFormat="1" x14ac:dyDescent="0.2">
      <c r="D168" s="84"/>
      <c r="E168" s="74"/>
      <c r="F168" s="74"/>
      <c r="G168" s="176"/>
      <c r="H168" s="74"/>
      <c r="I168" s="74"/>
      <c r="J168" s="74"/>
      <c r="K168" s="74"/>
      <c r="L168" s="74"/>
      <c r="M168" s="74"/>
      <c r="N168" s="74"/>
      <c r="O168" s="74"/>
      <c r="P168" s="74"/>
      <c r="Q168" s="74"/>
    </row>
    <row r="169" spans="4:17" s="75" customFormat="1" x14ac:dyDescent="0.2">
      <c r="D169" s="84"/>
      <c r="E169" s="74"/>
      <c r="F169" s="74"/>
      <c r="G169" s="176"/>
      <c r="H169" s="74"/>
      <c r="I169" s="74"/>
      <c r="J169" s="74"/>
      <c r="K169" s="74"/>
      <c r="L169" s="74"/>
      <c r="M169" s="74"/>
      <c r="N169" s="74"/>
      <c r="O169" s="74"/>
      <c r="P169" s="74"/>
      <c r="Q169" s="74"/>
    </row>
    <row r="170" spans="4:17" s="75" customFormat="1" x14ac:dyDescent="0.2">
      <c r="D170" s="84"/>
      <c r="E170" s="74"/>
      <c r="F170" s="74"/>
      <c r="G170" s="176"/>
      <c r="H170" s="74"/>
      <c r="I170" s="74"/>
      <c r="J170" s="74"/>
      <c r="K170" s="74"/>
      <c r="L170" s="74"/>
      <c r="M170" s="74"/>
      <c r="N170" s="74"/>
      <c r="O170" s="74"/>
      <c r="P170" s="74"/>
      <c r="Q170" s="74"/>
    </row>
    <row r="171" spans="4:17" s="75" customFormat="1" x14ac:dyDescent="0.2">
      <c r="D171" s="84"/>
      <c r="E171" s="74"/>
      <c r="F171" s="74"/>
      <c r="G171" s="176"/>
      <c r="H171" s="74"/>
      <c r="I171" s="74"/>
      <c r="J171" s="74"/>
      <c r="K171" s="74"/>
      <c r="L171" s="74"/>
      <c r="M171" s="74"/>
      <c r="N171" s="74"/>
      <c r="O171" s="74"/>
      <c r="P171" s="74"/>
      <c r="Q171" s="74"/>
    </row>
    <row r="172" spans="4:17" s="75" customFormat="1" x14ac:dyDescent="0.2">
      <c r="D172" s="84"/>
      <c r="E172" s="74"/>
      <c r="F172" s="74"/>
      <c r="G172" s="176"/>
      <c r="H172" s="74"/>
      <c r="I172" s="74"/>
      <c r="J172" s="74"/>
      <c r="K172" s="74"/>
      <c r="L172" s="74"/>
      <c r="M172" s="74"/>
      <c r="N172" s="74"/>
      <c r="O172" s="74"/>
      <c r="P172" s="74"/>
      <c r="Q172" s="74"/>
    </row>
    <row r="173" spans="4:17" s="75" customFormat="1" x14ac:dyDescent="0.2">
      <c r="D173" s="84"/>
      <c r="E173" s="74"/>
      <c r="F173" s="74"/>
      <c r="G173" s="176"/>
      <c r="H173" s="74"/>
      <c r="I173" s="74"/>
      <c r="J173" s="74"/>
      <c r="K173" s="74"/>
      <c r="L173" s="74"/>
      <c r="M173" s="74"/>
      <c r="N173" s="74"/>
      <c r="O173" s="74"/>
      <c r="P173" s="74"/>
      <c r="Q173" s="74"/>
    </row>
    <row r="174" spans="4:17" s="75" customFormat="1" x14ac:dyDescent="0.2">
      <c r="D174" s="84"/>
      <c r="E174" s="74"/>
      <c r="F174" s="74"/>
      <c r="G174" s="176"/>
      <c r="H174" s="74"/>
      <c r="I174" s="74"/>
      <c r="J174" s="74"/>
      <c r="K174" s="74"/>
      <c r="L174" s="74"/>
      <c r="M174" s="74"/>
      <c r="N174" s="74"/>
      <c r="O174" s="74"/>
      <c r="P174" s="74"/>
      <c r="Q174" s="74"/>
    </row>
    <row r="175" spans="4:17" s="75" customFormat="1" x14ac:dyDescent="0.2">
      <c r="D175" s="84"/>
      <c r="E175" s="74"/>
      <c r="F175" s="74"/>
      <c r="G175" s="176"/>
      <c r="H175" s="74"/>
      <c r="I175" s="74"/>
      <c r="J175" s="74"/>
      <c r="K175" s="74"/>
      <c r="L175" s="74"/>
      <c r="M175" s="74"/>
      <c r="N175" s="74"/>
      <c r="O175" s="74"/>
      <c r="P175" s="74"/>
      <c r="Q175" s="74"/>
    </row>
    <row r="176" spans="4:17" s="75" customFormat="1" x14ac:dyDescent="0.2">
      <c r="D176" s="84"/>
      <c r="E176" s="74"/>
      <c r="F176" s="74"/>
      <c r="G176" s="176"/>
      <c r="H176" s="74"/>
      <c r="I176" s="74"/>
      <c r="J176" s="74"/>
      <c r="K176" s="74"/>
      <c r="L176" s="74"/>
      <c r="M176" s="74"/>
      <c r="N176" s="74"/>
      <c r="O176" s="74"/>
      <c r="P176" s="74"/>
      <c r="Q176" s="74"/>
    </row>
    <row r="177" spans="4:17" s="75" customFormat="1" x14ac:dyDescent="0.2">
      <c r="D177" s="84"/>
      <c r="E177" s="74"/>
      <c r="F177" s="74"/>
      <c r="G177" s="176"/>
      <c r="H177" s="74"/>
      <c r="I177" s="74"/>
      <c r="J177" s="74"/>
      <c r="K177" s="74"/>
      <c r="L177" s="74"/>
      <c r="M177" s="74"/>
      <c r="N177" s="74"/>
      <c r="O177" s="74"/>
      <c r="P177" s="74"/>
      <c r="Q177" s="74"/>
    </row>
    <row r="178" spans="4:17" s="75" customFormat="1" x14ac:dyDescent="0.2">
      <c r="D178" s="84"/>
      <c r="E178" s="74"/>
      <c r="F178" s="74"/>
      <c r="G178" s="176"/>
      <c r="H178" s="74"/>
      <c r="I178" s="74"/>
      <c r="J178" s="74"/>
      <c r="K178" s="74"/>
      <c r="L178" s="74"/>
      <c r="M178" s="74"/>
      <c r="N178" s="74"/>
      <c r="O178" s="74"/>
      <c r="P178" s="74"/>
      <c r="Q178" s="74"/>
    </row>
    <row r="179" spans="4:17" s="75" customFormat="1" x14ac:dyDescent="0.2">
      <c r="D179" s="84"/>
      <c r="E179" s="74"/>
      <c r="F179" s="74"/>
      <c r="G179" s="176"/>
      <c r="H179" s="74"/>
      <c r="I179" s="74"/>
      <c r="J179" s="74"/>
      <c r="K179" s="74"/>
      <c r="L179" s="74"/>
      <c r="M179" s="74"/>
      <c r="N179" s="74"/>
      <c r="O179" s="74"/>
      <c r="P179" s="74"/>
      <c r="Q179" s="74"/>
    </row>
    <row r="180" spans="4:17" s="75" customFormat="1" x14ac:dyDescent="0.2">
      <c r="D180" s="84"/>
      <c r="E180" s="74"/>
      <c r="F180" s="74"/>
      <c r="G180" s="176"/>
      <c r="H180" s="74"/>
      <c r="I180" s="74"/>
      <c r="J180" s="74"/>
      <c r="K180" s="74"/>
      <c r="L180" s="74"/>
      <c r="M180" s="74"/>
      <c r="N180" s="74"/>
      <c r="O180" s="74"/>
      <c r="P180" s="74"/>
      <c r="Q180" s="74"/>
    </row>
    <row r="181" spans="4:17" s="75" customFormat="1" x14ac:dyDescent="0.2">
      <c r="D181" s="84"/>
      <c r="E181" s="74"/>
      <c r="F181" s="74"/>
      <c r="G181" s="176"/>
      <c r="H181" s="74"/>
      <c r="I181" s="74"/>
      <c r="J181" s="74"/>
      <c r="K181" s="74"/>
      <c r="L181" s="74"/>
      <c r="M181" s="74"/>
      <c r="N181" s="74"/>
      <c r="O181" s="74"/>
      <c r="P181" s="74"/>
      <c r="Q181" s="74"/>
    </row>
    <row r="182" spans="4:17" s="75" customFormat="1" x14ac:dyDescent="0.2">
      <c r="D182" s="84"/>
      <c r="E182" s="74"/>
      <c r="F182" s="74"/>
      <c r="G182" s="176"/>
      <c r="H182" s="74"/>
      <c r="I182" s="74"/>
      <c r="J182" s="74"/>
      <c r="K182" s="74"/>
      <c r="L182" s="74"/>
      <c r="M182" s="74"/>
      <c r="N182" s="74"/>
      <c r="O182" s="74"/>
      <c r="P182" s="74"/>
      <c r="Q182" s="74"/>
    </row>
    <row r="183" spans="4:17" s="75" customFormat="1" x14ac:dyDescent="0.2">
      <c r="D183" s="84"/>
      <c r="E183" s="74"/>
      <c r="F183" s="74"/>
      <c r="G183" s="176"/>
      <c r="H183" s="74"/>
      <c r="I183" s="74"/>
      <c r="J183" s="74"/>
      <c r="K183" s="74"/>
      <c r="L183" s="74"/>
      <c r="M183" s="74"/>
      <c r="N183" s="74"/>
      <c r="O183" s="74"/>
      <c r="P183" s="74"/>
      <c r="Q183" s="74"/>
    </row>
    <row r="184" spans="4:17" s="75" customFormat="1" x14ac:dyDescent="0.2">
      <c r="D184" s="84"/>
      <c r="E184" s="74"/>
      <c r="F184" s="74"/>
      <c r="G184" s="176"/>
      <c r="H184" s="74"/>
      <c r="I184" s="74"/>
      <c r="J184" s="74"/>
      <c r="K184" s="74"/>
      <c r="L184" s="74"/>
      <c r="M184" s="74"/>
      <c r="N184" s="74"/>
      <c r="O184" s="74"/>
      <c r="P184" s="74"/>
      <c r="Q184" s="74"/>
    </row>
    <row r="185" spans="4:17" s="75" customFormat="1" x14ac:dyDescent="0.2">
      <c r="D185" s="84"/>
      <c r="E185" s="74"/>
      <c r="F185" s="74"/>
      <c r="G185" s="176"/>
      <c r="H185" s="74"/>
      <c r="I185" s="74"/>
      <c r="J185" s="74"/>
      <c r="K185" s="74"/>
      <c r="L185" s="74"/>
      <c r="M185" s="74"/>
      <c r="N185" s="74"/>
      <c r="O185" s="74"/>
      <c r="P185" s="74"/>
      <c r="Q185" s="74"/>
    </row>
    <row r="186" spans="4:17" s="75" customFormat="1" x14ac:dyDescent="0.2">
      <c r="D186" s="84"/>
      <c r="E186" s="74"/>
      <c r="F186" s="74"/>
      <c r="G186" s="176"/>
      <c r="H186" s="74"/>
      <c r="I186" s="74"/>
      <c r="J186" s="74"/>
      <c r="K186" s="74"/>
      <c r="L186" s="74"/>
      <c r="M186" s="74"/>
      <c r="N186" s="74"/>
      <c r="O186" s="74"/>
      <c r="P186" s="74"/>
      <c r="Q186" s="74"/>
    </row>
    <row r="187" spans="4:17" s="75" customFormat="1" x14ac:dyDescent="0.2">
      <c r="D187" s="84"/>
      <c r="E187" s="74"/>
      <c r="F187" s="74"/>
      <c r="G187" s="176"/>
      <c r="H187" s="74"/>
      <c r="I187" s="74"/>
      <c r="J187" s="74"/>
      <c r="K187" s="74"/>
      <c r="L187" s="74"/>
      <c r="M187" s="74"/>
      <c r="N187" s="74"/>
      <c r="O187" s="74"/>
      <c r="P187" s="74"/>
      <c r="Q187" s="74"/>
    </row>
    <row r="188" spans="4:17" s="75" customFormat="1" x14ac:dyDescent="0.2">
      <c r="D188" s="84"/>
      <c r="E188" s="74"/>
      <c r="F188" s="74"/>
      <c r="G188" s="176"/>
      <c r="H188" s="74"/>
      <c r="I188" s="74"/>
      <c r="J188" s="74"/>
      <c r="K188" s="74"/>
      <c r="L188" s="74"/>
      <c r="M188" s="74"/>
      <c r="N188" s="74"/>
      <c r="O188" s="74"/>
      <c r="P188" s="74"/>
      <c r="Q188" s="74"/>
    </row>
    <row r="189" spans="4:17" s="75" customFormat="1" x14ac:dyDescent="0.2">
      <c r="D189" s="84"/>
      <c r="E189" s="74"/>
      <c r="F189" s="74"/>
      <c r="G189" s="176"/>
      <c r="H189" s="74"/>
      <c r="I189" s="74"/>
      <c r="J189" s="74"/>
      <c r="K189" s="74"/>
      <c r="L189" s="74"/>
      <c r="M189" s="74"/>
      <c r="N189" s="74"/>
      <c r="O189" s="74"/>
      <c r="P189" s="74"/>
      <c r="Q189" s="74"/>
    </row>
    <row r="190" spans="4:17" s="75" customFormat="1" x14ac:dyDescent="0.2">
      <c r="D190" s="84"/>
      <c r="E190" s="74"/>
      <c r="F190" s="74"/>
      <c r="G190" s="176"/>
      <c r="H190" s="74"/>
      <c r="I190" s="74"/>
      <c r="J190" s="74"/>
      <c r="K190" s="74"/>
      <c r="L190" s="74"/>
      <c r="M190" s="74"/>
      <c r="N190" s="74"/>
      <c r="O190" s="74"/>
      <c r="P190" s="74"/>
      <c r="Q190" s="74"/>
    </row>
    <row r="191" spans="4:17" s="75" customFormat="1" x14ac:dyDescent="0.2">
      <c r="D191" s="84"/>
      <c r="E191" s="74"/>
      <c r="F191" s="74"/>
      <c r="G191" s="176"/>
      <c r="H191" s="74"/>
      <c r="I191" s="74"/>
      <c r="J191" s="74"/>
      <c r="K191" s="74"/>
      <c r="L191" s="74"/>
      <c r="M191" s="74"/>
      <c r="N191" s="74"/>
      <c r="O191" s="74"/>
      <c r="P191" s="74"/>
      <c r="Q191" s="74"/>
    </row>
    <row r="192" spans="4:17" s="75" customFormat="1" x14ac:dyDescent="0.2">
      <c r="D192" s="84"/>
      <c r="E192" s="74"/>
      <c r="F192" s="74"/>
      <c r="G192" s="176"/>
      <c r="H192" s="74"/>
      <c r="I192" s="74"/>
      <c r="J192" s="74"/>
      <c r="K192" s="74"/>
      <c r="L192" s="74"/>
      <c r="M192" s="74"/>
      <c r="N192" s="74"/>
      <c r="O192" s="74"/>
      <c r="P192" s="74"/>
      <c r="Q192" s="74"/>
    </row>
    <row r="193" spans="4:17" s="75" customFormat="1" x14ac:dyDescent="0.2">
      <c r="D193" s="84"/>
      <c r="E193" s="74"/>
      <c r="F193" s="74"/>
      <c r="G193" s="176"/>
      <c r="H193" s="74"/>
      <c r="I193" s="74"/>
      <c r="J193" s="74"/>
      <c r="K193" s="74"/>
      <c r="L193" s="74"/>
      <c r="M193" s="74"/>
      <c r="N193" s="74"/>
      <c r="O193" s="74"/>
      <c r="P193" s="74"/>
      <c r="Q193" s="74"/>
    </row>
    <row r="194" spans="4:17" s="75" customFormat="1" x14ac:dyDescent="0.2">
      <c r="D194" s="84"/>
      <c r="E194" s="74"/>
      <c r="F194" s="74"/>
      <c r="G194" s="176"/>
      <c r="H194" s="74"/>
      <c r="I194" s="74"/>
      <c r="J194" s="74"/>
      <c r="K194" s="74"/>
      <c r="L194" s="74"/>
      <c r="M194" s="74"/>
      <c r="N194" s="74"/>
      <c r="O194" s="74"/>
      <c r="P194" s="74"/>
      <c r="Q194" s="74"/>
    </row>
    <row r="195" spans="4:17" s="75" customFormat="1" x14ac:dyDescent="0.2">
      <c r="D195" s="84"/>
      <c r="E195" s="74"/>
      <c r="F195" s="74"/>
      <c r="G195" s="176"/>
      <c r="H195" s="74"/>
      <c r="I195" s="74"/>
      <c r="J195" s="74"/>
      <c r="K195" s="74"/>
      <c r="L195" s="74"/>
      <c r="M195" s="74"/>
      <c r="N195" s="74"/>
      <c r="O195" s="74"/>
      <c r="P195" s="74"/>
      <c r="Q195" s="74"/>
    </row>
    <row r="196" spans="4:17" s="75" customFormat="1" x14ac:dyDescent="0.2">
      <c r="D196" s="84"/>
      <c r="E196" s="74"/>
      <c r="F196" s="74"/>
      <c r="G196" s="176"/>
      <c r="H196" s="74"/>
      <c r="I196" s="74"/>
      <c r="J196" s="74"/>
      <c r="K196" s="74"/>
      <c r="L196" s="74"/>
      <c r="M196" s="74"/>
      <c r="N196" s="74"/>
      <c r="O196" s="74"/>
      <c r="P196" s="74"/>
      <c r="Q196" s="74"/>
    </row>
    <row r="197" spans="4:17" s="75" customFormat="1" x14ac:dyDescent="0.2">
      <c r="D197" s="84"/>
      <c r="E197" s="74"/>
      <c r="F197" s="74"/>
      <c r="G197" s="176"/>
      <c r="H197" s="74"/>
      <c r="I197" s="74"/>
      <c r="J197" s="74"/>
      <c r="K197" s="74"/>
      <c r="L197" s="74"/>
      <c r="M197" s="74"/>
      <c r="N197" s="74"/>
      <c r="O197" s="74"/>
      <c r="P197" s="74"/>
      <c r="Q197" s="74"/>
    </row>
    <row r="198" spans="4:17" s="75" customFormat="1" x14ac:dyDescent="0.2">
      <c r="D198" s="84"/>
      <c r="E198" s="74"/>
      <c r="F198" s="74"/>
      <c r="G198" s="176"/>
      <c r="H198" s="74"/>
      <c r="I198" s="74"/>
      <c r="J198" s="74"/>
      <c r="K198" s="74"/>
      <c r="L198" s="74"/>
      <c r="M198" s="74"/>
      <c r="N198" s="74"/>
      <c r="O198" s="74"/>
      <c r="P198" s="74"/>
      <c r="Q198" s="74"/>
    </row>
    <row r="199" spans="4:17" s="75" customFormat="1" x14ac:dyDescent="0.2">
      <c r="D199" s="84"/>
      <c r="E199" s="74"/>
      <c r="F199" s="74"/>
      <c r="G199" s="176"/>
      <c r="H199" s="74"/>
      <c r="I199" s="74"/>
      <c r="J199" s="74"/>
      <c r="K199" s="74"/>
      <c r="L199" s="74"/>
      <c r="M199" s="74"/>
      <c r="N199" s="74"/>
      <c r="O199" s="74"/>
      <c r="P199" s="74"/>
      <c r="Q199" s="74"/>
    </row>
    <row r="200" spans="4:17" s="75" customFormat="1" x14ac:dyDescent="0.2">
      <c r="D200" s="84"/>
      <c r="E200" s="74"/>
      <c r="F200" s="74"/>
      <c r="G200" s="176"/>
      <c r="H200" s="74"/>
      <c r="I200" s="74"/>
      <c r="J200" s="74"/>
      <c r="K200" s="74"/>
      <c r="L200" s="74"/>
      <c r="M200" s="74"/>
      <c r="N200" s="74"/>
      <c r="O200" s="74"/>
      <c r="P200" s="74"/>
      <c r="Q200" s="74"/>
    </row>
    <row r="201" spans="4:17" s="75" customFormat="1" x14ac:dyDescent="0.2">
      <c r="D201" s="84"/>
      <c r="E201" s="74"/>
      <c r="F201" s="74"/>
      <c r="G201" s="176"/>
      <c r="H201" s="74"/>
      <c r="I201" s="74"/>
      <c r="J201" s="74"/>
      <c r="K201" s="74"/>
      <c r="L201" s="74"/>
      <c r="M201" s="74"/>
      <c r="N201" s="74"/>
      <c r="O201" s="74"/>
      <c r="P201" s="74"/>
      <c r="Q201" s="74"/>
    </row>
    <row r="202" spans="4:17" s="75" customFormat="1" x14ac:dyDescent="0.2">
      <c r="D202" s="84"/>
      <c r="E202" s="74"/>
      <c r="F202" s="74"/>
      <c r="G202" s="176"/>
      <c r="H202" s="74"/>
      <c r="I202" s="74"/>
      <c r="J202" s="74"/>
      <c r="K202" s="74"/>
      <c r="L202" s="74"/>
      <c r="M202" s="74"/>
      <c r="N202" s="74"/>
      <c r="O202" s="74"/>
      <c r="P202" s="74"/>
      <c r="Q202" s="74"/>
    </row>
    <row r="203" spans="4:17" s="75" customFormat="1" x14ac:dyDescent="0.2">
      <c r="D203" s="84"/>
      <c r="E203" s="74"/>
      <c r="F203" s="74"/>
      <c r="G203" s="176"/>
      <c r="H203" s="74"/>
      <c r="I203" s="74"/>
      <c r="J203" s="74"/>
      <c r="K203" s="74"/>
      <c r="L203" s="74"/>
      <c r="M203" s="74"/>
      <c r="N203" s="74"/>
      <c r="O203" s="74"/>
      <c r="P203" s="74"/>
      <c r="Q203" s="74"/>
    </row>
    <row r="204" spans="4:17" s="75" customFormat="1" x14ac:dyDescent="0.2">
      <c r="D204" s="84"/>
      <c r="E204" s="74"/>
      <c r="F204" s="74"/>
      <c r="G204" s="176"/>
      <c r="H204" s="74"/>
      <c r="I204" s="74"/>
      <c r="J204" s="74"/>
      <c r="K204" s="74"/>
      <c r="L204" s="74"/>
      <c r="M204" s="74"/>
      <c r="N204" s="74"/>
      <c r="O204" s="74"/>
      <c r="P204" s="74"/>
      <c r="Q204" s="74"/>
    </row>
    <row r="205" spans="4:17" s="75" customFormat="1" x14ac:dyDescent="0.2">
      <c r="D205" s="84"/>
      <c r="E205" s="74"/>
      <c r="F205" s="74"/>
      <c r="G205" s="176"/>
      <c r="H205" s="74"/>
      <c r="I205" s="74"/>
      <c r="J205" s="74"/>
      <c r="K205" s="74"/>
      <c r="L205" s="74"/>
      <c r="M205" s="74"/>
      <c r="N205" s="74"/>
      <c r="O205" s="74"/>
      <c r="P205" s="74"/>
      <c r="Q205" s="74"/>
    </row>
    <row r="206" spans="4:17" s="75" customFormat="1" x14ac:dyDescent="0.2">
      <c r="D206" s="84"/>
      <c r="E206" s="74"/>
      <c r="F206" s="74"/>
      <c r="G206" s="176"/>
      <c r="H206" s="74"/>
      <c r="I206" s="74"/>
      <c r="J206" s="74"/>
      <c r="K206" s="74"/>
      <c r="L206" s="74"/>
      <c r="M206" s="74"/>
      <c r="N206" s="74"/>
      <c r="O206" s="74"/>
      <c r="P206" s="74"/>
      <c r="Q206" s="74"/>
    </row>
    <row r="207" spans="4:17" s="75" customFormat="1" x14ac:dyDescent="0.2">
      <c r="D207" s="84"/>
      <c r="E207" s="74"/>
      <c r="F207" s="74"/>
      <c r="G207" s="176"/>
      <c r="H207" s="74"/>
      <c r="I207" s="74"/>
      <c r="J207" s="74"/>
      <c r="K207" s="74"/>
      <c r="L207" s="74"/>
      <c r="M207" s="74"/>
      <c r="N207" s="74"/>
      <c r="O207" s="74"/>
      <c r="P207" s="74"/>
      <c r="Q207" s="74"/>
    </row>
    <row r="208" spans="4:17" s="75" customFormat="1" x14ac:dyDescent="0.2">
      <c r="D208" s="84"/>
      <c r="E208" s="74"/>
      <c r="F208" s="74"/>
      <c r="G208" s="176"/>
      <c r="H208" s="74"/>
      <c r="I208" s="74"/>
      <c r="J208" s="74"/>
      <c r="K208" s="74"/>
      <c r="L208" s="74"/>
      <c r="M208" s="74"/>
      <c r="N208" s="74"/>
      <c r="O208" s="74"/>
      <c r="P208" s="74"/>
      <c r="Q208" s="74"/>
    </row>
    <row r="209" spans="4:17" s="75" customFormat="1" x14ac:dyDescent="0.2">
      <c r="D209" s="84"/>
      <c r="E209" s="74"/>
      <c r="F209" s="74"/>
      <c r="G209" s="176"/>
      <c r="H209" s="74"/>
      <c r="I209" s="74"/>
      <c r="J209" s="74"/>
      <c r="K209" s="74"/>
      <c r="L209" s="74"/>
      <c r="M209" s="74"/>
      <c r="N209" s="74"/>
      <c r="O209" s="74"/>
      <c r="P209" s="74"/>
      <c r="Q209" s="74"/>
    </row>
    <row r="210" spans="4:17" s="75" customFormat="1" x14ac:dyDescent="0.2">
      <c r="D210" s="84"/>
      <c r="E210" s="74"/>
      <c r="F210" s="74"/>
      <c r="G210" s="176"/>
      <c r="H210" s="74"/>
      <c r="I210" s="74"/>
      <c r="J210" s="74"/>
      <c r="K210" s="74"/>
      <c r="L210" s="74"/>
      <c r="M210" s="74"/>
      <c r="N210" s="74"/>
      <c r="O210" s="74"/>
      <c r="P210" s="74"/>
      <c r="Q210" s="74"/>
    </row>
    <row r="211" spans="4:17" s="75" customFormat="1" x14ac:dyDescent="0.2">
      <c r="D211" s="84"/>
      <c r="E211" s="74"/>
      <c r="F211" s="74"/>
      <c r="G211" s="176"/>
      <c r="H211" s="74"/>
      <c r="I211" s="74"/>
      <c r="J211" s="74"/>
      <c r="K211" s="74"/>
      <c r="L211" s="74"/>
      <c r="M211" s="74"/>
      <c r="N211" s="74"/>
      <c r="O211" s="74"/>
      <c r="P211" s="74"/>
      <c r="Q211" s="74"/>
    </row>
    <row r="212" spans="4:17" s="75" customFormat="1" x14ac:dyDescent="0.2">
      <c r="D212" s="84"/>
      <c r="E212" s="74"/>
      <c r="F212" s="74"/>
      <c r="G212" s="176"/>
      <c r="H212" s="74"/>
      <c r="I212" s="74"/>
      <c r="J212" s="74"/>
      <c r="K212" s="74"/>
      <c r="L212" s="74"/>
      <c r="M212" s="74"/>
      <c r="N212" s="74"/>
      <c r="O212" s="74"/>
      <c r="P212" s="74"/>
      <c r="Q212" s="74"/>
    </row>
    <row r="213" spans="4:17" s="75" customFormat="1" x14ac:dyDescent="0.2">
      <c r="D213" s="84"/>
      <c r="E213" s="74"/>
      <c r="F213" s="74"/>
      <c r="G213" s="176"/>
      <c r="H213" s="74"/>
      <c r="I213" s="74"/>
      <c r="J213" s="74"/>
      <c r="K213" s="74"/>
      <c r="L213" s="74"/>
      <c r="M213" s="74"/>
      <c r="N213" s="74"/>
      <c r="O213" s="74"/>
      <c r="P213" s="74"/>
      <c r="Q213" s="74"/>
    </row>
    <row r="214" spans="4:17" s="75" customFormat="1" x14ac:dyDescent="0.2">
      <c r="D214" s="84"/>
      <c r="E214" s="74"/>
      <c r="F214" s="74"/>
      <c r="G214" s="176"/>
      <c r="H214" s="74"/>
      <c r="I214" s="74"/>
      <c r="J214" s="74"/>
      <c r="K214" s="74"/>
      <c r="L214" s="74"/>
      <c r="M214" s="74"/>
      <c r="N214" s="74"/>
      <c r="O214" s="74"/>
      <c r="P214" s="74"/>
      <c r="Q214" s="74"/>
    </row>
    <row r="215" spans="4:17" s="75" customFormat="1" x14ac:dyDescent="0.2">
      <c r="D215" s="84"/>
      <c r="E215" s="74"/>
      <c r="F215" s="74"/>
      <c r="G215" s="176"/>
      <c r="H215" s="74"/>
      <c r="I215" s="74"/>
      <c r="J215" s="74"/>
      <c r="K215" s="74"/>
      <c r="L215" s="74"/>
      <c r="M215" s="74"/>
      <c r="N215" s="74"/>
      <c r="O215" s="74"/>
      <c r="P215" s="74"/>
      <c r="Q215" s="74"/>
    </row>
    <row r="216" spans="4:17" s="75" customFormat="1" x14ac:dyDescent="0.2">
      <c r="D216" s="84"/>
      <c r="E216" s="74"/>
      <c r="F216" s="74"/>
      <c r="G216" s="176"/>
      <c r="H216" s="74"/>
      <c r="I216" s="74"/>
      <c r="J216" s="74"/>
      <c r="K216" s="74"/>
      <c r="L216" s="74"/>
      <c r="M216" s="74"/>
      <c r="N216" s="74"/>
      <c r="O216" s="74"/>
      <c r="P216" s="74"/>
      <c r="Q216" s="74"/>
    </row>
    <row r="217" spans="4:17" s="75" customFormat="1" x14ac:dyDescent="0.2">
      <c r="D217" s="84"/>
      <c r="E217" s="74"/>
      <c r="F217" s="74"/>
      <c r="G217" s="176"/>
      <c r="H217" s="74"/>
      <c r="I217" s="74"/>
      <c r="J217" s="74"/>
      <c r="K217" s="74"/>
      <c r="L217" s="74"/>
      <c r="M217" s="74"/>
      <c r="N217" s="74"/>
      <c r="O217" s="74"/>
      <c r="P217" s="74"/>
      <c r="Q217" s="74"/>
    </row>
    <row r="218" spans="4:17" s="75" customFormat="1" x14ac:dyDescent="0.2">
      <c r="D218" s="84"/>
      <c r="E218" s="74"/>
      <c r="F218" s="74"/>
      <c r="G218" s="176"/>
      <c r="H218" s="74"/>
      <c r="I218" s="74"/>
      <c r="J218" s="74"/>
      <c r="K218" s="74"/>
      <c r="L218" s="74"/>
      <c r="M218" s="74"/>
      <c r="N218" s="74"/>
      <c r="O218" s="74"/>
      <c r="P218" s="74"/>
      <c r="Q218" s="74"/>
    </row>
    <row r="219" spans="4:17" s="75" customFormat="1" x14ac:dyDescent="0.2">
      <c r="D219" s="84"/>
      <c r="E219" s="74"/>
      <c r="F219" s="74"/>
      <c r="G219" s="176"/>
      <c r="H219" s="74"/>
      <c r="I219" s="74"/>
      <c r="J219" s="74"/>
      <c r="K219" s="74"/>
      <c r="L219" s="74"/>
      <c r="M219" s="74"/>
      <c r="N219" s="74"/>
      <c r="O219" s="74"/>
      <c r="P219" s="74"/>
      <c r="Q219" s="74"/>
    </row>
    <row r="220" spans="4:17" s="75" customFormat="1" x14ac:dyDescent="0.2">
      <c r="D220" s="84"/>
      <c r="E220" s="74"/>
      <c r="F220" s="74"/>
      <c r="G220" s="176"/>
      <c r="H220" s="74"/>
      <c r="I220" s="74"/>
      <c r="J220" s="74"/>
      <c r="K220" s="74"/>
      <c r="L220" s="74"/>
      <c r="M220" s="74"/>
      <c r="N220" s="74"/>
      <c r="O220" s="74"/>
      <c r="P220" s="74"/>
      <c r="Q220" s="74"/>
    </row>
    <row r="221" spans="4:17" s="75" customFormat="1" x14ac:dyDescent="0.2">
      <c r="D221" s="84"/>
      <c r="E221" s="74"/>
      <c r="F221" s="74"/>
      <c r="G221" s="176"/>
      <c r="H221" s="74"/>
      <c r="I221" s="74"/>
      <c r="J221" s="74"/>
      <c r="K221" s="74"/>
      <c r="L221" s="74"/>
      <c r="M221" s="74"/>
      <c r="N221" s="74"/>
      <c r="O221" s="74"/>
      <c r="P221" s="74"/>
      <c r="Q221" s="74"/>
    </row>
    <row r="222" spans="4:17" s="75" customFormat="1" x14ac:dyDescent="0.2">
      <c r="D222" s="84"/>
      <c r="E222" s="74"/>
      <c r="F222" s="74"/>
      <c r="G222" s="176"/>
      <c r="H222" s="74"/>
      <c r="I222" s="74"/>
      <c r="J222" s="74"/>
      <c r="K222" s="74"/>
      <c r="L222" s="74"/>
      <c r="M222" s="74"/>
      <c r="N222" s="74"/>
      <c r="O222" s="74"/>
      <c r="P222" s="74"/>
      <c r="Q222" s="74"/>
    </row>
    <row r="223" spans="4:17" s="75" customFormat="1" x14ac:dyDescent="0.2">
      <c r="D223" s="84"/>
      <c r="E223" s="74"/>
      <c r="F223" s="74"/>
      <c r="G223" s="176"/>
      <c r="H223" s="74"/>
      <c r="I223" s="74"/>
      <c r="J223" s="74"/>
      <c r="K223" s="74"/>
      <c r="L223" s="74"/>
      <c r="M223" s="74"/>
      <c r="N223" s="74"/>
      <c r="O223" s="74"/>
      <c r="P223" s="74"/>
      <c r="Q223" s="74"/>
    </row>
    <row r="224" spans="4:17" s="75" customFormat="1" x14ac:dyDescent="0.2">
      <c r="D224" s="84"/>
      <c r="E224" s="74"/>
      <c r="F224" s="74"/>
      <c r="G224" s="176"/>
      <c r="H224" s="74"/>
      <c r="I224" s="74"/>
      <c r="J224" s="74"/>
      <c r="K224" s="74"/>
      <c r="L224" s="74"/>
      <c r="M224" s="74"/>
      <c r="N224" s="74"/>
      <c r="O224" s="74"/>
      <c r="P224" s="74"/>
      <c r="Q224" s="74"/>
    </row>
    <row r="225" spans="4:17" s="75" customFormat="1" x14ac:dyDescent="0.2">
      <c r="D225" s="84"/>
      <c r="E225" s="74"/>
      <c r="F225" s="74"/>
      <c r="G225" s="176"/>
      <c r="H225" s="74"/>
      <c r="I225" s="74"/>
      <c r="J225" s="74"/>
      <c r="K225" s="74"/>
      <c r="L225" s="74"/>
      <c r="M225" s="74"/>
      <c r="N225" s="74"/>
      <c r="O225" s="74"/>
      <c r="P225" s="74"/>
      <c r="Q225" s="74"/>
    </row>
    <row r="226" spans="4:17" s="75" customFormat="1" x14ac:dyDescent="0.2">
      <c r="D226" s="84"/>
      <c r="E226" s="74"/>
      <c r="F226" s="74"/>
      <c r="G226" s="176"/>
      <c r="H226" s="74"/>
      <c r="I226" s="74"/>
      <c r="J226" s="74"/>
      <c r="K226" s="74"/>
      <c r="L226" s="74"/>
      <c r="M226" s="74"/>
      <c r="N226" s="74"/>
      <c r="O226" s="74"/>
      <c r="P226" s="74"/>
      <c r="Q226" s="74"/>
    </row>
    <row r="227" spans="4:17" s="75" customFormat="1" x14ac:dyDescent="0.2">
      <c r="D227" s="84"/>
      <c r="E227" s="74"/>
      <c r="F227" s="74"/>
      <c r="G227" s="176"/>
      <c r="H227" s="74"/>
      <c r="I227" s="74"/>
      <c r="J227" s="74"/>
      <c r="K227" s="74"/>
      <c r="L227" s="74"/>
      <c r="M227" s="74"/>
      <c r="N227" s="74"/>
      <c r="O227" s="74"/>
      <c r="P227" s="74"/>
      <c r="Q227" s="74"/>
    </row>
    <row r="228" spans="4:17" s="75" customFormat="1" x14ac:dyDescent="0.2">
      <c r="D228" s="84"/>
      <c r="E228" s="74"/>
      <c r="F228" s="74"/>
      <c r="G228" s="176"/>
      <c r="H228" s="74"/>
      <c r="I228" s="74"/>
      <c r="J228" s="74"/>
      <c r="K228" s="74"/>
      <c r="L228" s="74"/>
      <c r="M228" s="74"/>
      <c r="N228" s="74"/>
      <c r="O228" s="74"/>
      <c r="P228" s="74"/>
      <c r="Q228" s="74"/>
    </row>
    <row r="229" spans="4:17" s="75" customFormat="1" x14ac:dyDescent="0.2">
      <c r="D229" s="84"/>
      <c r="E229" s="74"/>
      <c r="F229" s="74"/>
      <c r="G229" s="176"/>
      <c r="H229" s="74"/>
      <c r="I229" s="74"/>
      <c r="J229" s="74"/>
      <c r="K229" s="74"/>
      <c r="L229" s="74"/>
      <c r="M229" s="74"/>
      <c r="N229" s="74"/>
      <c r="O229" s="74"/>
      <c r="P229" s="74"/>
      <c r="Q229" s="74"/>
    </row>
    <row r="230" spans="4:17" s="75" customFormat="1" x14ac:dyDescent="0.2">
      <c r="D230" s="84"/>
      <c r="E230" s="74"/>
      <c r="F230" s="74"/>
      <c r="G230" s="176"/>
      <c r="H230" s="74"/>
      <c r="I230" s="74"/>
      <c r="J230" s="74"/>
      <c r="K230" s="74"/>
      <c r="L230" s="74"/>
      <c r="M230" s="74"/>
      <c r="N230" s="74"/>
      <c r="O230" s="74"/>
      <c r="P230" s="74"/>
      <c r="Q230" s="74"/>
    </row>
    <row r="231" spans="4:17" s="75" customFormat="1" x14ac:dyDescent="0.2">
      <c r="D231" s="84"/>
      <c r="E231" s="74"/>
      <c r="F231" s="74"/>
      <c r="G231" s="176"/>
      <c r="H231" s="74"/>
      <c r="I231" s="74"/>
      <c r="J231" s="74"/>
      <c r="K231" s="74"/>
      <c r="L231" s="74"/>
      <c r="M231" s="74"/>
      <c r="N231" s="74"/>
      <c r="O231" s="74"/>
      <c r="P231" s="74"/>
      <c r="Q231" s="74"/>
    </row>
    <row r="232" spans="4:17" s="75" customFormat="1" x14ac:dyDescent="0.2">
      <c r="D232" s="84"/>
      <c r="E232" s="74"/>
      <c r="F232" s="74"/>
      <c r="G232" s="176"/>
      <c r="H232" s="74"/>
      <c r="I232" s="74"/>
      <c r="J232" s="74"/>
      <c r="K232" s="74"/>
      <c r="L232" s="74"/>
      <c r="M232" s="74"/>
      <c r="N232" s="74"/>
      <c r="O232" s="74"/>
      <c r="P232" s="74"/>
      <c r="Q232" s="74"/>
    </row>
    <row r="233" spans="4:17" s="75" customFormat="1" x14ac:dyDescent="0.2">
      <c r="D233" s="84"/>
      <c r="E233" s="74"/>
      <c r="F233" s="74"/>
      <c r="G233" s="176"/>
      <c r="H233" s="74"/>
      <c r="I233" s="74"/>
      <c r="J233" s="74"/>
      <c r="K233" s="74"/>
      <c r="L233" s="74"/>
      <c r="M233" s="74"/>
      <c r="N233" s="74"/>
      <c r="O233" s="74"/>
      <c r="P233" s="74"/>
      <c r="Q233" s="74"/>
    </row>
    <row r="234" spans="4:17" s="75" customFormat="1" x14ac:dyDescent="0.2">
      <c r="D234" s="84"/>
      <c r="E234" s="74"/>
      <c r="F234" s="74"/>
      <c r="G234" s="176"/>
      <c r="H234" s="74"/>
      <c r="I234" s="74"/>
      <c r="J234" s="74"/>
      <c r="K234" s="74"/>
      <c r="L234" s="74"/>
      <c r="M234" s="74"/>
      <c r="N234" s="74"/>
      <c r="O234" s="74"/>
      <c r="P234" s="74"/>
      <c r="Q234" s="74"/>
    </row>
    <row r="235" spans="4:17" s="75" customFormat="1" x14ac:dyDescent="0.2">
      <c r="D235" s="84"/>
      <c r="E235" s="74"/>
      <c r="F235" s="74"/>
      <c r="G235" s="176"/>
      <c r="H235" s="74"/>
      <c r="I235" s="74"/>
      <c r="J235" s="74"/>
      <c r="K235" s="74"/>
      <c r="L235" s="74"/>
      <c r="M235" s="74"/>
      <c r="N235" s="74"/>
      <c r="O235" s="74"/>
      <c r="P235" s="74"/>
      <c r="Q235" s="74"/>
    </row>
    <row r="236" spans="4:17" s="75" customFormat="1" x14ac:dyDescent="0.2">
      <c r="D236" s="84"/>
      <c r="E236" s="74"/>
      <c r="F236" s="74"/>
      <c r="G236" s="176"/>
      <c r="H236" s="74"/>
      <c r="I236" s="74"/>
      <c r="J236" s="74"/>
      <c r="K236" s="74"/>
      <c r="L236" s="74"/>
      <c r="M236" s="74"/>
      <c r="N236" s="74"/>
      <c r="O236" s="74"/>
      <c r="P236" s="74"/>
      <c r="Q236" s="74"/>
    </row>
    <row r="237" spans="4:17" s="75" customFormat="1" x14ac:dyDescent="0.2">
      <c r="D237" s="84"/>
      <c r="E237" s="74"/>
      <c r="F237" s="74"/>
      <c r="G237" s="176"/>
      <c r="H237" s="74"/>
      <c r="I237" s="74"/>
      <c r="J237" s="74"/>
      <c r="K237" s="74"/>
      <c r="L237" s="74"/>
      <c r="M237" s="74"/>
      <c r="N237" s="74"/>
      <c r="O237" s="74"/>
      <c r="P237" s="74"/>
      <c r="Q237" s="74"/>
    </row>
    <row r="238" spans="4:17" s="75" customFormat="1" x14ac:dyDescent="0.2">
      <c r="D238" s="84"/>
      <c r="E238" s="74"/>
      <c r="F238" s="74"/>
      <c r="G238" s="176"/>
      <c r="H238" s="74"/>
      <c r="I238" s="74"/>
      <c r="J238" s="74"/>
      <c r="K238" s="74"/>
      <c r="L238" s="74"/>
      <c r="M238" s="74"/>
      <c r="N238" s="74"/>
      <c r="O238" s="74"/>
      <c r="P238" s="74"/>
      <c r="Q238" s="74"/>
    </row>
    <row r="239" spans="4:17" s="75" customFormat="1" x14ac:dyDescent="0.2">
      <c r="D239" s="84"/>
      <c r="E239" s="74"/>
      <c r="F239" s="74"/>
      <c r="G239" s="176"/>
      <c r="H239" s="74"/>
      <c r="I239" s="74"/>
      <c r="J239" s="74"/>
      <c r="K239" s="74"/>
      <c r="L239" s="74"/>
      <c r="M239" s="74"/>
      <c r="N239" s="74"/>
      <c r="O239" s="74"/>
      <c r="P239" s="74"/>
      <c r="Q239" s="74"/>
    </row>
    <row r="240" spans="4:17" s="75" customFormat="1" x14ac:dyDescent="0.2">
      <c r="D240" s="84"/>
      <c r="E240" s="74"/>
      <c r="F240" s="74"/>
      <c r="G240" s="176"/>
      <c r="H240" s="74"/>
      <c r="I240" s="74"/>
      <c r="J240" s="74"/>
      <c r="K240" s="74"/>
      <c r="L240" s="74"/>
      <c r="M240" s="74"/>
      <c r="N240" s="74"/>
      <c r="O240" s="74"/>
      <c r="P240" s="74"/>
      <c r="Q240" s="74"/>
    </row>
    <row r="241" spans="4:17" s="75" customFormat="1" x14ac:dyDescent="0.2">
      <c r="D241" s="84"/>
      <c r="E241" s="74"/>
      <c r="F241" s="74"/>
      <c r="G241" s="176"/>
      <c r="H241" s="74"/>
      <c r="I241" s="74"/>
      <c r="J241" s="74"/>
      <c r="K241" s="74"/>
      <c r="L241" s="74"/>
      <c r="M241" s="74"/>
      <c r="N241" s="74"/>
      <c r="O241" s="74"/>
      <c r="P241" s="74"/>
      <c r="Q241" s="74"/>
    </row>
    <row r="242" spans="4:17" s="75" customFormat="1" x14ac:dyDescent="0.2">
      <c r="D242" s="84"/>
      <c r="E242" s="74"/>
      <c r="F242" s="74"/>
      <c r="G242" s="176"/>
      <c r="H242" s="74"/>
      <c r="I242" s="74"/>
      <c r="J242" s="74"/>
      <c r="K242" s="74"/>
      <c r="L242" s="74"/>
      <c r="M242" s="74"/>
      <c r="N242" s="74"/>
      <c r="O242" s="74"/>
      <c r="P242" s="74"/>
      <c r="Q242" s="74"/>
    </row>
    <row r="243" spans="4:17" s="75" customFormat="1" x14ac:dyDescent="0.2">
      <c r="D243" s="84"/>
      <c r="E243" s="74"/>
      <c r="F243" s="74"/>
      <c r="G243" s="176"/>
      <c r="H243" s="74"/>
      <c r="I243" s="74"/>
      <c r="J243" s="74"/>
      <c r="K243" s="74"/>
      <c r="L243" s="74"/>
      <c r="M243" s="74"/>
      <c r="N243" s="74"/>
      <c r="O243" s="74"/>
      <c r="P243" s="74"/>
      <c r="Q243" s="74"/>
    </row>
    <row r="244" spans="4:17" s="75" customFormat="1" x14ac:dyDescent="0.2">
      <c r="D244" s="84"/>
      <c r="E244" s="74"/>
      <c r="F244" s="74"/>
      <c r="G244" s="176"/>
      <c r="H244" s="74"/>
      <c r="I244" s="74"/>
      <c r="J244" s="74"/>
      <c r="K244" s="74"/>
      <c r="L244" s="74"/>
      <c r="M244" s="74"/>
      <c r="N244" s="74"/>
      <c r="O244" s="74"/>
      <c r="P244" s="74"/>
      <c r="Q244" s="74"/>
    </row>
    <row r="245" spans="4:17" s="75" customFormat="1" x14ac:dyDescent="0.2">
      <c r="D245" s="84"/>
      <c r="E245" s="74"/>
      <c r="F245" s="74"/>
      <c r="G245" s="176"/>
      <c r="H245" s="74"/>
      <c r="I245" s="74"/>
      <c r="J245" s="74"/>
      <c r="K245" s="74"/>
      <c r="L245" s="74"/>
      <c r="M245" s="74"/>
      <c r="N245" s="74"/>
      <c r="O245" s="74"/>
      <c r="P245" s="74"/>
      <c r="Q245" s="74"/>
    </row>
    <row r="246" spans="4:17" s="75" customFormat="1" x14ac:dyDescent="0.2">
      <c r="D246" s="84"/>
      <c r="E246" s="74"/>
      <c r="F246" s="74"/>
      <c r="G246" s="176"/>
      <c r="H246" s="74"/>
      <c r="I246" s="74"/>
      <c r="J246" s="74"/>
      <c r="K246" s="74"/>
      <c r="L246" s="74"/>
      <c r="M246" s="74"/>
      <c r="N246" s="74"/>
      <c r="O246" s="74"/>
      <c r="P246" s="74"/>
      <c r="Q246" s="74"/>
    </row>
    <row r="247" spans="4:17" s="75" customFormat="1" x14ac:dyDescent="0.2">
      <c r="D247" s="84"/>
      <c r="E247" s="74"/>
      <c r="F247" s="74"/>
      <c r="G247" s="176"/>
      <c r="H247" s="74"/>
      <c r="I247" s="74"/>
      <c r="J247" s="74"/>
      <c r="K247" s="74"/>
      <c r="L247" s="74"/>
      <c r="M247" s="74"/>
      <c r="N247" s="74"/>
      <c r="O247" s="74"/>
      <c r="P247" s="74"/>
      <c r="Q247" s="74"/>
    </row>
    <row r="248" spans="4:17" s="75" customFormat="1" x14ac:dyDescent="0.2">
      <c r="D248" s="84"/>
      <c r="E248" s="74"/>
      <c r="F248" s="74"/>
      <c r="G248" s="176"/>
      <c r="H248" s="74"/>
      <c r="I248" s="74"/>
      <c r="J248" s="74"/>
      <c r="K248" s="74"/>
      <c r="L248" s="74"/>
      <c r="M248" s="74"/>
      <c r="N248" s="74"/>
      <c r="O248" s="74"/>
      <c r="P248" s="74"/>
      <c r="Q248" s="74"/>
    </row>
    <row r="249" spans="4:17" s="75" customFormat="1" x14ac:dyDescent="0.2">
      <c r="D249" s="84"/>
      <c r="E249" s="74"/>
      <c r="F249" s="74"/>
      <c r="G249" s="176"/>
      <c r="H249" s="74"/>
      <c r="I249" s="74"/>
      <c r="J249" s="74"/>
      <c r="K249" s="74"/>
      <c r="L249" s="74"/>
      <c r="M249" s="74"/>
      <c r="N249" s="74"/>
      <c r="O249" s="74"/>
      <c r="P249" s="74"/>
      <c r="Q249" s="74"/>
    </row>
    <row r="250" spans="4:17" s="75" customFormat="1" x14ac:dyDescent="0.2">
      <c r="D250" s="84"/>
      <c r="E250" s="74"/>
      <c r="F250" s="74"/>
      <c r="G250" s="176"/>
      <c r="H250" s="74"/>
      <c r="I250" s="74"/>
      <c r="J250" s="74"/>
      <c r="K250" s="74"/>
      <c r="L250" s="74"/>
      <c r="M250" s="74"/>
      <c r="N250" s="74"/>
      <c r="O250" s="74"/>
      <c r="P250" s="74"/>
      <c r="Q250" s="74"/>
    </row>
    <row r="251" spans="4:17" s="75" customFormat="1" x14ac:dyDescent="0.2">
      <c r="D251" s="84"/>
      <c r="E251" s="74"/>
      <c r="F251" s="74"/>
      <c r="G251" s="176"/>
      <c r="H251" s="74"/>
      <c r="I251" s="74"/>
      <c r="J251" s="74"/>
      <c r="K251" s="74"/>
      <c r="L251" s="74"/>
      <c r="M251" s="74"/>
      <c r="N251" s="74"/>
      <c r="O251" s="74"/>
      <c r="P251" s="74"/>
      <c r="Q251" s="74"/>
    </row>
    <row r="252" spans="4:17" s="75" customFormat="1" x14ac:dyDescent="0.2">
      <c r="D252" s="84"/>
      <c r="E252" s="74"/>
      <c r="F252" s="74"/>
      <c r="G252" s="176"/>
      <c r="H252" s="74"/>
      <c r="I252" s="74"/>
      <c r="J252" s="74"/>
      <c r="K252" s="74"/>
      <c r="L252" s="74"/>
      <c r="M252" s="74"/>
      <c r="N252" s="74"/>
      <c r="O252" s="74"/>
      <c r="P252" s="74"/>
      <c r="Q252" s="74"/>
    </row>
    <row r="253" spans="4:17" s="75" customFormat="1" x14ac:dyDescent="0.2">
      <c r="D253" s="84"/>
      <c r="E253" s="74"/>
      <c r="F253" s="74"/>
      <c r="G253" s="176"/>
      <c r="H253" s="74"/>
      <c r="I253" s="74"/>
      <c r="J253" s="74"/>
      <c r="K253" s="74"/>
      <c r="L253" s="74"/>
      <c r="M253" s="74"/>
      <c r="N253" s="74"/>
      <c r="O253" s="74"/>
      <c r="P253" s="74"/>
      <c r="Q253" s="74"/>
    </row>
    <row r="254" spans="4:17" s="75" customFormat="1" x14ac:dyDescent="0.2">
      <c r="D254" s="84"/>
      <c r="E254" s="74"/>
      <c r="F254" s="74"/>
      <c r="G254" s="176"/>
      <c r="H254" s="74"/>
      <c r="I254" s="74"/>
      <c r="J254" s="74"/>
      <c r="K254" s="74"/>
      <c r="L254" s="74"/>
      <c r="M254" s="74"/>
      <c r="N254" s="74"/>
      <c r="O254" s="74"/>
      <c r="P254" s="74"/>
      <c r="Q254" s="74"/>
    </row>
    <row r="255" spans="4:17" s="75" customFormat="1" x14ac:dyDescent="0.2">
      <c r="D255" s="84"/>
      <c r="E255" s="74"/>
      <c r="F255" s="74"/>
      <c r="G255" s="176"/>
      <c r="H255" s="74"/>
      <c r="I255" s="74"/>
      <c r="J255" s="74"/>
      <c r="K255" s="74"/>
      <c r="L255" s="74"/>
      <c r="M255" s="74"/>
      <c r="N255" s="74"/>
      <c r="O255" s="74"/>
      <c r="P255" s="74"/>
      <c r="Q255" s="74"/>
    </row>
    <row r="256" spans="4:17" s="75" customFormat="1" x14ac:dyDescent="0.2">
      <c r="D256" s="84"/>
      <c r="E256" s="74"/>
      <c r="F256" s="74"/>
      <c r="G256" s="176"/>
      <c r="H256" s="74"/>
      <c r="I256" s="74"/>
      <c r="J256" s="74"/>
      <c r="K256" s="74"/>
      <c r="L256" s="74"/>
      <c r="M256" s="74"/>
      <c r="N256" s="74"/>
      <c r="O256" s="74"/>
      <c r="P256" s="74"/>
      <c r="Q256" s="74"/>
    </row>
    <row r="257" spans="4:17" s="75" customFormat="1" x14ac:dyDescent="0.2">
      <c r="D257" s="84"/>
      <c r="E257" s="74"/>
      <c r="F257" s="74"/>
      <c r="G257" s="176"/>
      <c r="H257" s="74"/>
      <c r="I257" s="74"/>
      <c r="J257" s="74"/>
      <c r="K257" s="74"/>
      <c r="L257" s="74"/>
      <c r="M257" s="74"/>
      <c r="N257" s="74"/>
      <c r="O257" s="74"/>
      <c r="P257" s="74"/>
      <c r="Q257" s="74"/>
    </row>
    <row r="258" spans="4:17" s="75" customFormat="1" x14ac:dyDescent="0.2">
      <c r="D258" s="84"/>
      <c r="E258" s="74"/>
      <c r="F258" s="74"/>
      <c r="G258" s="176"/>
      <c r="H258" s="74"/>
      <c r="I258" s="74"/>
      <c r="J258" s="74"/>
      <c r="K258" s="74"/>
      <c r="L258" s="74"/>
      <c r="M258" s="74"/>
      <c r="N258" s="74"/>
      <c r="O258" s="74"/>
      <c r="P258" s="74"/>
      <c r="Q258" s="74"/>
    </row>
    <row r="259" spans="4:17" s="75" customFormat="1" x14ac:dyDescent="0.2">
      <c r="D259" s="84"/>
      <c r="E259" s="74"/>
      <c r="F259" s="74"/>
      <c r="G259" s="176"/>
      <c r="H259" s="74"/>
      <c r="I259" s="74"/>
      <c r="J259" s="74"/>
      <c r="K259" s="74"/>
      <c r="L259" s="74"/>
      <c r="M259" s="74"/>
      <c r="N259" s="74"/>
      <c r="O259" s="74"/>
      <c r="P259" s="74"/>
      <c r="Q259" s="74"/>
    </row>
    <row r="260" spans="4:17" s="75" customFormat="1" x14ac:dyDescent="0.2">
      <c r="D260" s="84"/>
      <c r="E260" s="74"/>
      <c r="F260" s="74"/>
      <c r="G260" s="176"/>
      <c r="H260" s="74"/>
      <c r="I260" s="74"/>
      <c r="J260" s="74"/>
      <c r="K260" s="74"/>
      <c r="L260" s="74"/>
      <c r="M260" s="74"/>
      <c r="N260" s="74"/>
      <c r="O260" s="74"/>
      <c r="P260" s="74"/>
      <c r="Q260" s="74"/>
    </row>
    <row r="261" spans="4:17" s="75" customFormat="1" x14ac:dyDescent="0.2">
      <c r="D261" s="84"/>
      <c r="E261" s="74"/>
      <c r="F261" s="74"/>
      <c r="G261" s="176"/>
      <c r="H261" s="74"/>
      <c r="I261" s="74"/>
      <c r="J261" s="74"/>
      <c r="K261" s="74"/>
      <c r="L261" s="74"/>
      <c r="M261" s="74"/>
      <c r="N261" s="74"/>
      <c r="O261" s="74"/>
      <c r="P261" s="74"/>
      <c r="Q261" s="74"/>
    </row>
    <row r="262" spans="4:17" s="75" customFormat="1" x14ac:dyDescent="0.2">
      <c r="D262" s="84"/>
      <c r="E262" s="74"/>
      <c r="F262" s="74"/>
      <c r="G262" s="176"/>
      <c r="H262" s="74"/>
      <c r="I262" s="74"/>
      <c r="J262" s="74"/>
      <c r="K262" s="74"/>
      <c r="L262" s="74"/>
      <c r="M262" s="74"/>
      <c r="N262" s="74"/>
      <c r="O262" s="74"/>
      <c r="P262" s="74"/>
      <c r="Q262" s="74"/>
    </row>
    <row r="263" spans="4:17" s="75" customFormat="1" x14ac:dyDescent="0.2">
      <c r="D263" s="84"/>
      <c r="E263" s="74"/>
      <c r="F263" s="74"/>
      <c r="G263" s="176"/>
      <c r="H263" s="74"/>
      <c r="I263" s="74"/>
      <c r="J263" s="74"/>
      <c r="K263" s="74"/>
      <c r="L263" s="74"/>
      <c r="M263" s="74"/>
      <c r="N263" s="74"/>
      <c r="O263" s="74"/>
      <c r="P263" s="74"/>
      <c r="Q263" s="74"/>
    </row>
    <row r="264" spans="4:17" s="75" customFormat="1" x14ac:dyDescent="0.2">
      <c r="D264" s="84"/>
      <c r="E264" s="74"/>
      <c r="F264" s="74"/>
      <c r="G264" s="176"/>
      <c r="H264" s="74"/>
      <c r="I264" s="74"/>
      <c r="J264" s="74"/>
      <c r="K264" s="74"/>
      <c r="L264" s="74"/>
      <c r="M264" s="74"/>
      <c r="N264" s="74"/>
      <c r="O264" s="74"/>
      <c r="P264" s="74"/>
      <c r="Q264" s="74"/>
    </row>
    <row r="265" spans="4:17" s="75" customFormat="1" x14ac:dyDescent="0.2">
      <c r="D265" s="84"/>
      <c r="E265" s="74"/>
      <c r="F265" s="74"/>
      <c r="G265" s="176"/>
      <c r="H265" s="74"/>
      <c r="I265" s="74"/>
      <c r="J265" s="74"/>
      <c r="K265" s="74"/>
      <c r="L265" s="74"/>
      <c r="M265" s="74"/>
      <c r="N265" s="74"/>
      <c r="O265" s="74"/>
      <c r="P265" s="74"/>
      <c r="Q265" s="74"/>
    </row>
    <row r="266" spans="4:17" s="75" customFormat="1" x14ac:dyDescent="0.2">
      <c r="D266" s="84"/>
      <c r="E266" s="74"/>
      <c r="F266" s="74"/>
      <c r="G266" s="176"/>
      <c r="H266" s="74"/>
      <c r="I266" s="74"/>
      <c r="J266" s="74"/>
      <c r="K266" s="74"/>
      <c r="L266" s="74"/>
      <c r="M266" s="74"/>
      <c r="N266" s="74"/>
      <c r="O266" s="74"/>
      <c r="P266" s="74"/>
      <c r="Q266" s="74"/>
    </row>
    <row r="267" spans="4:17" s="75" customFormat="1" x14ac:dyDescent="0.2">
      <c r="D267" s="84"/>
      <c r="E267" s="74"/>
      <c r="F267" s="74"/>
      <c r="G267" s="176"/>
      <c r="H267" s="74"/>
      <c r="I267" s="74"/>
      <c r="J267" s="74"/>
      <c r="K267" s="74"/>
      <c r="L267" s="74"/>
      <c r="M267" s="74"/>
      <c r="N267" s="74"/>
      <c r="O267" s="74"/>
      <c r="P267" s="74"/>
      <c r="Q267" s="74"/>
    </row>
    <row r="268" spans="4:17" s="75" customFormat="1" x14ac:dyDescent="0.2">
      <c r="D268" s="84"/>
      <c r="E268" s="74"/>
      <c r="F268" s="74"/>
      <c r="G268" s="176"/>
      <c r="H268" s="74"/>
      <c r="I268" s="74"/>
      <c r="J268" s="74"/>
      <c r="K268" s="74"/>
      <c r="L268" s="74"/>
      <c r="M268" s="74"/>
      <c r="N268" s="74"/>
      <c r="O268" s="74"/>
      <c r="P268" s="74"/>
      <c r="Q268" s="74"/>
    </row>
    <row r="269" spans="4:17" s="75" customFormat="1" x14ac:dyDescent="0.2">
      <c r="D269" s="84"/>
      <c r="E269" s="74"/>
      <c r="F269" s="74"/>
      <c r="G269" s="176"/>
      <c r="H269" s="74"/>
      <c r="I269" s="74"/>
      <c r="J269" s="74"/>
      <c r="K269" s="74"/>
      <c r="L269" s="74"/>
      <c r="M269" s="74"/>
      <c r="N269" s="74"/>
      <c r="O269" s="74"/>
      <c r="P269" s="74"/>
      <c r="Q269" s="74"/>
    </row>
    <row r="270" spans="4:17" s="75" customFormat="1" x14ac:dyDescent="0.2">
      <c r="D270" s="84"/>
      <c r="E270" s="74"/>
      <c r="F270" s="74"/>
      <c r="G270" s="176"/>
      <c r="H270" s="74"/>
      <c r="I270" s="74"/>
      <c r="J270" s="74"/>
      <c r="K270" s="74"/>
      <c r="L270" s="74"/>
      <c r="M270" s="74"/>
      <c r="N270" s="74"/>
      <c r="O270" s="74"/>
      <c r="P270" s="74"/>
      <c r="Q270" s="74"/>
    </row>
    <row r="271" spans="4:17" s="75" customFormat="1" x14ac:dyDescent="0.2">
      <c r="D271" s="84"/>
      <c r="E271" s="74"/>
      <c r="F271" s="74"/>
      <c r="G271" s="176"/>
      <c r="H271" s="74"/>
      <c r="I271" s="74"/>
      <c r="J271" s="74"/>
      <c r="K271" s="74"/>
      <c r="L271" s="74"/>
      <c r="M271" s="74"/>
      <c r="N271" s="74"/>
      <c r="O271" s="74"/>
      <c r="P271" s="74"/>
      <c r="Q271" s="74"/>
    </row>
    <row r="272" spans="4:17" s="75" customFormat="1" x14ac:dyDescent="0.2">
      <c r="D272" s="84"/>
      <c r="E272" s="74"/>
      <c r="F272" s="74"/>
      <c r="G272" s="176"/>
      <c r="H272" s="74"/>
      <c r="I272" s="74"/>
      <c r="J272" s="74"/>
      <c r="K272" s="74"/>
      <c r="L272" s="74"/>
      <c r="M272" s="74"/>
      <c r="N272" s="74"/>
      <c r="O272" s="74"/>
      <c r="P272" s="74"/>
      <c r="Q272" s="74"/>
    </row>
    <row r="273" spans="4:17" s="75" customFormat="1" x14ac:dyDescent="0.2">
      <c r="D273" s="84"/>
      <c r="E273" s="74"/>
      <c r="F273" s="74"/>
      <c r="G273" s="176"/>
      <c r="H273" s="74"/>
      <c r="I273" s="74"/>
      <c r="J273" s="74"/>
      <c r="K273" s="74"/>
      <c r="L273" s="74"/>
      <c r="M273" s="74"/>
      <c r="N273" s="74"/>
      <c r="O273" s="74"/>
      <c r="P273" s="74"/>
      <c r="Q273" s="74"/>
    </row>
    <row r="274" spans="4:17" s="75" customFormat="1" x14ac:dyDescent="0.2">
      <c r="D274" s="84"/>
      <c r="E274" s="74"/>
      <c r="F274" s="74"/>
      <c r="G274" s="176"/>
      <c r="H274" s="74"/>
      <c r="I274" s="74"/>
      <c r="J274" s="74"/>
      <c r="K274" s="74"/>
      <c r="L274" s="74"/>
      <c r="M274" s="74"/>
      <c r="N274" s="74"/>
      <c r="O274" s="74"/>
      <c r="P274" s="74"/>
      <c r="Q274" s="74"/>
    </row>
    <row r="275" spans="4:17" s="75" customFormat="1" x14ac:dyDescent="0.2">
      <c r="D275" s="84"/>
      <c r="E275" s="74"/>
      <c r="F275" s="74"/>
      <c r="G275" s="176"/>
      <c r="H275" s="74"/>
      <c r="I275" s="74"/>
      <c r="J275" s="74"/>
      <c r="K275" s="74"/>
      <c r="L275" s="74"/>
      <c r="M275" s="74"/>
      <c r="N275" s="74"/>
      <c r="O275" s="74"/>
      <c r="P275" s="74"/>
      <c r="Q275" s="74"/>
    </row>
    <row r="276" spans="4:17" s="75" customFormat="1" x14ac:dyDescent="0.2">
      <c r="D276" s="84"/>
      <c r="E276" s="74"/>
      <c r="F276" s="74"/>
      <c r="G276" s="176"/>
      <c r="H276" s="74"/>
      <c r="I276" s="74"/>
      <c r="J276" s="74"/>
      <c r="K276" s="74"/>
      <c r="L276" s="74"/>
      <c r="M276" s="74"/>
      <c r="N276" s="74"/>
      <c r="O276" s="74"/>
      <c r="P276" s="74"/>
      <c r="Q276" s="74"/>
    </row>
    <row r="277" spans="4:17" s="75" customFormat="1" x14ac:dyDescent="0.2">
      <c r="D277" s="84"/>
      <c r="E277" s="74"/>
      <c r="F277" s="74"/>
      <c r="G277" s="176"/>
      <c r="H277" s="74"/>
      <c r="I277" s="74"/>
      <c r="J277" s="74"/>
      <c r="K277" s="74"/>
      <c r="L277" s="74"/>
      <c r="M277" s="74"/>
      <c r="N277" s="74"/>
      <c r="O277" s="74"/>
      <c r="P277" s="74"/>
      <c r="Q277" s="74"/>
    </row>
    <row r="278" spans="4:17" s="75" customFormat="1" x14ac:dyDescent="0.2">
      <c r="D278" s="84"/>
      <c r="E278" s="74"/>
      <c r="F278" s="74"/>
      <c r="G278" s="176"/>
      <c r="H278" s="74"/>
      <c r="I278" s="74"/>
      <c r="J278" s="74"/>
      <c r="K278" s="74"/>
      <c r="L278" s="74"/>
      <c r="M278" s="74"/>
      <c r="N278" s="74"/>
      <c r="O278" s="74"/>
      <c r="P278" s="74"/>
      <c r="Q278" s="74"/>
    </row>
    <row r="279" spans="4:17" s="75" customFormat="1" x14ac:dyDescent="0.2">
      <c r="D279" s="84"/>
      <c r="E279" s="74"/>
      <c r="F279" s="74"/>
      <c r="G279" s="176"/>
      <c r="H279" s="74"/>
      <c r="I279" s="74"/>
      <c r="J279" s="74"/>
      <c r="K279" s="74"/>
      <c r="L279" s="74"/>
      <c r="M279" s="74"/>
      <c r="N279" s="74"/>
      <c r="O279" s="74"/>
      <c r="P279" s="74"/>
      <c r="Q279" s="74"/>
    </row>
    <row r="280" spans="4:17" s="75" customFormat="1" x14ac:dyDescent="0.2">
      <c r="D280" s="84"/>
      <c r="E280" s="74"/>
      <c r="F280" s="74"/>
      <c r="G280" s="176"/>
      <c r="H280" s="74"/>
      <c r="I280" s="74"/>
      <c r="J280" s="74"/>
      <c r="K280" s="74"/>
      <c r="L280" s="74"/>
      <c r="M280" s="74"/>
      <c r="N280" s="74"/>
      <c r="O280" s="74"/>
      <c r="P280" s="74"/>
      <c r="Q280" s="74"/>
    </row>
    <row r="281" spans="4:17" s="75" customFormat="1" x14ac:dyDescent="0.2">
      <c r="D281" s="84"/>
      <c r="E281" s="74"/>
      <c r="F281" s="74"/>
      <c r="G281" s="176"/>
      <c r="H281" s="74"/>
      <c r="I281" s="74"/>
      <c r="J281" s="74"/>
      <c r="K281" s="74"/>
      <c r="L281" s="74"/>
      <c r="M281" s="74"/>
      <c r="N281" s="74"/>
      <c r="O281" s="74"/>
      <c r="P281" s="74"/>
      <c r="Q281" s="74"/>
    </row>
    <row r="282" spans="4:17" s="75" customFormat="1" x14ac:dyDescent="0.2">
      <c r="D282" s="84"/>
      <c r="E282" s="74"/>
      <c r="F282" s="74"/>
      <c r="G282" s="176"/>
      <c r="H282" s="74"/>
      <c r="I282" s="74"/>
      <c r="J282" s="74"/>
      <c r="K282" s="74"/>
      <c r="L282" s="74"/>
      <c r="M282" s="74"/>
      <c r="N282" s="74"/>
      <c r="O282" s="74"/>
      <c r="P282" s="74"/>
      <c r="Q282" s="74"/>
    </row>
    <row r="283" spans="4:17" s="75" customFormat="1" x14ac:dyDescent="0.2">
      <c r="D283" s="84"/>
      <c r="E283" s="74"/>
      <c r="F283" s="74"/>
      <c r="G283" s="176"/>
      <c r="H283" s="74"/>
      <c r="I283" s="74"/>
      <c r="J283" s="74"/>
      <c r="K283" s="74"/>
      <c r="L283" s="74"/>
      <c r="M283" s="74"/>
      <c r="N283" s="74"/>
      <c r="O283" s="74"/>
      <c r="P283" s="74"/>
      <c r="Q283" s="74"/>
    </row>
    <row r="284" spans="4:17" s="75" customFormat="1" x14ac:dyDescent="0.2">
      <c r="D284" s="84"/>
      <c r="E284" s="74"/>
      <c r="F284" s="74"/>
      <c r="G284" s="176"/>
      <c r="H284" s="74"/>
      <c r="I284" s="74"/>
      <c r="J284" s="74"/>
      <c r="K284" s="74"/>
      <c r="L284" s="74"/>
      <c r="M284" s="74"/>
      <c r="N284" s="74"/>
      <c r="O284" s="74"/>
      <c r="P284" s="74"/>
      <c r="Q284" s="74"/>
    </row>
    <row r="285" spans="4:17" s="75" customFormat="1" x14ac:dyDescent="0.2">
      <c r="D285" s="84"/>
      <c r="E285" s="74"/>
      <c r="F285" s="74"/>
      <c r="G285" s="176"/>
      <c r="H285" s="74"/>
      <c r="I285" s="74"/>
      <c r="J285" s="74"/>
      <c r="K285" s="74"/>
      <c r="L285" s="74"/>
      <c r="M285" s="74"/>
      <c r="N285" s="74"/>
      <c r="O285" s="74"/>
      <c r="P285" s="74"/>
      <c r="Q285" s="74"/>
    </row>
    <row r="286" spans="4:17" s="75" customFormat="1" x14ac:dyDescent="0.2">
      <c r="D286" s="84"/>
      <c r="E286" s="74"/>
      <c r="F286" s="74"/>
      <c r="G286" s="176"/>
      <c r="H286" s="74"/>
      <c r="I286" s="74"/>
      <c r="J286" s="74"/>
      <c r="K286" s="74"/>
      <c r="L286" s="74"/>
      <c r="M286" s="74"/>
      <c r="N286" s="74"/>
      <c r="O286" s="74"/>
      <c r="P286" s="74"/>
      <c r="Q286" s="74"/>
    </row>
    <row r="287" spans="4:17" s="75" customFormat="1" x14ac:dyDescent="0.2">
      <c r="D287" s="84"/>
      <c r="E287" s="74"/>
      <c r="F287" s="74"/>
      <c r="G287" s="176"/>
      <c r="H287" s="74"/>
      <c r="I287" s="74"/>
      <c r="J287" s="74"/>
      <c r="K287" s="74"/>
      <c r="L287" s="74"/>
      <c r="M287" s="74"/>
      <c r="N287" s="74"/>
      <c r="O287" s="74"/>
      <c r="P287" s="74"/>
      <c r="Q287" s="74"/>
    </row>
    <row r="288" spans="4:17" s="75" customFormat="1" x14ac:dyDescent="0.2">
      <c r="D288" s="84"/>
      <c r="E288" s="74"/>
      <c r="F288" s="74"/>
      <c r="G288" s="176"/>
      <c r="H288" s="74"/>
      <c r="I288" s="74"/>
      <c r="J288" s="74"/>
      <c r="K288" s="74"/>
      <c r="L288" s="74"/>
      <c r="M288" s="74"/>
      <c r="N288" s="74"/>
      <c r="O288" s="74"/>
      <c r="P288" s="74"/>
      <c r="Q288" s="74"/>
    </row>
    <row r="289" spans="4:17" s="75" customFormat="1" x14ac:dyDescent="0.2">
      <c r="D289" s="84"/>
      <c r="E289" s="74"/>
      <c r="F289" s="74"/>
      <c r="G289" s="176"/>
      <c r="H289" s="74"/>
      <c r="I289" s="74"/>
      <c r="J289" s="74"/>
      <c r="K289" s="74"/>
      <c r="L289" s="74"/>
      <c r="M289" s="74"/>
      <c r="N289" s="74"/>
      <c r="O289" s="74"/>
      <c r="P289" s="74"/>
      <c r="Q289" s="74"/>
    </row>
    <row r="290" spans="4:17" s="75" customFormat="1" x14ac:dyDescent="0.2">
      <c r="D290" s="84"/>
      <c r="E290" s="74"/>
      <c r="F290" s="74"/>
      <c r="G290" s="176"/>
      <c r="H290" s="74"/>
      <c r="I290" s="74"/>
      <c r="J290" s="74"/>
      <c r="K290" s="74"/>
      <c r="L290" s="74"/>
      <c r="M290" s="74"/>
      <c r="N290" s="74"/>
      <c r="O290" s="74"/>
      <c r="P290" s="74"/>
      <c r="Q290" s="74"/>
    </row>
    <row r="291" spans="4:17" s="75" customFormat="1" x14ac:dyDescent="0.2">
      <c r="D291" s="84"/>
      <c r="E291" s="74"/>
      <c r="F291" s="74"/>
      <c r="G291" s="176"/>
      <c r="H291" s="74"/>
      <c r="I291" s="74"/>
      <c r="J291" s="74"/>
      <c r="K291" s="74"/>
      <c r="L291" s="74"/>
      <c r="M291" s="74"/>
      <c r="N291" s="74"/>
      <c r="O291" s="74"/>
      <c r="P291" s="74"/>
      <c r="Q291" s="74"/>
    </row>
    <row r="292" spans="4:17" s="75" customFormat="1" x14ac:dyDescent="0.2">
      <c r="D292" s="84"/>
      <c r="E292" s="74"/>
      <c r="F292" s="74"/>
      <c r="G292" s="176"/>
      <c r="H292" s="74"/>
      <c r="I292" s="74"/>
      <c r="J292" s="74"/>
      <c r="K292" s="74"/>
      <c r="L292" s="74"/>
      <c r="M292" s="74"/>
      <c r="N292" s="74"/>
      <c r="O292" s="74"/>
      <c r="P292" s="74"/>
      <c r="Q292" s="74"/>
    </row>
    <row r="293" spans="4:17" s="75" customFormat="1" x14ac:dyDescent="0.2">
      <c r="D293" s="84"/>
      <c r="E293" s="74"/>
      <c r="F293" s="74"/>
      <c r="G293" s="176"/>
      <c r="H293" s="74"/>
      <c r="I293" s="74"/>
      <c r="J293" s="74"/>
      <c r="K293" s="74"/>
      <c r="L293" s="74"/>
      <c r="M293" s="74"/>
      <c r="N293" s="74"/>
      <c r="O293" s="74"/>
      <c r="P293" s="74"/>
      <c r="Q293" s="74"/>
    </row>
    <row r="294" spans="4:17" s="75" customFormat="1" x14ac:dyDescent="0.2">
      <c r="D294" s="84"/>
      <c r="E294" s="74"/>
      <c r="F294" s="74"/>
      <c r="G294" s="176"/>
      <c r="H294" s="74"/>
      <c r="I294" s="74"/>
      <c r="J294" s="74"/>
      <c r="K294" s="74"/>
      <c r="L294" s="74"/>
      <c r="M294" s="74"/>
      <c r="N294" s="74"/>
      <c r="O294" s="74"/>
      <c r="P294" s="74"/>
      <c r="Q294" s="74"/>
    </row>
    <row r="295" spans="4:17" s="75" customFormat="1" x14ac:dyDescent="0.2">
      <c r="D295" s="84"/>
      <c r="E295" s="74"/>
      <c r="F295" s="74"/>
      <c r="G295" s="176"/>
      <c r="H295" s="74"/>
      <c r="I295" s="74"/>
      <c r="J295" s="74"/>
      <c r="K295" s="74"/>
      <c r="L295" s="74"/>
      <c r="M295" s="74"/>
      <c r="N295" s="74"/>
      <c r="O295" s="74"/>
      <c r="P295" s="74"/>
      <c r="Q295" s="74"/>
    </row>
    <row r="296" spans="4:17" s="75" customFormat="1" x14ac:dyDescent="0.2">
      <c r="D296" s="84"/>
      <c r="E296" s="74"/>
      <c r="F296" s="74"/>
      <c r="G296" s="176"/>
      <c r="H296" s="74"/>
      <c r="I296" s="74"/>
      <c r="J296" s="74"/>
      <c r="K296" s="74"/>
      <c r="L296" s="74"/>
      <c r="M296" s="74"/>
      <c r="N296" s="74"/>
      <c r="O296" s="74"/>
      <c r="P296" s="74"/>
      <c r="Q296" s="74"/>
    </row>
    <row r="297" spans="4:17" s="75" customFormat="1" x14ac:dyDescent="0.2">
      <c r="D297" s="84"/>
      <c r="E297" s="74"/>
      <c r="F297" s="74"/>
      <c r="G297" s="176"/>
      <c r="H297" s="74"/>
      <c r="I297" s="74"/>
      <c r="J297" s="74"/>
      <c r="K297" s="74"/>
      <c r="L297" s="74"/>
      <c r="M297" s="74"/>
      <c r="N297" s="74"/>
      <c r="O297" s="74"/>
      <c r="P297" s="74"/>
      <c r="Q297" s="74"/>
    </row>
    <row r="298" spans="4:17" s="75" customFormat="1" x14ac:dyDescent="0.2">
      <c r="D298" s="84"/>
      <c r="E298" s="74"/>
      <c r="F298" s="74"/>
      <c r="G298" s="176"/>
      <c r="H298" s="74"/>
      <c r="I298" s="74"/>
      <c r="J298" s="74"/>
      <c r="K298" s="74"/>
      <c r="L298" s="74"/>
      <c r="M298" s="74"/>
      <c r="N298" s="74"/>
      <c r="O298" s="74"/>
      <c r="P298" s="74"/>
      <c r="Q298" s="74"/>
    </row>
    <row r="299" spans="4:17" s="75" customFormat="1" x14ac:dyDescent="0.2">
      <c r="D299" s="84"/>
      <c r="E299" s="74"/>
      <c r="F299" s="74"/>
      <c r="G299" s="176"/>
      <c r="H299" s="74"/>
      <c r="I299" s="74"/>
      <c r="J299" s="74"/>
      <c r="K299" s="74"/>
      <c r="L299" s="74"/>
      <c r="M299" s="74"/>
      <c r="N299" s="74"/>
      <c r="O299" s="74"/>
      <c r="P299" s="74"/>
      <c r="Q299" s="74"/>
    </row>
    <row r="300" spans="4:17" s="75" customFormat="1" x14ac:dyDescent="0.2">
      <c r="D300" s="84"/>
      <c r="E300" s="74"/>
      <c r="F300" s="74"/>
      <c r="G300" s="176"/>
      <c r="H300" s="74"/>
      <c r="I300" s="74"/>
      <c r="J300" s="74"/>
      <c r="K300" s="74"/>
      <c r="L300" s="74"/>
      <c r="M300" s="74"/>
      <c r="N300" s="74"/>
      <c r="O300" s="74"/>
      <c r="P300" s="74"/>
      <c r="Q300" s="74"/>
    </row>
    <row r="301" spans="4:17" s="75" customFormat="1" x14ac:dyDescent="0.2">
      <c r="D301" s="84"/>
      <c r="E301" s="74"/>
      <c r="F301" s="74"/>
      <c r="G301" s="176"/>
      <c r="H301" s="74"/>
      <c r="I301" s="74"/>
      <c r="J301" s="74"/>
      <c r="K301" s="74"/>
      <c r="L301" s="74"/>
      <c r="M301" s="74"/>
      <c r="N301" s="74"/>
      <c r="O301" s="74"/>
      <c r="P301" s="74"/>
      <c r="Q301" s="74"/>
    </row>
    <row r="302" spans="4:17" s="75" customFormat="1" x14ac:dyDescent="0.2">
      <c r="D302" s="84"/>
      <c r="E302" s="74"/>
      <c r="F302" s="74"/>
      <c r="G302" s="176"/>
      <c r="H302" s="74"/>
      <c r="I302" s="74"/>
      <c r="J302" s="74"/>
      <c r="K302" s="74"/>
      <c r="L302" s="74"/>
      <c r="M302" s="74"/>
      <c r="N302" s="74"/>
      <c r="O302" s="74"/>
      <c r="P302" s="74"/>
      <c r="Q302" s="74"/>
    </row>
    <row r="303" spans="4:17" s="75" customFormat="1" x14ac:dyDescent="0.2">
      <c r="D303" s="84"/>
      <c r="E303" s="74"/>
      <c r="F303" s="74"/>
      <c r="G303" s="176"/>
      <c r="H303" s="74"/>
      <c r="I303" s="74"/>
      <c r="J303" s="74"/>
      <c r="K303" s="74"/>
      <c r="L303" s="74"/>
      <c r="M303" s="74"/>
      <c r="N303" s="74"/>
      <c r="O303" s="74"/>
      <c r="P303" s="74"/>
      <c r="Q303" s="74"/>
    </row>
    <row r="304" spans="4:17" s="75" customFormat="1" x14ac:dyDescent="0.2">
      <c r="D304" s="84"/>
      <c r="E304" s="74"/>
      <c r="F304" s="74"/>
      <c r="G304" s="176"/>
      <c r="H304" s="74"/>
      <c r="I304" s="74"/>
      <c r="J304" s="74"/>
      <c r="K304" s="74"/>
      <c r="L304" s="74"/>
      <c r="M304" s="74"/>
      <c r="N304" s="74"/>
      <c r="O304" s="74"/>
      <c r="P304" s="74"/>
      <c r="Q304" s="74"/>
    </row>
    <row r="305" spans="4:17" s="75" customFormat="1" x14ac:dyDescent="0.2">
      <c r="D305" s="84"/>
      <c r="E305" s="74"/>
      <c r="F305" s="74"/>
      <c r="G305" s="176"/>
      <c r="H305" s="74"/>
      <c r="I305" s="74"/>
      <c r="J305" s="74"/>
      <c r="K305" s="74"/>
      <c r="L305" s="74"/>
      <c r="M305" s="74"/>
      <c r="N305" s="74"/>
      <c r="O305" s="74"/>
      <c r="P305" s="74"/>
      <c r="Q305" s="74"/>
    </row>
    <row r="306" spans="4:17" s="75" customFormat="1" x14ac:dyDescent="0.2">
      <c r="D306" s="84"/>
      <c r="E306" s="74"/>
      <c r="F306" s="74"/>
      <c r="G306" s="176"/>
      <c r="H306" s="74"/>
      <c r="I306" s="74"/>
      <c r="J306" s="74"/>
      <c r="K306" s="74"/>
      <c r="L306" s="74"/>
      <c r="M306" s="74"/>
      <c r="N306" s="74"/>
      <c r="O306" s="74"/>
      <c r="P306" s="74"/>
      <c r="Q306" s="74"/>
    </row>
    <row r="307" spans="4:17" s="75" customFormat="1" x14ac:dyDescent="0.2">
      <c r="D307" s="84"/>
      <c r="E307" s="74"/>
      <c r="F307" s="74"/>
      <c r="G307" s="176"/>
      <c r="H307" s="74"/>
      <c r="I307" s="74"/>
      <c r="J307" s="74"/>
      <c r="K307" s="74"/>
      <c r="L307" s="74"/>
      <c r="M307" s="74"/>
      <c r="N307" s="74"/>
      <c r="O307" s="74"/>
      <c r="P307" s="74"/>
      <c r="Q307" s="74"/>
    </row>
    <row r="308" spans="4:17" s="75" customFormat="1" x14ac:dyDescent="0.2">
      <c r="D308" s="84"/>
      <c r="E308" s="74"/>
      <c r="F308" s="74"/>
      <c r="G308" s="176"/>
      <c r="H308" s="74"/>
      <c r="I308" s="74"/>
      <c r="J308" s="74"/>
      <c r="K308" s="74"/>
      <c r="L308" s="74"/>
      <c r="M308" s="74"/>
      <c r="N308" s="74"/>
      <c r="O308" s="74"/>
      <c r="P308" s="74"/>
      <c r="Q308" s="74"/>
    </row>
    <row r="309" spans="4:17" s="75" customFormat="1" x14ac:dyDescent="0.2">
      <c r="D309" s="84"/>
      <c r="E309" s="74"/>
      <c r="F309" s="74"/>
      <c r="G309" s="176"/>
      <c r="H309" s="74"/>
      <c r="I309" s="74"/>
      <c r="J309" s="74"/>
      <c r="K309" s="74"/>
      <c r="L309" s="74"/>
      <c r="M309" s="74"/>
      <c r="N309" s="74"/>
      <c r="O309" s="74"/>
      <c r="P309" s="74"/>
      <c r="Q309" s="74"/>
    </row>
    <row r="310" spans="4:17" s="75" customFormat="1" x14ac:dyDescent="0.2">
      <c r="D310" s="84"/>
      <c r="E310" s="74"/>
      <c r="F310" s="74"/>
      <c r="G310" s="176"/>
      <c r="H310" s="74"/>
      <c r="I310" s="74"/>
      <c r="J310" s="74"/>
      <c r="K310" s="74"/>
      <c r="L310" s="74"/>
      <c r="M310" s="74"/>
      <c r="N310" s="74"/>
      <c r="O310" s="74"/>
      <c r="P310" s="74"/>
      <c r="Q310" s="74"/>
    </row>
    <row r="311" spans="4:17" s="75" customFormat="1" x14ac:dyDescent="0.2">
      <c r="D311" s="84"/>
      <c r="E311" s="74"/>
      <c r="F311" s="74"/>
      <c r="G311" s="176"/>
      <c r="H311" s="74"/>
      <c r="I311" s="74"/>
      <c r="J311" s="74"/>
      <c r="K311" s="74"/>
      <c r="L311" s="74"/>
      <c r="M311" s="74"/>
      <c r="N311" s="74"/>
      <c r="O311" s="74"/>
      <c r="P311" s="74"/>
      <c r="Q311" s="74"/>
    </row>
    <row r="312" spans="4:17" s="75" customFormat="1" x14ac:dyDescent="0.2">
      <c r="D312" s="84"/>
      <c r="E312" s="74"/>
      <c r="F312" s="74"/>
      <c r="G312" s="176"/>
      <c r="H312" s="74"/>
      <c r="I312" s="74"/>
      <c r="J312" s="74"/>
      <c r="K312" s="74"/>
      <c r="L312" s="74"/>
      <c r="M312" s="74"/>
      <c r="N312" s="74"/>
      <c r="O312" s="74"/>
      <c r="P312" s="74"/>
      <c r="Q312" s="74"/>
    </row>
    <row r="313" spans="4:17" s="75" customFormat="1" x14ac:dyDescent="0.2">
      <c r="D313" s="84"/>
      <c r="E313" s="74"/>
      <c r="F313" s="74"/>
      <c r="G313" s="176"/>
      <c r="H313" s="74"/>
      <c r="I313" s="74"/>
      <c r="J313" s="74"/>
      <c r="K313" s="74"/>
      <c r="L313" s="74"/>
      <c r="M313" s="74"/>
      <c r="N313" s="74"/>
      <c r="O313" s="74"/>
      <c r="P313" s="74"/>
      <c r="Q313" s="74"/>
    </row>
    <row r="314" spans="4:17" s="75" customFormat="1" x14ac:dyDescent="0.2">
      <c r="D314" s="84"/>
      <c r="E314" s="74"/>
      <c r="F314" s="74"/>
      <c r="G314" s="176"/>
      <c r="H314" s="74"/>
      <c r="I314" s="74"/>
      <c r="J314" s="74"/>
      <c r="K314" s="74"/>
      <c r="L314" s="74"/>
      <c r="M314" s="74"/>
      <c r="N314" s="74"/>
      <c r="O314" s="74"/>
      <c r="P314" s="74"/>
      <c r="Q314" s="74"/>
    </row>
    <row r="315" spans="4:17" s="75" customFormat="1" x14ac:dyDescent="0.2">
      <c r="D315" s="84"/>
      <c r="E315" s="74"/>
      <c r="F315" s="74"/>
      <c r="G315" s="176"/>
      <c r="H315" s="74"/>
      <c r="I315" s="74"/>
      <c r="J315" s="74"/>
      <c r="K315" s="74"/>
      <c r="L315" s="74"/>
      <c r="M315" s="74"/>
      <c r="N315" s="74"/>
      <c r="O315" s="74"/>
      <c r="P315" s="74"/>
      <c r="Q315" s="74"/>
    </row>
    <row r="316" spans="4:17" s="75" customFormat="1" x14ac:dyDescent="0.2">
      <c r="D316" s="84"/>
      <c r="E316" s="74"/>
      <c r="F316" s="74"/>
      <c r="G316" s="176"/>
      <c r="H316" s="74"/>
      <c r="I316" s="74"/>
      <c r="J316" s="74"/>
      <c r="K316" s="74"/>
      <c r="L316" s="74"/>
      <c r="M316" s="74"/>
      <c r="N316" s="74"/>
      <c r="O316" s="74"/>
      <c r="P316" s="74"/>
      <c r="Q316" s="74"/>
    </row>
    <row r="317" spans="4:17" s="75" customFormat="1" x14ac:dyDescent="0.2">
      <c r="D317" s="84"/>
      <c r="E317" s="74"/>
      <c r="F317" s="74"/>
      <c r="G317" s="176"/>
      <c r="H317" s="74"/>
      <c r="I317" s="74"/>
      <c r="J317" s="74"/>
      <c r="K317" s="74"/>
      <c r="L317" s="74"/>
      <c r="M317" s="74"/>
      <c r="N317" s="74"/>
      <c r="O317" s="74"/>
      <c r="P317" s="74"/>
      <c r="Q317" s="74"/>
    </row>
    <row r="318" spans="4:17" s="75" customFormat="1" x14ac:dyDescent="0.2">
      <c r="D318" s="84"/>
      <c r="E318" s="74"/>
      <c r="F318" s="74"/>
      <c r="G318" s="176"/>
      <c r="H318" s="74"/>
      <c r="I318" s="74"/>
      <c r="J318" s="74"/>
      <c r="K318" s="74"/>
      <c r="L318" s="74"/>
      <c r="M318" s="74"/>
      <c r="N318" s="74"/>
      <c r="O318" s="74"/>
      <c r="P318" s="74"/>
      <c r="Q318" s="74"/>
    </row>
    <row r="319" spans="4:17" s="75" customFormat="1" x14ac:dyDescent="0.2">
      <c r="D319" s="84"/>
      <c r="E319" s="74"/>
      <c r="F319" s="74"/>
      <c r="G319" s="176"/>
      <c r="H319" s="74"/>
      <c r="I319" s="74"/>
      <c r="J319" s="74"/>
      <c r="K319" s="74"/>
      <c r="L319" s="74"/>
      <c r="M319" s="74"/>
      <c r="N319" s="74"/>
      <c r="O319" s="74"/>
      <c r="P319" s="74"/>
      <c r="Q319" s="74"/>
    </row>
    <row r="320" spans="4:17" s="75" customFormat="1" x14ac:dyDescent="0.2">
      <c r="D320" s="84"/>
      <c r="E320" s="74"/>
      <c r="F320" s="74"/>
      <c r="G320" s="176"/>
      <c r="H320" s="74"/>
      <c r="I320" s="74"/>
      <c r="J320" s="74"/>
      <c r="K320" s="74"/>
      <c r="L320" s="74"/>
      <c r="M320" s="74"/>
      <c r="N320" s="74"/>
      <c r="O320" s="74"/>
      <c r="P320" s="74"/>
      <c r="Q320" s="74"/>
    </row>
    <row r="321" spans="4:17" s="75" customFormat="1" x14ac:dyDescent="0.2">
      <c r="D321" s="84"/>
      <c r="E321" s="74"/>
      <c r="F321" s="74"/>
      <c r="G321" s="176"/>
      <c r="H321" s="74"/>
      <c r="I321" s="74"/>
      <c r="J321" s="74"/>
      <c r="K321" s="74"/>
      <c r="L321" s="74"/>
      <c r="M321" s="74"/>
      <c r="N321" s="74"/>
      <c r="O321" s="74"/>
      <c r="P321" s="74"/>
      <c r="Q321" s="74"/>
    </row>
    <row r="322" spans="4:17" s="75" customFormat="1" x14ac:dyDescent="0.2">
      <c r="D322" s="84"/>
      <c r="E322" s="74"/>
      <c r="F322" s="74"/>
      <c r="G322" s="176"/>
      <c r="H322" s="74"/>
      <c r="I322" s="74"/>
      <c r="J322" s="74"/>
      <c r="K322" s="74"/>
      <c r="L322" s="74"/>
      <c r="M322" s="74"/>
      <c r="N322" s="74"/>
      <c r="O322" s="74"/>
      <c r="P322" s="74"/>
      <c r="Q322" s="74"/>
    </row>
    <row r="323" spans="4:17" s="75" customFormat="1" x14ac:dyDescent="0.2">
      <c r="D323" s="84"/>
      <c r="E323" s="74"/>
      <c r="F323" s="74"/>
      <c r="G323" s="176"/>
      <c r="H323" s="74"/>
      <c r="I323" s="74"/>
      <c r="J323" s="74"/>
      <c r="K323" s="74"/>
      <c r="L323" s="74"/>
      <c r="M323" s="74"/>
      <c r="N323" s="74"/>
      <c r="O323" s="74"/>
      <c r="P323" s="74"/>
      <c r="Q323" s="74"/>
    </row>
    <row r="324" spans="4:17" s="75" customFormat="1" x14ac:dyDescent="0.2">
      <c r="D324" s="84"/>
      <c r="E324" s="74"/>
      <c r="F324" s="74"/>
      <c r="G324" s="176"/>
      <c r="H324" s="74"/>
      <c r="I324" s="74"/>
      <c r="J324" s="74"/>
      <c r="K324" s="74"/>
      <c r="L324" s="74"/>
      <c r="M324" s="74"/>
      <c r="N324" s="74"/>
      <c r="O324" s="74"/>
      <c r="P324" s="74"/>
      <c r="Q324" s="74"/>
    </row>
    <row r="325" spans="4:17" s="75" customFormat="1" x14ac:dyDescent="0.2">
      <c r="D325" s="84"/>
      <c r="E325" s="74"/>
      <c r="F325" s="74"/>
      <c r="G325" s="176"/>
      <c r="H325" s="74"/>
      <c r="I325" s="74"/>
      <c r="J325" s="74"/>
      <c r="K325" s="74"/>
      <c r="L325" s="74"/>
      <c r="M325" s="74"/>
      <c r="N325" s="74"/>
      <c r="O325" s="74"/>
      <c r="P325" s="74"/>
      <c r="Q325" s="74"/>
    </row>
    <row r="326" spans="4:17" s="75" customFormat="1" x14ac:dyDescent="0.2">
      <c r="D326" s="84"/>
      <c r="E326" s="74"/>
      <c r="F326" s="74"/>
      <c r="G326" s="176"/>
      <c r="H326" s="74"/>
      <c r="I326" s="74"/>
      <c r="J326" s="74"/>
      <c r="K326" s="74"/>
      <c r="L326" s="74"/>
      <c r="M326" s="74"/>
      <c r="N326" s="74"/>
      <c r="O326" s="74"/>
      <c r="P326" s="74"/>
      <c r="Q326" s="74"/>
    </row>
    <row r="327" spans="4:17" s="75" customFormat="1" x14ac:dyDescent="0.2">
      <c r="D327" s="84"/>
      <c r="E327" s="74"/>
      <c r="F327" s="74"/>
      <c r="G327" s="176"/>
      <c r="H327" s="74"/>
      <c r="I327" s="74"/>
      <c r="J327" s="74"/>
      <c r="K327" s="74"/>
      <c r="L327" s="74"/>
      <c r="M327" s="74"/>
      <c r="N327" s="74"/>
      <c r="O327" s="74"/>
      <c r="P327" s="74"/>
      <c r="Q327" s="74"/>
    </row>
    <row r="328" spans="4:17" s="75" customFormat="1" x14ac:dyDescent="0.2">
      <c r="D328" s="84"/>
      <c r="E328" s="74"/>
      <c r="F328" s="74"/>
      <c r="G328" s="176"/>
      <c r="H328" s="74"/>
      <c r="I328" s="74"/>
      <c r="J328" s="74"/>
      <c r="K328" s="74"/>
      <c r="L328" s="74"/>
      <c r="M328" s="74"/>
      <c r="N328" s="74"/>
      <c r="O328" s="74"/>
      <c r="P328" s="74"/>
      <c r="Q328" s="74"/>
    </row>
    <row r="329" spans="4:17" s="75" customFormat="1" x14ac:dyDescent="0.2">
      <c r="D329" s="84"/>
      <c r="E329" s="74"/>
      <c r="F329" s="74"/>
      <c r="G329" s="176"/>
      <c r="H329" s="74"/>
      <c r="I329" s="74"/>
      <c r="J329" s="74"/>
      <c r="K329" s="74"/>
      <c r="L329" s="74"/>
      <c r="M329" s="74"/>
      <c r="N329" s="74"/>
      <c r="O329" s="74"/>
      <c r="P329" s="74"/>
      <c r="Q329" s="74"/>
    </row>
    <row r="330" spans="4:17" s="75" customFormat="1" x14ac:dyDescent="0.2">
      <c r="D330" s="84"/>
      <c r="E330" s="74"/>
      <c r="F330" s="74"/>
      <c r="G330" s="176"/>
      <c r="H330" s="74"/>
      <c r="I330" s="74"/>
      <c r="J330" s="74"/>
      <c r="K330" s="74"/>
      <c r="L330" s="74"/>
      <c r="M330" s="74"/>
      <c r="N330" s="74"/>
      <c r="O330" s="74"/>
      <c r="P330" s="74"/>
      <c r="Q330" s="74"/>
    </row>
    <row r="331" spans="4:17" s="75" customFormat="1" x14ac:dyDescent="0.2">
      <c r="D331" s="84"/>
      <c r="E331" s="74"/>
      <c r="F331" s="74"/>
      <c r="G331" s="176"/>
      <c r="H331" s="74"/>
      <c r="I331" s="74"/>
      <c r="J331" s="74"/>
      <c r="K331" s="74"/>
      <c r="L331" s="74"/>
      <c r="M331" s="74"/>
      <c r="N331" s="74"/>
      <c r="O331" s="74"/>
      <c r="P331" s="74"/>
      <c r="Q331" s="74"/>
    </row>
    <row r="332" spans="4:17" s="75" customFormat="1" x14ac:dyDescent="0.2">
      <c r="D332" s="84"/>
      <c r="E332" s="74"/>
      <c r="F332" s="74"/>
      <c r="G332" s="176"/>
      <c r="H332" s="74"/>
      <c r="I332" s="74"/>
      <c r="J332" s="74"/>
      <c r="K332" s="74"/>
      <c r="L332" s="74"/>
      <c r="M332" s="74"/>
      <c r="N332" s="74"/>
      <c r="O332" s="74"/>
      <c r="P332" s="74"/>
      <c r="Q332" s="74"/>
    </row>
    <row r="333" spans="4:17" s="75" customFormat="1" x14ac:dyDescent="0.2">
      <c r="D333" s="84"/>
      <c r="E333" s="74"/>
      <c r="F333" s="74"/>
      <c r="G333" s="176"/>
      <c r="H333" s="74"/>
      <c r="I333" s="74"/>
      <c r="J333" s="74"/>
      <c r="K333" s="74"/>
      <c r="L333" s="74"/>
      <c r="M333" s="74"/>
      <c r="N333" s="74"/>
      <c r="O333" s="74"/>
      <c r="P333" s="74"/>
      <c r="Q333" s="74"/>
    </row>
    <row r="334" spans="4:17" s="75" customFormat="1" x14ac:dyDescent="0.2">
      <c r="D334" s="84"/>
      <c r="E334" s="74"/>
      <c r="F334" s="74"/>
      <c r="G334" s="176"/>
      <c r="H334" s="74"/>
      <c r="I334" s="74"/>
      <c r="J334" s="74"/>
      <c r="K334" s="74"/>
      <c r="L334" s="74"/>
      <c r="M334" s="74"/>
      <c r="N334" s="74"/>
      <c r="O334" s="74"/>
      <c r="P334" s="74"/>
      <c r="Q334" s="74"/>
    </row>
    <row r="335" spans="4:17" s="75" customFormat="1" x14ac:dyDescent="0.2">
      <c r="D335" s="84"/>
      <c r="E335" s="74"/>
      <c r="F335" s="74"/>
      <c r="G335" s="176"/>
      <c r="H335" s="74"/>
      <c r="I335" s="74"/>
      <c r="J335" s="74"/>
      <c r="K335" s="74"/>
      <c r="L335" s="74"/>
      <c r="M335" s="74"/>
      <c r="N335" s="74"/>
      <c r="O335" s="74"/>
      <c r="P335" s="74"/>
      <c r="Q335" s="74"/>
    </row>
    <row r="336" spans="4:17" s="75" customFormat="1" x14ac:dyDescent="0.2">
      <c r="D336" s="84"/>
      <c r="E336" s="74"/>
      <c r="F336" s="74"/>
      <c r="G336" s="176"/>
      <c r="H336" s="74"/>
      <c r="I336" s="74"/>
      <c r="J336" s="74"/>
      <c r="K336" s="74"/>
      <c r="L336" s="74"/>
      <c r="M336" s="74"/>
      <c r="N336" s="74"/>
      <c r="O336" s="74"/>
      <c r="P336" s="74"/>
      <c r="Q336" s="74"/>
    </row>
    <row r="337" spans="4:17" s="75" customFormat="1" x14ac:dyDescent="0.2">
      <c r="D337" s="84"/>
      <c r="E337" s="74"/>
      <c r="F337" s="74"/>
      <c r="G337" s="176"/>
      <c r="H337" s="74"/>
      <c r="I337" s="74"/>
      <c r="J337" s="74"/>
      <c r="K337" s="74"/>
      <c r="L337" s="74"/>
      <c r="M337" s="74"/>
      <c r="N337" s="74"/>
      <c r="O337" s="74"/>
      <c r="P337" s="74"/>
      <c r="Q337" s="74"/>
    </row>
    <row r="338" spans="4:17" s="75" customFormat="1" x14ac:dyDescent="0.2">
      <c r="D338" s="84"/>
      <c r="E338" s="74"/>
      <c r="F338" s="74"/>
      <c r="G338" s="176"/>
      <c r="H338" s="74"/>
      <c r="I338" s="74"/>
      <c r="J338" s="74"/>
      <c r="K338" s="74"/>
      <c r="L338" s="74"/>
      <c r="M338" s="74"/>
      <c r="N338" s="74"/>
      <c r="O338" s="74"/>
      <c r="P338" s="74"/>
      <c r="Q338" s="74"/>
    </row>
    <row r="339" spans="4:17" s="75" customFormat="1" x14ac:dyDescent="0.2">
      <c r="D339" s="84"/>
      <c r="E339" s="74"/>
      <c r="F339" s="74"/>
      <c r="G339" s="176"/>
      <c r="H339" s="74"/>
      <c r="I339" s="74"/>
      <c r="J339" s="74"/>
      <c r="K339" s="74"/>
      <c r="L339" s="74"/>
      <c r="M339" s="74"/>
      <c r="N339" s="74"/>
      <c r="O339" s="74"/>
      <c r="P339" s="74"/>
      <c r="Q339" s="74"/>
    </row>
    <row r="340" spans="4:17" s="75" customFormat="1" x14ac:dyDescent="0.2">
      <c r="D340" s="84"/>
      <c r="E340" s="74"/>
      <c r="F340" s="74"/>
      <c r="G340" s="176"/>
      <c r="H340" s="74"/>
      <c r="I340" s="74"/>
      <c r="J340" s="74"/>
      <c r="K340" s="74"/>
      <c r="L340" s="74"/>
      <c r="M340" s="74"/>
      <c r="N340" s="74"/>
      <c r="O340" s="74"/>
      <c r="P340" s="74"/>
      <c r="Q340" s="74"/>
    </row>
    <row r="341" spans="4:17" s="75" customFormat="1" x14ac:dyDescent="0.2">
      <c r="D341" s="84"/>
      <c r="E341" s="74"/>
      <c r="F341" s="74"/>
      <c r="G341" s="176"/>
      <c r="H341" s="74"/>
      <c r="I341" s="74"/>
      <c r="J341" s="74"/>
      <c r="K341" s="74"/>
      <c r="L341" s="74"/>
      <c r="M341" s="74"/>
      <c r="N341" s="74"/>
      <c r="O341" s="74"/>
      <c r="P341" s="74"/>
      <c r="Q341" s="74"/>
    </row>
    <row r="342" spans="4:17" s="75" customFormat="1" x14ac:dyDescent="0.2">
      <c r="D342" s="84"/>
      <c r="E342" s="74"/>
      <c r="F342" s="74"/>
      <c r="G342" s="176"/>
      <c r="H342" s="74"/>
      <c r="I342" s="74"/>
      <c r="J342" s="74"/>
      <c r="K342" s="74"/>
      <c r="L342" s="74"/>
      <c r="M342" s="74"/>
      <c r="N342" s="74"/>
      <c r="O342" s="74"/>
      <c r="P342" s="74"/>
      <c r="Q342" s="74"/>
    </row>
    <row r="343" spans="4:17" s="75" customFormat="1" x14ac:dyDescent="0.2">
      <c r="D343" s="84"/>
      <c r="E343" s="74"/>
      <c r="F343" s="74"/>
      <c r="G343" s="176"/>
      <c r="H343" s="74"/>
      <c r="I343" s="74"/>
      <c r="J343" s="74"/>
      <c r="K343" s="74"/>
      <c r="L343" s="74"/>
      <c r="M343" s="74"/>
      <c r="N343" s="74"/>
      <c r="O343" s="74"/>
      <c r="P343" s="74"/>
      <c r="Q343" s="74"/>
    </row>
    <row r="344" spans="4:17" s="75" customFormat="1" x14ac:dyDescent="0.2">
      <c r="D344" s="84"/>
      <c r="E344" s="74"/>
      <c r="F344" s="74"/>
      <c r="G344" s="176"/>
      <c r="H344" s="74"/>
      <c r="I344" s="74"/>
      <c r="J344" s="74"/>
      <c r="K344" s="74"/>
      <c r="L344" s="74"/>
      <c r="M344" s="74"/>
      <c r="N344" s="74"/>
      <c r="O344" s="74"/>
      <c r="P344" s="74"/>
      <c r="Q344" s="74"/>
    </row>
    <row r="345" spans="4:17" s="75" customFormat="1" x14ac:dyDescent="0.2">
      <c r="D345" s="84"/>
      <c r="E345" s="74"/>
      <c r="F345" s="74"/>
      <c r="G345" s="176"/>
      <c r="H345" s="74"/>
      <c r="I345" s="74"/>
      <c r="J345" s="74"/>
      <c r="K345" s="74"/>
      <c r="L345" s="74"/>
      <c r="M345" s="74"/>
      <c r="N345" s="74"/>
      <c r="O345" s="74"/>
      <c r="P345" s="74"/>
      <c r="Q345" s="74"/>
    </row>
    <row r="346" spans="4:17" s="75" customFormat="1" x14ac:dyDescent="0.2">
      <c r="D346" s="84"/>
      <c r="E346" s="74"/>
      <c r="F346" s="74"/>
      <c r="G346" s="176"/>
      <c r="H346" s="74"/>
      <c r="I346" s="74"/>
      <c r="J346" s="74"/>
      <c r="K346" s="74"/>
      <c r="L346" s="74"/>
      <c r="M346" s="74"/>
      <c r="N346" s="74"/>
      <c r="O346" s="74"/>
      <c r="P346" s="74"/>
      <c r="Q346" s="74"/>
    </row>
    <row r="347" spans="4:17" s="75" customFormat="1" x14ac:dyDescent="0.2">
      <c r="D347" s="84"/>
      <c r="E347" s="74"/>
      <c r="F347" s="74"/>
      <c r="G347" s="176"/>
      <c r="H347" s="74"/>
      <c r="I347" s="74"/>
      <c r="J347" s="74"/>
      <c r="K347" s="74"/>
      <c r="L347" s="74"/>
      <c r="M347" s="74"/>
      <c r="N347" s="74"/>
      <c r="O347" s="74"/>
      <c r="P347" s="74"/>
      <c r="Q347" s="74"/>
    </row>
    <row r="348" spans="4:17" s="75" customFormat="1" x14ac:dyDescent="0.2">
      <c r="D348" s="84"/>
      <c r="E348" s="74"/>
      <c r="F348" s="74"/>
      <c r="G348" s="176"/>
      <c r="H348" s="74"/>
      <c r="I348" s="74"/>
      <c r="J348" s="74"/>
      <c r="K348" s="74"/>
      <c r="L348" s="74"/>
      <c r="M348" s="74"/>
      <c r="N348" s="74"/>
      <c r="O348" s="74"/>
      <c r="P348" s="74"/>
      <c r="Q348" s="74"/>
    </row>
    <row r="349" spans="4:17" s="75" customFormat="1" x14ac:dyDescent="0.2">
      <c r="D349" s="84"/>
      <c r="E349" s="74"/>
      <c r="F349" s="74"/>
      <c r="G349" s="176"/>
      <c r="H349" s="74"/>
      <c r="I349" s="74"/>
      <c r="J349" s="74"/>
      <c r="K349" s="74"/>
      <c r="L349" s="74"/>
      <c r="M349" s="74"/>
      <c r="N349" s="74"/>
      <c r="O349" s="74"/>
      <c r="P349" s="74"/>
      <c r="Q349" s="74"/>
    </row>
    <row r="350" spans="4:17" s="75" customFormat="1" x14ac:dyDescent="0.2">
      <c r="D350" s="84"/>
      <c r="E350" s="74"/>
      <c r="F350" s="74"/>
      <c r="G350" s="176"/>
      <c r="H350" s="74"/>
      <c r="I350" s="74"/>
      <c r="J350" s="74"/>
      <c r="K350" s="74"/>
      <c r="L350" s="74"/>
      <c r="M350" s="74"/>
      <c r="N350" s="74"/>
      <c r="O350" s="74"/>
      <c r="P350" s="74"/>
      <c r="Q350" s="74"/>
    </row>
    <row r="351" spans="4:17" s="75" customFormat="1" x14ac:dyDescent="0.2">
      <c r="D351" s="84"/>
      <c r="E351" s="74"/>
      <c r="F351" s="74"/>
      <c r="G351" s="176"/>
      <c r="H351" s="74"/>
      <c r="I351" s="74"/>
      <c r="J351" s="74"/>
      <c r="K351" s="74"/>
      <c r="L351" s="74"/>
      <c r="M351" s="74"/>
      <c r="N351" s="74"/>
      <c r="O351" s="74"/>
      <c r="P351" s="74"/>
      <c r="Q351" s="74"/>
    </row>
    <row r="352" spans="4:17" s="75" customFormat="1" x14ac:dyDescent="0.2">
      <c r="D352" s="84"/>
      <c r="E352" s="74"/>
      <c r="F352" s="74"/>
      <c r="G352" s="176"/>
      <c r="H352" s="74"/>
      <c r="I352" s="74"/>
      <c r="J352" s="74"/>
      <c r="K352" s="74"/>
      <c r="L352" s="74"/>
      <c r="M352" s="74"/>
      <c r="N352" s="74"/>
      <c r="O352" s="74"/>
      <c r="P352" s="74"/>
      <c r="Q352" s="74"/>
    </row>
    <row r="353" spans="4:17" s="75" customFormat="1" x14ac:dyDescent="0.2">
      <c r="D353" s="84"/>
      <c r="E353" s="74"/>
      <c r="F353" s="74"/>
      <c r="G353" s="176"/>
      <c r="H353" s="74"/>
      <c r="I353" s="74"/>
      <c r="J353" s="74"/>
      <c r="K353" s="74"/>
      <c r="L353" s="74"/>
      <c r="M353" s="74"/>
      <c r="N353" s="74"/>
      <c r="O353" s="74"/>
      <c r="P353" s="74"/>
      <c r="Q353" s="74"/>
    </row>
    <row r="354" spans="4:17" s="75" customFormat="1" x14ac:dyDescent="0.2">
      <c r="D354" s="84"/>
      <c r="E354" s="74"/>
      <c r="F354" s="74"/>
      <c r="G354" s="176"/>
      <c r="H354" s="74"/>
      <c r="I354" s="74"/>
      <c r="J354" s="74"/>
      <c r="K354" s="74"/>
      <c r="L354" s="74"/>
      <c r="M354" s="74"/>
      <c r="N354" s="74"/>
      <c r="O354" s="74"/>
      <c r="P354" s="74"/>
      <c r="Q354" s="74"/>
    </row>
    <row r="355" spans="4:17" s="75" customFormat="1" x14ac:dyDescent="0.2">
      <c r="D355" s="84"/>
      <c r="E355" s="74"/>
      <c r="F355" s="74"/>
      <c r="G355" s="176"/>
      <c r="H355" s="74"/>
      <c r="I355" s="74"/>
      <c r="J355" s="74"/>
      <c r="K355" s="74"/>
      <c r="L355" s="74"/>
      <c r="M355" s="74"/>
      <c r="N355" s="74"/>
      <c r="O355" s="74"/>
      <c r="P355" s="74"/>
      <c r="Q355" s="74"/>
    </row>
    <row r="356" spans="4:17" s="75" customFormat="1" x14ac:dyDescent="0.2">
      <c r="D356" s="84"/>
      <c r="E356" s="74"/>
      <c r="F356" s="74"/>
      <c r="G356" s="176"/>
      <c r="H356" s="74"/>
      <c r="I356" s="74"/>
      <c r="J356" s="74"/>
      <c r="K356" s="74"/>
      <c r="L356" s="74"/>
      <c r="M356" s="74"/>
      <c r="N356" s="74"/>
      <c r="O356" s="74"/>
      <c r="P356" s="74"/>
      <c r="Q356" s="74"/>
    </row>
    <row r="357" spans="4:17" s="75" customFormat="1" x14ac:dyDescent="0.2">
      <c r="D357" s="84"/>
      <c r="E357" s="74"/>
      <c r="F357" s="74"/>
      <c r="G357" s="176"/>
      <c r="H357" s="74"/>
      <c r="I357" s="74"/>
      <c r="J357" s="74"/>
      <c r="K357" s="74"/>
      <c r="L357" s="74"/>
      <c r="M357" s="74"/>
      <c r="N357" s="74"/>
      <c r="O357" s="74"/>
      <c r="P357" s="74"/>
      <c r="Q357" s="74"/>
    </row>
    <row r="358" spans="4:17" s="75" customFormat="1" x14ac:dyDescent="0.2">
      <c r="D358" s="84"/>
      <c r="E358" s="74"/>
      <c r="F358" s="74"/>
      <c r="G358" s="176"/>
      <c r="H358" s="74"/>
      <c r="I358" s="74"/>
      <c r="J358" s="74"/>
      <c r="K358" s="74"/>
      <c r="L358" s="74"/>
      <c r="M358" s="74"/>
      <c r="N358" s="74"/>
      <c r="O358" s="74"/>
      <c r="P358" s="74"/>
      <c r="Q358" s="74"/>
    </row>
    <row r="359" spans="4:17" s="75" customFormat="1" x14ac:dyDescent="0.2">
      <c r="D359" s="84"/>
      <c r="E359" s="74"/>
      <c r="F359" s="74"/>
      <c r="G359" s="176"/>
      <c r="H359" s="74"/>
      <c r="I359" s="74"/>
      <c r="J359" s="74"/>
      <c r="K359" s="74"/>
      <c r="L359" s="74"/>
      <c r="M359" s="74"/>
      <c r="N359" s="74"/>
      <c r="O359" s="74"/>
      <c r="P359" s="74"/>
      <c r="Q359" s="74"/>
    </row>
    <row r="360" spans="4:17" s="75" customFormat="1" x14ac:dyDescent="0.2">
      <c r="D360" s="84"/>
      <c r="E360" s="74"/>
      <c r="F360" s="74"/>
      <c r="G360" s="176"/>
      <c r="H360" s="74"/>
      <c r="I360" s="74"/>
      <c r="J360" s="74"/>
      <c r="K360" s="74"/>
      <c r="L360" s="74"/>
      <c r="M360" s="74"/>
      <c r="N360" s="74"/>
      <c r="O360" s="74"/>
      <c r="P360" s="74"/>
      <c r="Q360" s="74"/>
    </row>
    <row r="361" spans="4:17" s="75" customFormat="1" x14ac:dyDescent="0.2">
      <c r="D361" s="84"/>
      <c r="E361" s="74"/>
      <c r="F361" s="74"/>
      <c r="G361" s="176"/>
      <c r="H361" s="74"/>
      <c r="I361" s="74"/>
      <c r="J361" s="74"/>
      <c r="K361" s="74"/>
      <c r="L361" s="74"/>
      <c r="M361" s="74"/>
      <c r="N361" s="74"/>
      <c r="O361" s="74"/>
      <c r="P361" s="74"/>
      <c r="Q361" s="74"/>
    </row>
    <row r="362" spans="4:17" s="75" customFormat="1" x14ac:dyDescent="0.2">
      <c r="D362" s="84"/>
      <c r="E362" s="74"/>
      <c r="F362" s="74"/>
      <c r="G362" s="176"/>
      <c r="H362" s="74"/>
      <c r="I362" s="74"/>
      <c r="J362" s="74"/>
      <c r="K362" s="74"/>
      <c r="L362" s="74"/>
      <c r="M362" s="74"/>
      <c r="N362" s="74"/>
      <c r="O362" s="74"/>
      <c r="P362" s="74"/>
      <c r="Q362" s="74"/>
    </row>
    <row r="363" spans="4:17" s="75" customFormat="1" x14ac:dyDescent="0.2">
      <c r="D363" s="84"/>
      <c r="E363" s="74"/>
      <c r="F363" s="74"/>
      <c r="G363" s="176"/>
      <c r="H363" s="74"/>
      <c r="I363" s="74"/>
      <c r="J363" s="74"/>
      <c r="K363" s="74"/>
      <c r="L363" s="74"/>
      <c r="M363" s="74"/>
      <c r="N363" s="74"/>
      <c r="O363" s="74"/>
      <c r="P363" s="74"/>
      <c r="Q363" s="74"/>
    </row>
    <row r="364" spans="4:17" s="75" customFormat="1" x14ac:dyDescent="0.2">
      <c r="D364" s="84"/>
      <c r="E364" s="74"/>
      <c r="F364" s="74"/>
      <c r="G364" s="176"/>
      <c r="H364" s="74"/>
      <c r="I364" s="74"/>
      <c r="J364" s="74"/>
      <c r="K364" s="74"/>
      <c r="L364" s="74"/>
      <c r="M364" s="74"/>
      <c r="N364" s="74"/>
      <c r="O364" s="74"/>
      <c r="P364" s="74"/>
      <c r="Q364" s="74"/>
    </row>
    <row r="365" spans="4:17" s="75" customFormat="1" x14ac:dyDescent="0.2">
      <c r="D365" s="84"/>
      <c r="E365" s="74"/>
      <c r="F365" s="74"/>
      <c r="G365" s="176"/>
      <c r="H365" s="74"/>
      <c r="I365" s="74"/>
      <c r="J365" s="74"/>
      <c r="K365" s="74"/>
      <c r="L365" s="74"/>
      <c r="M365" s="74"/>
      <c r="N365" s="74"/>
      <c r="O365" s="74"/>
      <c r="P365" s="74"/>
      <c r="Q365" s="74"/>
    </row>
    <row r="366" spans="4:17" s="75" customFormat="1" x14ac:dyDescent="0.2">
      <c r="D366" s="84"/>
      <c r="E366" s="74"/>
      <c r="F366" s="74"/>
      <c r="G366" s="176"/>
      <c r="H366" s="74"/>
      <c r="I366" s="74"/>
      <c r="J366" s="74"/>
      <c r="K366" s="74"/>
      <c r="L366" s="74"/>
      <c r="M366" s="74"/>
      <c r="N366" s="74"/>
      <c r="O366" s="74"/>
      <c r="P366" s="74"/>
      <c r="Q366" s="74"/>
    </row>
    <row r="367" spans="4:17" s="75" customFormat="1" x14ac:dyDescent="0.2">
      <c r="D367" s="84"/>
      <c r="E367" s="74"/>
      <c r="F367" s="74"/>
      <c r="G367" s="176"/>
      <c r="H367" s="74"/>
      <c r="I367" s="74"/>
      <c r="J367" s="74"/>
      <c r="K367" s="74"/>
      <c r="L367" s="74"/>
      <c r="M367" s="74"/>
      <c r="N367" s="74"/>
      <c r="O367" s="74"/>
      <c r="P367" s="74"/>
      <c r="Q367" s="74"/>
    </row>
    <row r="368" spans="4:17" s="75" customFormat="1" x14ac:dyDescent="0.2">
      <c r="D368" s="84"/>
      <c r="E368" s="74"/>
      <c r="F368" s="74"/>
      <c r="G368" s="176"/>
      <c r="H368" s="74"/>
      <c r="I368" s="74"/>
      <c r="J368" s="74"/>
      <c r="K368" s="74"/>
      <c r="L368" s="74"/>
      <c r="M368" s="74"/>
      <c r="N368" s="74"/>
      <c r="O368" s="74"/>
      <c r="P368" s="74"/>
      <c r="Q368" s="74"/>
    </row>
    <row r="369" spans="4:17" s="75" customFormat="1" x14ac:dyDescent="0.2">
      <c r="D369" s="84"/>
      <c r="E369" s="74"/>
      <c r="F369" s="74"/>
      <c r="G369" s="176"/>
      <c r="H369" s="74"/>
      <c r="I369" s="74"/>
      <c r="J369" s="74"/>
      <c r="K369" s="74"/>
      <c r="L369" s="74"/>
      <c r="M369" s="74"/>
      <c r="N369" s="74"/>
      <c r="O369" s="74"/>
      <c r="P369" s="74"/>
      <c r="Q369" s="74"/>
    </row>
    <row r="370" spans="4:17" s="75" customFormat="1" x14ac:dyDescent="0.2">
      <c r="D370" s="84"/>
      <c r="E370" s="74"/>
      <c r="F370" s="74"/>
      <c r="G370" s="176"/>
      <c r="H370" s="74"/>
      <c r="I370" s="74"/>
      <c r="J370" s="74"/>
      <c r="K370" s="74"/>
      <c r="L370" s="74"/>
      <c r="M370" s="74"/>
      <c r="N370" s="74"/>
      <c r="O370" s="74"/>
      <c r="P370" s="74"/>
      <c r="Q370" s="74"/>
    </row>
    <row r="371" spans="4:17" s="75" customFormat="1" x14ac:dyDescent="0.2">
      <c r="D371" s="84"/>
      <c r="E371" s="74"/>
      <c r="F371" s="74"/>
      <c r="G371" s="176"/>
      <c r="H371" s="74"/>
      <c r="I371" s="74"/>
      <c r="J371" s="74"/>
      <c r="K371" s="74"/>
      <c r="L371" s="74"/>
      <c r="M371" s="74"/>
      <c r="N371" s="74"/>
      <c r="O371" s="74"/>
      <c r="P371" s="74"/>
      <c r="Q371" s="74"/>
    </row>
    <row r="372" spans="4:17" s="75" customFormat="1" x14ac:dyDescent="0.2">
      <c r="D372" s="84"/>
      <c r="E372" s="74"/>
      <c r="F372" s="74"/>
      <c r="G372" s="176"/>
      <c r="H372" s="74"/>
      <c r="I372" s="74"/>
      <c r="J372" s="74"/>
      <c r="K372" s="74"/>
      <c r="L372" s="74"/>
      <c r="M372" s="74"/>
      <c r="N372" s="74"/>
      <c r="O372" s="74"/>
      <c r="P372" s="74"/>
      <c r="Q372" s="74"/>
    </row>
    <row r="373" spans="4:17" s="75" customFormat="1" x14ac:dyDescent="0.2">
      <c r="D373" s="84"/>
      <c r="E373" s="74"/>
      <c r="F373" s="74"/>
      <c r="G373" s="176"/>
      <c r="H373" s="74"/>
      <c r="I373" s="74"/>
      <c r="J373" s="74"/>
      <c r="K373" s="74"/>
      <c r="L373" s="74"/>
      <c r="M373" s="74"/>
      <c r="N373" s="74"/>
      <c r="O373" s="74"/>
      <c r="P373" s="74"/>
      <c r="Q373" s="74"/>
    </row>
    <row r="374" spans="4:17" s="75" customFormat="1" x14ac:dyDescent="0.2">
      <c r="D374" s="84"/>
      <c r="E374" s="74"/>
      <c r="F374" s="74"/>
      <c r="G374" s="176"/>
      <c r="H374" s="74"/>
      <c r="I374" s="74"/>
      <c r="J374" s="74"/>
      <c r="K374" s="74"/>
      <c r="L374" s="74"/>
      <c r="M374" s="74"/>
      <c r="N374" s="74"/>
      <c r="O374" s="74"/>
      <c r="P374" s="74"/>
      <c r="Q374" s="74"/>
    </row>
    <row r="375" spans="4:17" s="75" customFormat="1" x14ac:dyDescent="0.2">
      <c r="D375" s="84"/>
      <c r="E375" s="74"/>
      <c r="F375" s="74"/>
      <c r="G375" s="176"/>
      <c r="H375" s="74"/>
      <c r="I375" s="74"/>
      <c r="J375" s="74"/>
      <c r="K375" s="74"/>
      <c r="L375" s="74"/>
      <c r="M375" s="74"/>
      <c r="N375" s="74"/>
      <c r="O375" s="74"/>
      <c r="P375" s="74"/>
      <c r="Q375" s="74"/>
    </row>
    <row r="376" spans="4:17" s="75" customFormat="1" x14ac:dyDescent="0.2">
      <c r="D376" s="84"/>
      <c r="E376" s="74"/>
      <c r="F376" s="74"/>
      <c r="G376" s="176"/>
      <c r="H376" s="74"/>
      <c r="I376" s="74"/>
      <c r="J376" s="74"/>
      <c r="K376" s="74"/>
      <c r="L376" s="74"/>
      <c r="M376" s="74"/>
      <c r="N376" s="74"/>
      <c r="O376" s="74"/>
      <c r="P376" s="74"/>
      <c r="Q376" s="74"/>
    </row>
    <row r="377" spans="4:17" s="75" customFormat="1" x14ac:dyDescent="0.2">
      <c r="D377" s="84"/>
      <c r="E377" s="74"/>
      <c r="F377" s="74"/>
      <c r="G377" s="176"/>
      <c r="H377" s="74"/>
      <c r="I377" s="74"/>
      <c r="J377" s="74"/>
      <c r="K377" s="74"/>
      <c r="L377" s="74"/>
      <c r="M377" s="74"/>
      <c r="N377" s="74"/>
      <c r="O377" s="74"/>
      <c r="P377" s="74"/>
      <c r="Q377" s="74"/>
    </row>
    <row r="378" spans="4:17" s="75" customFormat="1" x14ac:dyDescent="0.2">
      <c r="D378" s="84"/>
      <c r="E378" s="74"/>
      <c r="F378" s="74"/>
      <c r="G378" s="176"/>
      <c r="H378" s="74"/>
      <c r="I378" s="74"/>
      <c r="J378" s="74"/>
      <c r="K378" s="74"/>
      <c r="L378" s="74"/>
      <c r="M378" s="74"/>
      <c r="N378" s="74"/>
      <c r="O378" s="74"/>
      <c r="P378" s="74"/>
      <c r="Q378" s="74"/>
    </row>
    <row r="379" spans="4:17" s="75" customFormat="1" x14ac:dyDescent="0.2">
      <c r="D379" s="84"/>
      <c r="E379" s="74"/>
      <c r="F379" s="74"/>
      <c r="G379" s="176"/>
      <c r="H379" s="74"/>
      <c r="I379" s="74"/>
      <c r="J379" s="74"/>
      <c r="K379" s="74"/>
      <c r="L379" s="74"/>
      <c r="M379" s="74"/>
      <c r="N379" s="74"/>
      <c r="O379" s="74"/>
      <c r="P379" s="74"/>
      <c r="Q379" s="74"/>
    </row>
    <row r="380" spans="4:17" s="75" customFormat="1" x14ac:dyDescent="0.2">
      <c r="D380" s="84"/>
      <c r="E380" s="74"/>
      <c r="F380" s="74"/>
      <c r="G380" s="176"/>
      <c r="H380" s="74"/>
      <c r="I380" s="74"/>
      <c r="J380" s="74"/>
      <c r="K380" s="74"/>
      <c r="L380" s="74"/>
      <c r="M380" s="74"/>
      <c r="N380" s="74"/>
      <c r="O380" s="74"/>
      <c r="P380" s="74"/>
      <c r="Q380" s="74"/>
    </row>
    <row r="381" spans="4:17" s="75" customFormat="1" x14ac:dyDescent="0.2">
      <c r="D381" s="84"/>
      <c r="E381" s="74"/>
      <c r="F381" s="74"/>
      <c r="G381" s="176"/>
      <c r="H381" s="74"/>
      <c r="I381" s="74"/>
      <c r="J381" s="74"/>
      <c r="K381" s="74"/>
      <c r="L381" s="74"/>
      <c r="M381" s="74"/>
      <c r="N381" s="74"/>
      <c r="O381" s="74"/>
      <c r="P381" s="74"/>
      <c r="Q381" s="74"/>
    </row>
    <row r="382" spans="4:17" s="75" customFormat="1" x14ac:dyDescent="0.2">
      <c r="D382" s="84"/>
      <c r="E382" s="74"/>
      <c r="F382" s="74"/>
      <c r="G382" s="176"/>
      <c r="H382" s="74"/>
      <c r="I382" s="74"/>
      <c r="J382" s="74"/>
      <c r="K382" s="74"/>
      <c r="L382" s="74"/>
      <c r="M382" s="74"/>
      <c r="N382" s="74"/>
      <c r="O382" s="74"/>
      <c r="P382" s="74"/>
      <c r="Q382" s="74"/>
    </row>
    <row r="383" spans="4:17" s="75" customFormat="1" x14ac:dyDescent="0.2">
      <c r="D383" s="84"/>
      <c r="E383" s="74"/>
      <c r="F383" s="74"/>
      <c r="G383" s="176"/>
      <c r="H383" s="74"/>
      <c r="I383" s="74"/>
      <c r="J383" s="74"/>
      <c r="K383" s="74"/>
      <c r="L383" s="74"/>
      <c r="M383" s="74"/>
      <c r="N383" s="74"/>
      <c r="O383" s="74"/>
      <c r="P383" s="74"/>
      <c r="Q383" s="74"/>
    </row>
    <row r="384" spans="4:17" s="75" customFormat="1" x14ac:dyDescent="0.2">
      <c r="D384" s="84"/>
      <c r="E384" s="74"/>
      <c r="F384" s="74"/>
      <c r="G384" s="176"/>
      <c r="H384" s="74"/>
      <c r="I384" s="74"/>
      <c r="J384" s="74"/>
      <c r="K384" s="74"/>
      <c r="L384" s="74"/>
      <c r="M384" s="74"/>
      <c r="N384" s="74"/>
      <c r="O384" s="74"/>
      <c r="P384" s="74"/>
      <c r="Q384" s="74"/>
    </row>
    <row r="385" spans="4:17" s="75" customFormat="1" x14ac:dyDescent="0.2">
      <c r="D385" s="84"/>
      <c r="E385" s="74"/>
      <c r="F385" s="74"/>
      <c r="G385" s="176"/>
      <c r="H385" s="74"/>
      <c r="I385" s="74"/>
      <c r="J385" s="74"/>
      <c r="K385" s="74"/>
      <c r="L385" s="74"/>
      <c r="M385" s="74"/>
      <c r="N385" s="74"/>
      <c r="O385" s="74"/>
      <c r="P385" s="74"/>
      <c r="Q385" s="74"/>
    </row>
    <row r="386" spans="4:17" s="75" customFormat="1" x14ac:dyDescent="0.2">
      <c r="D386" s="84"/>
      <c r="E386" s="74"/>
      <c r="F386" s="74"/>
      <c r="G386" s="176"/>
      <c r="H386" s="74"/>
      <c r="I386" s="74"/>
      <c r="J386" s="74"/>
      <c r="K386" s="74"/>
      <c r="L386" s="74"/>
      <c r="M386" s="74"/>
      <c r="N386" s="74"/>
      <c r="O386" s="74"/>
      <c r="P386" s="74"/>
      <c r="Q386" s="74"/>
    </row>
    <row r="387" spans="4:17" s="75" customFormat="1" x14ac:dyDescent="0.2">
      <c r="D387" s="84"/>
      <c r="E387" s="74"/>
      <c r="F387" s="74"/>
      <c r="G387" s="176"/>
      <c r="H387" s="74"/>
      <c r="I387" s="74"/>
      <c r="J387" s="74"/>
      <c r="K387" s="74"/>
      <c r="L387" s="74"/>
      <c r="M387" s="74"/>
      <c r="N387" s="74"/>
      <c r="O387" s="74"/>
      <c r="P387" s="74"/>
      <c r="Q387" s="74"/>
    </row>
    <row r="388" spans="4:17" s="75" customFormat="1" x14ac:dyDescent="0.2">
      <c r="D388" s="84"/>
      <c r="E388" s="74"/>
      <c r="F388" s="74"/>
      <c r="G388" s="176"/>
      <c r="H388" s="74"/>
      <c r="I388" s="74"/>
      <c r="J388" s="74"/>
      <c r="K388" s="74"/>
      <c r="L388" s="74"/>
      <c r="M388" s="74"/>
      <c r="N388" s="74"/>
      <c r="O388" s="74"/>
      <c r="P388" s="74"/>
      <c r="Q388" s="74"/>
    </row>
    <row r="389" spans="4:17" s="75" customFormat="1" x14ac:dyDescent="0.2">
      <c r="D389" s="84"/>
      <c r="E389" s="74"/>
      <c r="F389" s="74"/>
      <c r="G389" s="176"/>
      <c r="H389" s="74"/>
      <c r="I389" s="74"/>
      <c r="J389" s="74"/>
      <c r="K389" s="74"/>
      <c r="L389" s="74"/>
      <c r="M389" s="74"/>
      <c r="N389" s="74"/>
      <c r="O389" s="74"/>
      <c r="P389" s="74"/>
      <c r="Q389" s="74"/>
    </row>
    <row r="390" spans="4:17" s="75" customFormat="1" x14ac:dyDescent="0.2">
      <c r="D390" s="84"/>
      <c r="E390" s="74"/>
      <c r="F390" s="74"/>
      <c r="G390" s="176"/>
      <c r="H390" s="74"/>
      <c r="I390" s="74"/>
      <c r="J390" s="74"/>
      <c r="K390" s="74"/>
      <c r="L390" s="74"/>
      <c r="M390" s="74"/>
      <c r="N390" s="74"/>
      <c r="O390" s="74"/>
      <c r="P390" s="74"/>
      <c r="Q390" s="74"/>
    </row>
    <row r="391" spans="4:17" s="75" customFormat="1" x14ac:dyDescent="0.2">
      <c r="D391" s="84"/>
      <c r="E391" s="74"/>
      <c r="F391" s="74"/>
      <c r="G391" s="176"/>
      <c r="H391" s="74"/>
      <c r="I391" s="74"/>
      <c r="J391" s="74"/>
      <c r="K391" s="74"/>
      <c r="L391" s="74"/>
      <c r="M391" s="74"/>
      <c r="N391" s="74"/>
      <c r="O391" s="74"/>
      <c r="P391" s="74"/>
      <c r="Q391" s="74"/>
    </row>
    <row r="392" spans="4:17" s="75" customFormat="1" x14ac:dyDescent="0.2">
      <c r="D392" s="84"/>
      <c r="E392" s="74"/>
      <c r="F392" s="74"/>
      <c r="G392" s="176"/>
      <c r="H392" s="74"/>
      <c r="I392" s="74"/>
      <c r="J392" s="74"/>
      <c r="K392" s="74"/>
      <c r="L392" s="74"/>
      <c r="M392" s="74"/>
      <c r="N392" s="74"/>
      <c r="O392" s="74"/>
      <c r="P392" s="74"/>
      <c r="Q392" s="74"/>
    </row>
    <row r="393" spans="4:17" s="75" customFormat="1" x14ac:dyDescent="0.2">
      <c r="D393" s="84"/>
      <c r="E393" s="74"/>
      <c r="F393" s="74"/>
      <c r="G393" s="176"/>
      <c r="H393" s="74"/>
      <c r="I393" s="74"/>
      <c r="J393" s="74"/>
      <c r="K393" s="74"/>
      <c r="L393" s="74"/>
      <c r="M393" s="74"/>
      <c r="N393" s="74"/>
      <c r="O393" s="74"/>
      <c r="P393" s="74"/>
      <c r="Q393" s="74"/>
    </row>
    <row r="394" spans="4:17" s="75" customFormat="1" x14ac:dyDescent="0.2">
      <c r="D394" s="84"/>
      <c r="E394" s="74"/>
      <c r="F394" s="74"/>
      <c r="G394" s="176"/>
      <c r="H394" s="74"/>
      <c r="I394" s="74"/>
      <c r="J394" s="74"/>
      <c r="K394" s="74"/>
      <c r="L394" s="74"/>
      <c r="M394" s="74"/>
      <c r="N394" s="74"/>
      <c r="O394" s="74"/>
      <c r="P394" s="74"/>
      <c r="Q394" s="74"/>
    </row>
    <row r="395" spans="4:17" s="75" customFormat="1" x14ac:dyDescent="0.2">
      <c r="D395" s="84"/>
      <c r="E395" s="74"/>
      <c r="F395" s="74"/>
      <c r="G395" s="176"/>
      <c r="H395" s="74"/>
      <c r="I395" s="74"/>
      <c r="J395" s="74"/>
      <c r="K395" s="74"/>
      <c r="L395" s="74"/>
      <c r="M395" s="74"/>
      <c r="N395" s="74"/>
      <c r="O395" s="74"/>
      <c r="P395" s="74"/>
      <c r="Q395" s="74"/>
    </row>
    <row r="396" spans="4:17" s="75" customFormat="1" x14ac:dyDescent="0.2">
      <c r="D396" s="84"/>
      <c r="E396" s="74"/>
      <c r="F396" s="74"/>
      <c r="G396" s="176"/>
      <c r="H396" s="74"/>
      <c r="I396" s="74"/>
      <c r="J396" s="74"/>
      <c r="K396" s="74"/>
      <c r="L396" s="74"/>
      <c r="M396" s="74"/>
      <c r="N396" s="74"/>
      <c r="O396" s="74"/>
      <c r="P396" s="74"/>
      <c r="Q396" s="74"/>
    </row>
    <row r="397" spans="4:17" s="75" customFormat="1" x14ac:dyDescent="0.2">
      <c r="D397" s="84"/>
      <c r="E397" s="74"/>
      <c r="F397" s="74"/>
      <c r="G397" s="176"/>
      <c r="H397" s="74"/>
      <c r="I397" s="74"/>
      <c r="J397" s="74"/>
      <c r="K397" s="74"/>
      <c r="L397" s="74"/>
      <c r="M397" s="74"/>
      <c r="N397" s="74"/>
      <c r="O397" s="74"/>
      <c r="P397" s="74"/>
      <c r="Q397" s="74"/>
    </row>
    <row r="398" spans="4:17" s="75" customFormat="1" x14ac:dyDescent="0.2">
      <c r="D398" s="84"/>
      <c r="E398" s="74"/>
      <c r="F398" s="74"/>
      <c r="G398" s="176"/>
      <c r="H398" s="74"/>
      <c r="I398" s="74"/>
      <c r="J398" s="74"/>
      <c r="K398" s="74"/>
      <c r="L398" s="74"/>
      <c r="M398" s="74"/>
      <c r="N398" s="74"/>
      <c r="O398" s="74"/>
      <c r="P398" s="74"/>
      <c r="Q398" s="74"/>
    </row>
    <row r="399" spans="4:17" s="75" customFormat="1" x14ac:dyDescent="0.2">
      <c r="D399" s="84"/>
      <c r="E399" s="74"/>
      <c r="F399" s="74"/>
      <c r="G399" s="176"/>
      <c r="H399" s="74"/>
      <c r="I399" s="74"/>
      <c r="J399" s="74"/>
      <c r="K399" s="74"/>
      <c r="L399" s="74"/>
      <c r="M399" s="74"/>
      <c r="N399" s="74"/>
      <c r="O399" s="74"/>
      <c r="P399" s="74"/>
      <c r="Q399" s="74"/>
    </row>
    <row r="400" spans="4:17" s="75" customFormat="1" x14ac:dyDescent="0.2">
      <c r="D400" s="84"/>
      <c r="E400" s="74"/>
      <c r="F400" s="74"/>
      <c r="G400" s="176"/>
      <c r="H400" s="74"/>
      <c r="I400" s="74"/>
      <c r="J400" s="74"/>
      <c r="K400" s="74"/>
      <c r="L400" s="74"/>
      <c r="M400" s="74"/>
      <c r="N400" s="74"/>
      <c r="O400" s="74"/>
      <c r="P400" s="74"/>
      <c r="Q400" s="74"/>
    </row>
    <row r="401" spans="4:17" s="75" customFormat="1" x14ac:dyDescent="0.2">
      <c r="D401" s="84"/>
      <c r="E401" s="74"/>
      <c r="F401" s="74"/>
      <c r="G401" s="176"/>
      <c r="H401" s="74"/>
      <c r="I401" s="74"/>
      <c r="J401" s="74"/>
      <c r="K401" s="74"/>
      <c r="L401" s="74"/>
      <c r="M401" s="74"/>
      <c r="N401" s="74"/>
      <c r="O401" s="74"/>
      <c r="P401" s="74"/>
      <c r="Q401" s="74"/>
    </row>
    <row r="402" spans="4:17" s="75" customFormat="1" x14ac:dyDescent="0.2">
      <c r="D402" s="84"/>
      <c r="E402" s="74"/>
      <c r="F402" s="74"/>
      <c r="G402" s="176"/>
      <c r="H402" s="74"/>
      <c r="I402" s="74"/>
      <c r="J402" s="74"/>
      <c r="K402" s="74"/>
      <c r="L402" s="74"/>
      <c r="M402" s="74"/>
      <c r="N402" s="74"/>
      <c r="O402" s="74"/>
      <c r="P402" s="74"/>
      <c r="Q402" s="74"/>
    </row>
    <row r="403" spans="4:17" s="75" customFormat="1" x14ac:dyDescent="0.2">
      <c r="D403" s="84"/>
      <c r="E403" s="74"/>
      <c r="F403" s="74"/>
      <c r="G403" s="176"/>
      <c r="H403" s="74"/>
      <c r="I403" s="74"/>
      <c r="J403" s="74"/>
      <c r="K403" s="74"/>
      <c r="L403" s="74"/>
      <c r="M403" s="74"/>
      <c r="N403" s="74"/>
      <c r="O403" s="74"/>
      <c r="P403" s="74"/>
      <c r="Q403" s="74"/>
    </row>
    <row r="404" spans="4:17" s="75" customFormat="1" x14ac:dyDescent="0.2">
      <c r="D404" s="84"/>
      <c r="E404" s="74"/>
      <c r="F404" s="74"/>
      <c r="G404" s="176"/>
      <c r="H404" s="74"/>
      <c r="I404" s="74"/>
      <c r="J404" s="74"/>
      <c r="K404" s="74"/>
      <c r="L404" s="74"/>
      <c r="M404" s="74"/>
      <c r="N404" s="74"/>
      <c r="O404" s="74"/>
      <c r="P404" s="74"/>
      <c r="Q404" s="74"/>
    </row>
    <row r="405" spans="4:17" s="75" customFormat="1" x14ac:dyDescent="0.2">
      <c r="D405" s="84"/>
      <c r="E405" s="74"/>
      <c r="F405" s="74"/>
      <c r="G405" s="176"/>
      <c r="H405" s="74"/>
      <c r="I405" s="74"/>
      <c r="J405" s="74"/>
      <c r="K405" s="74"/>
      <c r="L405" s="74"/>
      <c r="M405" s="74"/>
      <c r="N405" s="74"/>
      <c r="O405" s="74"/>
      <c r="P405" s="74"/>
      <c r="Q405" s="74"/>
    </row>
    <row r="406" spans="4:17" s="75" customFormat="1" x14ac:dyDescent="0.2">
      <c r="D406" s="84"/>
      <c r="E406" s="74"/>
      <c r="F406" s="74"/>
      <c r="G406" s="176"/>
      <c r="H406" s="74"/>
      <c r="I406" s="74"/>
      <c r="J406" s="74"/>
      <c r="K406" s="74"/>
      <c r="L406" s="74"/>
      <c r="M406" s="74"/>
      <c r="N406" s="74"/>
      <c r="O406" s="74"/>
      <c r="P406" s="74"/>
      <c r="Q406" s="74"/>
    </row>
    <row r="407" spans="4:17" s="75" customFormat="1" x14ac:dyDescent="0.2">
      <c r="D407" s="84"/>
      <c r="E407" s="74"/>
      <c r="F407" s="74"/>
      <c r="G407" s="176"/>
      <c r="H407" s="74"/>
      <c r="I407" s="74"/>
      <c r="J407" s="74"/>
      <c r="K407" s="74"/>
      <c r="L407" s="74"/>
      <c r="M407" s="74"/>
      <c r="N407" s="74"/>
      <c r="O407" s="74"/>
      <c r="P407" s="74"/>
      <c r="Q407" s="74"/>
    </row>
    <row r="408" spans="4:17" s="75" customFormat="1" x14ac:dyDescent="0.2">
      <c r="D408" s="84"/>
      <c r="E408" s="74"/>
      <c r="F408" s="74"/>
      <c r="G408" s="176"/>
      <c r="H408" s="74"/>
      <c r="I408" s="74"/>
      <c r="J408" s="74"/>
      <c r="K408" s="74"/>
      <c r="L408" s="74"/>
      <c r="M408" s="74"/>
      <c r="N408" s="74"/>
      <c r="O408" s="74"/>
      <c r="P408" s="74"/>
      <c r="Q408" s="74"/>
    </row>
    <row r="409" spans="4:17" s="75" customFormat="1" x14ac:dyDescent="0.2">
      <c r="D409" s="84"/>
      <c r="E409" s="74"/>
      <c r="F409" s="74"/>
      <c r="G409" s="176"/>
      <c r="H409" s="74"/>
      <c r="I409" s="74"/>
      <c r="J409" s="74"/>
      <c r="K409" s="74"/>
      <c r="L409" s="74"/>
      <c r="M409" s="74"/>
      <c r="N409" s="74"/>
      <c r="O409" s="74"/>
      <c r="P409" s="74"/>
      <c r="Q409" s="74"/>
    </row>
    <row r="410" spans="4:17" s="75" customFormat="1" x14ac:dyDescent="0.2">
      <c r="D410" s="84"/>
      <c r="E410" s="74"/>
      <c r="F410" s="74"/>
      <c r="G410" s="176"/>
      <c r="H410" s="74"/>
      <c r="I410" s="74"/>
      <c r="J410" s="74"/>
      <c r="K410" s="74"/>
      <c r="L410" s="74"/>
      <c r="M410" s="74"/>
      <c r="N410" s="74"/>
      <c r="O410" s="74"/>
      <c r="P410" s="74"/>
      <c r="Q410" s="74"/>
    </row>
    <row r="411" spans="4:17" s="75" customFormat="1" x14ac:dyDescent="0.2">
      <c r="D411" s="84"/>
      <c r="E411" s="74"/>
      <c r="F411" s="74"/>
      <c r="G411" s="176"/>
      <c r="H411" s="74"/>
      <c r="I411" s="74"/>
      <c r="J411" s="74"/>
      <c r="K411" s="74"/>
      <c r="L411" s="74"/>
      <c r="M411" s="74"/>
      <c r="N411" s="74"/>
      <c r="O411" s="74"/>
      <c r="P411" s="74"/>
      <c r="Q411" s="74"/>
    </row>
    <row r="412" spans="4:17" s="75" customFormat="1" x14ac:dyDescent="0.2">
      <c r="D412" s="84"/>
      <c r="E412" s="74"/>
      <c r="F412" s="74"/>
      <c r="G412" s="176"/>
      <c r="H412" s="74"/>
      <c r="I412" s="74"/>
      <c r="J412" s="74"/>
      <c r="K412" s="74"/>
      <c r="L412" s="74"/>
      <c r="M412" s="74"/>
      <c r="N412" s="74"/>
      <c r="O412" s="74"/>
      <c r="P412" s="74"/>
      <c r="Q412" s="74"/>
    </row>
    <row r="413" spans="4:17" s="75" customFormat="1" x14ac:dyDescent="0.2">
      <c r="D413" s="84"/>
      <c r="E413" s="74"/>
      <c r="F413" s="74"/>
      <c r="G413" s="176"/>
      <c r="H413" s="74"/>
      <c r="I413" s="74"/>
      <c r="J413" s="74"/>
      <c r="K413" s="74"/>
      <c r="L413" s="74"/>
      <c r="M413" s="74"/>
      <c r="N413" s="74"/>
      <c r="O413" s="74"/>
      <c r="P413" s="74"/>
      <c r="Q413" s="74"/>
    </row>
    <row r="414" spans="4:17" s="75" customFormat="1" x14ac:dyDescent="0.2">
      <c r="D414" s="84"/>
      <c r="E414" s="74"/>
      <c r="F414" s="74"/>
      <c r="G414" s="176"/>
      <c r="H414" s="74"/>
      <c r="I414" s="74"/>
      <c r="J414" s="74"/>
      <c r="K414" s="74"/>
      <c r="L414" s="74"/>
      <c r="M414" s="74"/>
      <c r="N414" s="74"/>
      <c r="O414" s="74"/>
      <c r="P414" s="74"/>
      <c r="Q414" s="74"/>
    </row>
    <row r="415" spans="4:17" s="75" customFormat="1" x14ac:dyDescent="0.2">
      <c r="D415" s="84"/>
      <c r="E415" s="74"/>
      <c r="F415" s="74"/>
      <c r="G415" s="176"/>
      <c r="H415" s="74"/>
      <c r="I415" s="74"/>
      <c r="J415" s="74"/>
      <c r="K415" s="74"/>
      <c r="L415" s="74"/>
      <c r="M415" s="74"/>
      <c r="N415" s="74"/>
      <c r="O415" s="74"/>
      <c r="P415" s="74"/>
      <c r="Q415" s="74"/>
    </row>
    <row r="416" spans="4:17" s="75" customFormat="1" x14ac:dyDescent="0.2">
      <c r="D416" s="84"/>
      <c r="E416" s="74"/>
      <c r="F416" s="74"/>
      <c r="G416" s="176"/>
      <c r="H416" s="74"/>
      <c r="I416" s="74"/>
      <c r="J416" s="74"/>
      <c r="K416" s="74"/>
      <c r="L416" s="74"/>
      <c r="M416" s="74"/>
      <c r="N416" s="74"/>
      <c r="O416" s="74"/>
      <c r="P416" s="74"/>
      <c r="Q416" s="74"/>
    </row>
    <row r="417" spans="4:17" s="75" customFormat="1" x14ac:dyDescent="0.2">
      <c r="D417" s="84"/>
      <c r="E417" s="74"/>
      <c r="F417" s="74"/>
      <c r="G417" s="176"/>
      <c r="H417" s="74"/>
      <c r="I417" s="74"/>
      <c r="J417" s="74"/>
      <c r="K417" s="74"/>
      <c r="L417" s="74"/>
      <c r="M417" s="74"/>
      <c r="N417" s="74"/>
      <c r="O417" s="74"/>
      <c r="P417" s="74"/>
      <c r="Q417" s="74"/>
    </row>
    <row r="418" spans="4:17" s="75" customFormat="1" x14ac:dyDescent="0.2">
      <c r="D418" s="84"/>
      <c r="E418" s="74"/>
      <c r="F418" s="74"/>
      <c r="G418" s="176"/>
      <c r="H418" s="74"/>
      <c r="I418" s="74"/>
      <c r="J418" s="74"/>
      <c r="K418" s="74"/>
      <c r="L418" s="74"/>
      <c r="M418" s="74"/>
      <c r="N418" s="74"/>
      <c r="O418" s="74"/>
      <c r="P418" s="74"/>
      <c r="Q418" s="74"/>
    </row>
    <row r="419" spans="4:17" s="75" customFormat="1" x14ac:dyDescent="0.2">
      <c r="D419" s="84"/>
      <c r="E419" s="74"/>
      <c r="F419" s="74"/>
      <c r="G419" s="176"/>
      <c r="H419" s="74"/>
      <c r="I419" s="74"/>
      <c r="J419" s="74"/>
      <c r="K419" s="74"/>
      <c r="L419" s="74"/>
      <c r="M419" s="74"/>
      <c r="N419" s="74"/>
      <c r="O419" s="74"/>
      <c r="P419" s="74"/>
      <c r="Q419" s="74"/>
    </row>
    <row r="420" spans="4:17" s="75" customFormat="1" x14ac:dyDescent="0.2">
      <c r="D420" s="84"/>
      <c r="E420" s="74"/>
      <c r="F420" s="74"/>
      <c r="G420" s="176"/>
      <c r="H420" s="74"/>
      <c r="I420" s="74"/>
      <c r="J420" s="74"/>
      <c r="K420" s="74"/>
      <c r="L420" s="74"/>
      <c r="M420" s="74"/>
      <c r="N420" s="74"/>
      <c r="O420" s="74"/>
      <c r="P420" s="74"/>
      <c r="Q420" s="74"/>
    </row>
    <row r="421" spans="4:17" s="75" customFormat="1" x14ac:dyDescent="0.2">
      <c r="D421" s="84"/>
      <c r="E421" s="74"/>
      <c r="F421" s="74"/>
      <c r="G421" s="176"/>
      <c r="H421" s="74"/>
      <c r="I421" s="74"/>
      <c r="J421" s="74"/>
      <c r="K421" s="74"/>
      <c r="L421" s="74"/>
      <c r="M421" s="74"/>
      <c r="N421" s="74"/>
      <c r="O421" s="74"/>
      <c r="P421" s="74"/>
      <c r="Q421" s="74"/>
    </row>
    <row r="422" spans="4:17" s="75" customFormat="1" x14ac:dyDescent="0.2">
      <c r="D422" s="84"/>
      <c r="E422" s="74"/>
      <c r="F422" s="74"/>
      <c r="G422" s="176"/>
      <c r="H422" s="74"/>
      <c r="I422" s="74"/>
      <c r="J422" s="74"/>
      <c r="K422" s="74"/>
      <c r="L422" s="74"/>
      <c r="M422" s="74"/>
      <c r="N422" s="74"/>
      <c r="O422" s="74"/>
      <c r="P422" s="74"/>
      <c r="Q422" s="74"/>
    </row>
    <row r="423" spans="4:17" s="75" customFormat="1" x14ac:dyDescent="0.2">
      <c r="D423" s="84"/>
      <c r="E423" s="74"/>
      <c r="F423" s="74"/>
      <c r="G423" s="176"/>
      <c r="H423" s="74"/>
      <c r="I423" s="74"/>
      <c r="J423" s="74"/>
      <c r="K423" s="74"/>
      <c r="L423" s="74"/>
      <c r="M423" s="74"/>
      <c r="N423" s="74"/>
      <c r="O423" s="74"/>
      <c r="P423" s="74"/>
      <c r="Q423" s="74"/>
    </row>
    <row r="424" spans="4:17" s="75" customFormat="1" x14ac:dyDescent="0.2">
      <c r="D424" s="84"/>
      <c r="E424" s="74"/>
      <c r="F424" s="74"/>
      <c r="G424" s="176"/>
      <c r="H424" s="74"/>
      <c r="I424" s="74"/>
      <c r="J424" s="74"/>
      <c r="K424" s="74"/>
      <c r="L424" s="74"/>
      <c r="M424" s="74"/>
      <c r="N424" s="74"/>
      <c r="O424" s="74"/>
      <c r="P424" s="74"/>
      <c r="Q424" s="74"/>
    </row>
    <row r="425" spans="4:17" s="75" customFormat="1" x14ac:dyDescent="0.2">
      <c r="D425" s="84"/>
      <c r="E425" s="74"/>
      <c r="F425" s="74"/>
      <c r="G425" s="176"/>
      <c r="H425" s="74"/>
      <c r="I425" s="74"/>
      <c r="J425" s="74"/>
      <c r="K425" s="74"/>
      <c r="L425" s="74"/>
      <c r="M425" s="74"/>
      <c r="N425" s="74"/>
      <c r="O425" s="74"/>
      <c r="P425" s="74"/>
      <c r="Q425" s="74"/>
    </row>
    <row r="426" spans="4:17" s="75" customFormat="1" x14ac:dyDescent="0.2">
      <c r="D426" s="84"/>
      <c r="E426" s="74"/>
      <c r="F426" s="74"/>
      <c r="G426" s="176"/>
      <c r="H426" s="74"/>
      <c r="I426" s="74"/>
      <c r="J426" s="74"/>
      <c r="K426" s="74"/>
      <c r="L426" s="74"/>
      <c r="M426" s="74"/>
      <c r="N426" s="74"/>
      <c r="O426" s="74"/>
      <c r="P426" s="74"/>
      <c r="Q426" s="74"/>
    </row>
    <row r="427" spans="4:17" s="75" customFormat="1" x14ac:dyDescent="0.2">
      <c r="D427" s="84"/>
      <c r="E427" s="74"/>
      <c r="F427" s="74"/>
      <c r="G427" s="176"/>
      <c r="H427" s="74"/>
      <c r="I427" s="74"/>
      <c r="J427" s="74"/>
      <c r="K427" s="74"/>
      <c r="L427" s="74"/>
      <c r="M427" s="74"/>
      <c r="N427" s="74"/>
      <c r="O427" s="74"/>
      <c r="P427" s="74"/>
      <c r="Q427" s="74"/>
    </row>
    <row r="428" spans="4:17" s="75" customFormat="1" x14ac:dyDescent="0.2">
      <c r="D428" s="84"/>
      <c r="E428" s="74"/>
      <c r="F428" s="74"/>
      <c r="G428" s="176"/>
      <c r="H428" s="74"/>
      <c r="I428" s="74"/>
      <c r="J428" s="74"/>
      <c r="K428" s="74"/>
      <c r="L428" s="74"/>
      <c r="M428" s="74"/>
      <c r="N428" s="74"/>
      <c r="O428" s="74"/>
      <c r="P428" s="74"/>
      <c r="Q428" s="74"/>
    </row>
    <row r="429" spans="4:17" s="75" customFormat="1" x14ac:dyDescent="0.2">
      <c r="D429" s="84"/>
      <c r="E429" s="74"/>
      <c r="F429" s="74"/>
      <c r="G429" s="176"/>
      <c r="H429" s="74"/>
      <c r="I429" s="74"/>
      <c r="J429" s="74"/>
      <c r="K429" s="74"/>
      <c r="L429" s="74"/>
      <c r="M429" s="74"/>
      <c r="N429" s="74"/>
      <c r="O429" s="74"/>
      <c r="P429" s="74"/>
      <c r="Q429" s="74"/>
    </row>
    <row r="430" spans="4:17" s="75" customFormat="1" x14ac:dyDescent="0.2">
      <c r="D430" s="84"/>
      <c r="E430" s="74"/>
      <c r="F430" s="74"/>
      <c r="G430" s="176"/>
      <c r="H430" s="74"/>
      <c r="I430" s="74"/>
      <c r="J430" s="74"/>
      <c r="K430" s="74"/>
      <c r="L430" s="74"/>
      <c r="M430" s="74"/>
      <c r="N430" s="74"/>
      <c r="O430" s="74"/>
      <c r="P430" s="74"/>
      <c r="Q430" s="74"/>
    </row>
    <row r="431" spans="4:17" s="75" customFormat="1" x14ac:dyDescent="0.2">
      <c r="D431" s="84"/>
      <c r="E431" s="74"/>
      <c r="F431" s="74"/>
      <c r="G431" s="176"/>
      <c r="H431" s="74"/>
      <c r="I431" s="74"/>
      <c r="J431" s="74"/>
      <c r="K431" s="74"/>
      <c r="L431" s="74"/>
      <c r="M431" s="74"/>
      <c r="N431" s="74"/>
      <c r="O431" s="74"/>
      <c r="P431" s="74"/>
      <c r="Q431" s="74"/>
    </row>
    <row r="432" spans="4:17" s="75" customFormat="1" x14ac:dyDescent="0.2">
      <c r="D432" s="84"/>
      <c r="E432" s="74"/>
      <c r="F432" s="74"/>
      <c r="G432" s="176"/>
      <c r="H432" s="74"/>
      <c r="I432" s="74"/>
      <c r="J432" s="74"/>
      <c r="K432" s="74"/>
      <c r="L432" s="74"/>
      <c r="M432" s="74"/>
      <c r="N432" s="74"/>
      <c r="O432" s="74"/>
      <c r="P432" s="74"/>
      <c r="Q432" s="74"/>
    </row>
    <row r="433" spans="4:17" s="75" customFormat="1" x14ac:dyDescent="0.2">
      <c r="D433" s="84"/>
      <c r="E433" s="74"/>
      <c r="F433" s="74"/>
      <c r="G433" s="176"/>
      <c r="H433" s="74"/>
      <c r="I433" s="74"/>
      <c r="J433" s="74"/>
      <c r="K433" s="74"/>
      <c r="L433" s="74"/>
      <c r="M433" s="74"/>
      <c r="N433" s="74"/>
      <c r="O433" s="74"/>
      <c r="P433" s="74"/>
      <c r="Q433" s="74"/>
    </row>
    <row r="434" spans="4:17" s="75" customFormat="1" x14ac:dyDescent="0.2">
      <c r="D434" s="84"/>
      <c r="E434" s="74"/>
      <c r="F434" s="74"/>
      <c r="G434" s="176"/>
      <c r="H434" s="74"/>
      <c r="I434" s="74"/>
      <c r="J434" s="74"/>
      <c r="K434" s="74"/>
      <c r="L434" s="74"/>
      <c r="M434" s="74"/>
      <c r="N434" s="74"/>
      <c r="O434" s="74"/>
      <c r="P434" s="74"/>
      <c r="Q434" s="74"/>
    </row>
    <row r="435" spans="4:17" s="75" customFormat="1" x14ac:dyDescent="0.2">
      <c r="D435" s="84"/>
      <c r="E435" s="74"/>
      <c r="F435" s="74"/>
      <c r="G435" s="176"/>
      <c r="H435" s="74"/>
      <c r="I435" s="74"/>
      <c r="J435" s="74"/>
      <c r="K435" s="74"/>
      <c r="L435" s="74"/>
      <c r="M435" s="74"/>
      <c r="N435" s="74"/>
      <c r="O435" s="74"/>
      <c r="P435" s="74"/>
      <c r="Q435" s="74"/>
    </row>
    <row r="436" spans="4:17" s="75" customFormat="1" x14ac:dyDescent="0.2">
      <c r="D436" s="84"/>
      <c r="E436" s="74"/>
      <c r="F436" s="74"/>
      <c r="G436" s="176"/>
      <c r="H436" s="74"/>
      <c r="I436" s="74"/>
      <c r="J436" s="74"/>
      <c r="K436" s="74"/>
      <c r="L436" s="74"/>
      <c r="M436" s="74"/>
      <c r="N436" s="74"/>
      <c r="O436" s="74"/>
      <c r="P436" s="74"/>
      <c r="Q436" s="74"/>
    </row>
    <row r="437" spans="4:17" s="75" customFormat="1" x14ac:dyDescent="0.2">
      <c r="D437" s="84"/>
      <c r="E437" s="74"/>
      <c r="F437" s="74"/>
      <c r="G437" s="176"/>
      <c r="H437" s="74"/>
      <c r="I437" s="74"/>
      <c r="J437" s="74"/>
      <c r="K437" s="74"/>
      <c r="L437" s="74"/>
      <c r="M437" s="74"/>
      <c r="N437" s="74"/>
      <c r="O437" s="74"/>
      <c r="P437" s="74"/>
      <c r="Q437" s="74"/>
    </row>
    <row r="438" spans="4:17" s="75" customFormat="1" x14ac:dyDescent="0.2">
      <c r="D438" s="84"/>
      <c r="E438" s="74"/>
      <c r="F438" s="74"/>
      <c r="G438" s="176"/>
      <c r="H438" s="74"/>
      <c r="I438" s="74"/>
      <c r="J438" s="74"/>
      <c r="K438" s="74"/>
      <c r="L438" s="74"/>
      <c r="M438" s="74"/>
      <c r="N438" s="74"/>
      <c r="O438" s="74"/>
      <c r="P438" s="74"/>
      <c r="Q438" s="74"/>
    </row>
    <row r="439" spans="4:17" s="75" customFormat="1" x14ac:dyDescent="0.2">
      <c r="D439" s="84"/>
      <c r="E439" s="74"/>
      <c r="F439" s="74"/>
      <c r="G439" s="176"/>
      <c r="H439" s="74"/>
      <c r="I439" s="74"/>
      <c r="J439" s="74"/>
      <c r="K439" s="74"/>
      <c r="L439" s="74"/>
      <c r="M439" s="74"/>
      <c r="N439" s="74"/>
      <c r="O439" s="74"/>
      <c r="P439" s="74"/>
      <c r="Q439" s="74"/>
    </row>
    <row r="440" spans="4:17" s="75" customFormat="1" x14ac:dyDescent="0.2">
      <c r="D440" s="84"/>
      <c r="E440" s="74"/>
      <c r="F440" s="74"/>
      <c r="G440" s="176"/>
      <c r="H440" s="74"/>
      <c r="I440" s="74"/>
      <c r="J440" s="74"/>
      <c r="K440" s="74"/>
      <c r="L440" s="74"/>
      <c r="M440" s="74"/>
      <c r="N440" s="74"/>
      <c r="O440" s="74"/>
      <c r="P440" s="74"/>
      <c r="Q440" s="74"/>
    </row>
    <row r="441" spans="4:17" s="75" customFormat="1" x14ac:dyDescent="0.2">
      <c r="D441" s="84"/>
      <c r="E441" s="74"/>
      <c r="F441" s="74"/>
      <c r="G441" s="176"/>
      <c r="H441" s="74"/>
      <c r="I441" s="74"/>
      <c r="J441" s="74"/>
      <c r="K441" s="74"/>
      <c r="L441" s="74"/>
      <c r="M441" s="74"/>
      <c r="N441" s="74"/>
      <c r="O441" s="74"/>
      <c r="P441" s="74"/>
      <c r="Q441" s="74"/>
    </row>
    <row r="442" spans="4:17" s="75" customFormat="1" x14ac:dyDescent="0.2">
      <c r="D442" s="84"/>
      <c r="E442" s="74"/>
      <c r="F442" s="74"/>
      <c r="G442" s="176"/>
      <c r="H442" s="74"/>
      <c r="I442" s="74"/>
      <c r="J442" s="74"/>
      <c r="K442" s="74"/>
      <c r="L442" s="74"/>
      <c r="M442" s="74"/>
      <c r="N442" s="74"/>
      <c r="O442" s="74"/>
      <c r="P442" s="74"/>
      <c r="Q442" s="74"/>
    </row>
    <row r="443" spans="4:17" s="75" customFormat="1" x14ac:dyDescent="0.2">
      <c r="D443" s="84"/>
      <c r="E443" s="74"/>
      <c r="F443" s="74"/>
      <c r="G443" s="176"/>
      <c r="H443" s="74"/>
      <c r="I443" s="74"/>
      <c r="J443" s="74"/>
      <c r="K443" s="74"/>
      <c r="L443" s="74"/>
      <c r="M443" s="74"/>
      <c r="N443" s="74"/>
      <c r="O443" s="74"/>
      <c r="P443" s="74"/>
      <c r="Q443" s="74"/>
    </row>
    <row r="444" spans="4:17" s="75" customFormat="1" x14ac:dyDescent="0.2">
      <c r="D444" s="84"/>
      <c r="E444" s="74"/>
      <c r="F444" s="74"/>
      <c r="G444" s="176"/>
      <c r="H444" s="74"/>
      <c r="I444" s="74"/>
      <c r="J444" s="74"/>
      <c r="K444" s="74"/>
      <c r="L444" s="74"/>
      <c r="M444" s="74"/>
      <c r="N444" s="74"/>
      <c r="O444" s="74"/>
      <c r="P444" s="74"/>
      <c r="Q444" s="74"/>
    </row>
    <row r="445" spans="4:17" s="75" customFormat="1" x14ac:dyDescent="0.2">
      <c r="D445" s="84"/>
      <c r="E445" s="74"/>
      <c r="F445" s="74"/>
      <c r="G445" s="176"/>
      <c r="H445" s="74"/>
      <c r="I445" s="74"/>
      <c r="J445" s="74"/>
      <c r="K445" s="74"/>
      <c r="L445" s="74"/>
      <c r="M445" s="74"/>
      <c r="N445" s="74"/>
      <c r="O445" s="74"/>
      <c r="P445" s="74"/>
      <c r="Q445" s="74"/>
    </row>
    <row r="446" spans="4:17" s="75" customFormat="1" x14ac:dyDescent="0.2">
      <c r="D446" s="84"/>
      <c r="E446" s="74"/>
      <c r="F446" s="74"/>
      <c r="G446" s="176"/>
      <c r="H446" s="74"/>
      <c r="I446" s="74"/>
      <c r="J446" s="74"/>
      <c r="K446" s="74"/>
      <c r="L446" s="74"/>
      <c r="M446" s="74"/>
      <c r="N446" s="74"/>
      <c r="O446" s="74"/>
      <c r="P446" s="74"/>
      <c r="Q446" s="74"/>
    </row>
    <row r="447" spans="4:17" s="75" customFormat="1" x14ac:dyDescent="0.2">
      <c r="D447" s="84"/>
      <c r="E447" s="74"/>
      <c r="F447" s="74"/>
      <c r="G447" s="176"/>
      <c r="H447" s="74"/>
      <c r="I447" s="74"/>
      <c r="J447" s="74"/>
      <c r="K447" s="74"/>
      <c r="L447" s="74"/>
      <c r="M447" s="74"/>
      <c r="N447" s="74"/>
      <c r="O447" s="74"/>
      <c r="P447" s="74"/>
      <c r="Q447" s="74"/>
    </row>
    <row r="448" spans="4:17" s="75" customFormat="1" x14ac:dyDescent="0.2">
      <c r="D448" s="84"/>
      <c r="E448" s="74"/>
      <c r="F448" s="74"/>
      <c r="G448" s="176"/>
      <c r="H448" s="74"/>
      <c r="I448" s="74"/>
      <c r="J448" s="74"/>
      <c r="K448" s="74"/>
      <c r="L448" s="74"/>
      <c r="M448" s="74"/>
      <c r="N448" s="74"/>
      <c r="O448" s="74"/>
      <c r="P448" s="74"/>
      <c r="Q448" s="74"/>
    </row>
    <row r="449" spans="4:17" s="75" customFormat="1" x14ac:dyDescent="0.2">
      <c r="D449" s="84"/>
      <c r="E449" s="74"/>
      <c r="F449" s="74"/>
      <c r="G449" s="176"/>
      <c r="H449" s="74"/>
      <c r="I449" s="74"/>
      <c r="J449" s="74"/>
      <c r="K449" s="74"/>
      <c r="L449" s="74"/>
      <c r="M449" s="74"/>
      <c r="N449" s="74"/>
      <c r="O449" s="74"/>
      <c r="P449" s="74"/>
      <c r="Q449" s="74"/>
    </row>
    <row r="450" spans="4:17" s="75" customFormat="1" x14ac:dyDescent="0.2">
      <c r="D450" s="84"/>
      <c r="E450" s="74"/>
      <c r="F450" s="74"/>
      <c r="G450" s="176"/>
      <c r="H450" s="74"/>
      <c r="I450" s="74"/>
      <c r="J450" s="74"/>
      <c r="K450" s="74"/>
      <c r="L450" s="74"/>
      <c r="M450" s="74"/>
      <c r="N450" s="74"/>
      <c r="O450" s="74"/>
      <c r="P450" s="74"/>
      <c r="Q450" s="74"/>
    </row>
    <row r="451" spans="4:17" s="75" customFormat="1" x14ac:dyDescent="0.2">
      <c r="D451" s="84"/>
      <c r="E451" s="74"/>
      <c r="F451" s="74"/>
      <c r="G451" s="176"/>
      <c r="H451" s="74"/>
      <c r="I451" s="74"/>
      <c r="J451" s="74"/>
      <c r="K451" s="74"/>
      <c r="L451" s="74"/>
      <c r="M451" s="74"/>
      <c r="N451" s="74"/>
      <c r="O451" s="74"/>
      <c r="P451" s="74"/>
      <c r="Q451" s="74"/>
    </row>
    <row r="452" spans="4:17" s="75" customFormat="1" x14ac:dyDescent="0.2">
      <c r="D452" s="84"/>
      <c r="E452" s="74"/>
      <c r="F452" s="74"/>
      <c r="G452" s="176"/>
      <c r="H452" s="74"/>
      <c r="I452" s="74"/>
      <c r="J452" s="74"/>
      <c r="K452" s="74"/>
      <c r="L452" s="74"/>
      <c r="M452" s="74"/>
      <c r="N452" s="74"/>
      <c r="O452" s="74"/>
      <c r="P452" s="74"/>
      <c r="Q452" s="74"/>
    </row>
    <row r="453" spans="4:17" s="75" customFormat="1" x14ac:dyDescent="0.2">
      <c r="D453" s="84"/>
      <c r="E453" s="74"/>
      <c r="F453" s="74"/>
      <c r="G453" s="176"/>
      <c r="H453" s="74"/>
      <c r="I453" s="74"/>
      <c r="J453" s="74"/>
      <c r="K453" s="74"/>
      <c r="L453" s="74"/>
      <c r="M453" s="74"/>
      <c r="N453" s="74"/>
      <c r="O453" s="74"/>
      <c r="P453" s="74"/>
      <c r="Q453" s="74"/>
    </row>
    <row r="454" spans="4:17" s="75" customFormat="1" x14ac:dyDescent="0.2">
      <c r="D454" s="84"/>
      <c r="E454" s="74"/>
      <c r="F454" s="74"/>
      <c r="G454" s="176"/>
      <c r="H454" s="74"/>
      <c r="I454" s="74"/>
      <c r="J454" s="74"/>
      <c r="K454" s="74"/>
      <c r="L454" s="74"/>
      <c r="M454" s="74"/>
      <c r="N454" s="74"/>
      <c r="O454" s="74"/>
      <c r="P454" s="74"/>
      <c r="Q454" s="74"/>
    </row>
    <row r="455" spans="4:17" s="75" customFormat="1" x14ac:dyDescent="0.2">
      <c r="D455" s="84"/>
      <c r="E455" s="74"/>
      <c r="F455" s="74"/>
      <c r="G455" s="176"/>
      <c r="H455" s="74"/>
      <c r="I455" s="74"/>
      <c r="J455" s="74"/>
      <c r="K455" s="74"/>
      <c r="L455" s="74"/>
      <c r="M455" s="74"/>
      <c r="N455" s="74"/>
      <c r="O455" s="74"/>
      <c r="P455" s="74"/>
      <c r="Q455" s="74"/>
    </row>
    <row r="456" spans="4:17" s="75" customFormat="1" x14ac:dyDescent="0.2">
      <c r="D456" s="84"/>
      <c r="E456" s="74"/>
      <c r="F456" s="74"/>
      <c r="G456" s="176"/>
      <c r="H456" s="74"/>
      <c r="I456" s="74"/>
      <c r="J456" s="74"/>
      <c r="K456" s="74"/>
      <c r="L456" s="74"/>
      <c r="M456" s="74"/>
      <c r="N456" s="74"/>
      <c r="O456" s="74"/>
      <c r="P456" s="74"/>
      <c r="Q456" s="74"/>
    </row>
    <row r="457" spans="4:17" s="75" customFormat="1" x14ac:dyDescent="0.2">
      <c r="D457" s="84"/>
      <c r="E457" s="74"/>
      <c r="F457" s="74"/>
      <c r="G457" s="176"/>
      <c r="H457" s="74"/>
      <c r="I457" s="74"/>
      <c r="J457" s="74"/>
      <c r="K457" s="74"/>
      <c r="L457" s="74"/>
      <c r="M457" s="74"/>
      <c r="N457" s="74"/>
      <c r="O457" s="74"/>
      <c r="P457" s="74"/>
      <c r="Q457" s="74"/>
    </row>
    <row r="458" spans="4:17" s="75" customFormat="1" x14ac:dyDescent="0.2">
      <c r="D458" s="84"/>
      <c r="E458" s="74"/>
      <c r="F458" s="74"/>
      <c r="G458" s="176"/>
      <c r="H458" s="74"/>
      <c r="I458" s="74"/>
      <c r="J458" s="74"/>
      <c r="K458" s="74"/>
      <c r="L458" s="74"/>
      <c r="M458" s="74"/>
      <c r="N458" s="74"/>
      <c r="O458" s="74"/>
      <c r="P458" s="74"/>
      <c r="Q458" s="74"/>
    </row>
    <row r="459" spans="4:17" s="75" customFormat="1" x14ac:dyDescent="0.2">
      <c r="D459" s="84"/>
      <c r="E459" s="74"/>
      <c r="F459" s="74"/>
      <c r="G459" s="176"/>
      <c r="H459" s="74"/>
      <c r="I459" s="74"/>
      <c r="J459" s="74"/>
      <c r="K459" s="74"/>
      <c r="L459" s="74"/>
      <c r="M459" s="74"/>
      <c r="N459" s="74"/>
      <c r="O459" s="74"/>
      <c r="P459" s="74"/>
      <c r="Q459" s="74"/>
    </row>
    <row r="460" spans="4:17" s="75" customFormat="1" x14ac:dyDescent="0.2">
      <c r="D460" s="84"/>
      <c r="E460" s="74"/>
      <c r="F460" s="74"/>
      <c r="G460" s="176"/>
      <c r="H460" s="74"/>
      <c r="I460" s="74"/>
      <c r="J460" s="74"/>
      <c r="K460" s="74"/>
      <c r="L460" s="74"/>
      <c r="M460" s="74"/>
      <c r="N460" s="74"/>
      <c r="O460" s="74"/>
      <c r="P460" s="74"/>
      <c r="Q460" s="74"/>
    </row>
    <row r="461" spans="4:17" s="75" customFormat="1" x14ac:dyDescent="0.2">
      <c r="D461" s="84"/>
      <c r="E461" s="74"/>
      <c r="F461" s="74"/>
      <c r="G461" s="176"/>
      <c r="H461" s="74"/>
      <c r="I461" s="74"/>
      <c r="J461" s="74"/>
      <c r="K461" s="74"/>
      <c r="L461" s="74"/>
      <c r="M461" s="74"/>
      <c r="N461" s="74"/>
      <c r="O461" s="74"/>
      <c r="P461" s="74"/>
      <c r="Q461" s="74"/>
    </row>
    <row r="462" spans="4:17" s="75" customFormat="1" x14ac:dyDescent="0.2">
      <c r="D462" s="84"/>
      <c r="E462" s="74"/>
      <c r="F462" s="74"/>
      <c r="G462" s="176"/>
      <c r="H462" s="74"/>
      <c r="I462" s="74"/>
      <c r="J462" s="74"/>
      <c r="K462" s="74"/>
      <c r="L462" s="74"/>
      <c r="M462" s="74"/>
      <c r="N462" s="74"/>
      <c r="O462" s="74"/>
      <c r="P462" s="74"/>
      <c r="Q462" s="74"/>
    </row>
    <row r="463" spans="4:17" s="75" customFormat="1" x14ac:dyDescent="0.2">
      <c r="D463" s="84"/>
      <c r="E463" s="74"/>
      <c r="F463" s="74"/>
      <c r="G463" s="176"/>
      <c r="H463" s="74"/>
      <c r="I463" s="74"/>
      <c r="J463" s="74"/>
      <c r="K463" s="74"/>
      <c r="L463" s="74"/>
      <c r="M463" s="74"/>
      <c r="N463" s="74"/>
      <c r="O463" s="74"/>
      <c r="P463" s="74"/>
      <c r="Q463" s="74"/>
    </row>
    <row r="464" spans="4:17" s="75" customFormat="1" x14ac:dyDescent="0.2">
      <c r="D464" s="84"/>
      <c r="E464" s="74"/>
      <c r="F464" s="74"/>
      <c r="G464" s="176"/>
      <c r="H464" s="74"/>
      <c r="I464" s="74"/>
      <c r="J464" s="74"/>
      <c r="K464" s="74"/>
      <c r="L464" s="74"/>
      <c r="M464" s="74"/>
      <c r="N464" s="74"/>
      <c r="O464" s="74"/>
      <c r="P464" s="74"/>
      <c r="Q464" s="74"/>
    </row>
    <row r="465" spans="4:17" s="75" customFormat="1" x14ac:dyDescent="0.2">
      <c r="D465" s="84"/>
      <c r="E465" s="74"/>
      <c r="F465" s="74"/>
      <c r="G465" s="176"/>
      <c r="H465" s="74"/>
      <c r="I465" s="74"/>
      <c r="J465" s="74"/>
      <c r="K465" s="74"/>
      <c r="L465" s="74"/>
      <c r="M465" s="74"/>
      <c r="N465" s="74"/>
      <c r="O465" s="74"/>
      <c r="P465" s="74"/>
      <c r="Q465" s="74"/>
    </row>
    <row r="466" spans="4:17" s="75" customFormat="1" x14ac:dyDescent="0.2">
      <c r="D466" s="84"/>
      <c r="E466" s="74"/>
      <c r="F466" s="74"/>
      <c r="G466" s="176"/>
      <c r="H466" s="74"/>
      <c r="I466" s="74"/>
      <c r="J466" s="74"/>
      <c r="K466" s="74"/>
      <c r="L466" s="74"/>
      <c r="M466" s="74"/>
      <c r="N466" s="74"/>
      <c r="O466" s="74"/>
      <c r="P466" s="74"/>
      <c r="Q466" s="74"/>
    </row>
    <row r="467" spans="4:17" s="75" customFormat="1" x14ac:dyDescent="0.2">
      <c r="D467" s="84"/>
      <c r="E467" s="74"/>
      <c r="F467" s="74"/>
      <c r="G467" s="176"/>
      <c r="H467" s="74"/>
      <c r="I467" s="74"/>
      <c r="J467" s="74"/>
      <c r="K467" s="74"/>
      <c r="L467" s="74"/>
      <c r="M467" s="74"/>
      <c r="N467" s="74"/>
      <c r="O467" s="74"/>
      <c r="P467" s="74"/>
      <c r="Q467" s="74"/>
    </row>
    <row r="468" spans="4:17" s="75" customFormat="1" x14ac:dyDescent="0.2">
      <c r="D468" s="84"/>
      <c r="E468" s="74"/>
      <c r="F468" s="74"/>
      <c r="G468" s="176"/>
      <c r="H468" s="74"/>
      <c r="I468" s="74"/>
      <c r="J468" s="74"/>
      <c r="K468" s="74"/>
      <c r="L468" s="74"/>
      <c r="M468" s="74"/>
      <c r="N468" s="74"/>
      <c r="O468" s="74"/>
      <c r="P468" s="74"/>
      <c r="Q468" s="74"/>
    </row>
    <row r="469" spans="4:17" s="75" customFormat="1" x14ac:dyDescent="0.2">
      <c r="D469" s="84"/>
      <c r="E469" s="74"/>
      <c r="F469" s="74"/>
      <c r="G469" s="176"/>
      <c r="H469" s="74"/>
      <c r="I469" s="74"/>
      <c r="J469" s="74"/>
      <c r="K469" s="74"/>
      <c r="L469" s="74"/>
      <c r="M469" s="74"/>
      <c r="N469" s="74"/>
      <c r="O469" s="74"/>
      <c r="P469" s="74"/>
      <c r="Q469" s="74"/>
    </row>
    <row r="470" spans="4:17" s="75" customFormat="1" x14ac:dyDescent="0.2">
      <c r="D470" s="84"/>
      <c r="E470" s="74"/>
      <c r="F470" s="74"/>
      <c r="G470" s="176"/>
      <c r="H470" s="74"/>
      <c r="I470" s="74"/>
      <c r="J470" s="74"/>
      <c r="K470" s="74"/>
      <c r="L470" s="74"/>
      <c r="M470" s="74"/>
      <c r="N470" s="74"/>
      <c r="O470" s="74"/>
      <c r="P470" s="74"/>
      <c r="Q470" s="74"/>
    </row>
    <row r="471" spans="4:17" s="75" customFormat="1" x14ac:dyDescent="0.2">
      <c r="D471" s="84"/>
      <c r="E471" s="74"/>
      <c r="F471" s="74"/>
      <c r="G471" s="176"/>
      <c r="H471" s="74"/>
      <c r="I471" s="74"/>
      <c r="J471" s="74"/>
      <c r="K471" s="74"/>
      <c r="L471" s="74"/>
      <c r="M471" s="74"/>
      <c r="N471" s="74"/>
      <c r="O471" s="74"/>
      <c r="P471" s="74"/>
      <c r="Q471" s="74"/>
    </row>
    <row r="472" spans="4:17" s="75" customFormat="1" x14ac:dyDescent="0.2">
      <c r="D472" s="84"/>
      <c r="E472" s="74"/>
      <c r="F472" s="74"/>
      <c r="G472" s="176"/>
      <c r="H472" s="74"/>
      <c r="I472" s="74"/>
      <c r="J472" s="74"/>
      <c r="K472" s="74"/>
      <c r="L472" s="74"/>
      <c r="M472" s="74"/>
      <c r="N472" s="74"/>
      <c r="O472" s="74"/>
      <c r="P472" s="74"/>
      <c r="Q472" s="74"/>
    </row>
    <row r="473" spans="4:17" s="75" customFormat="1" x14ac:dyDescent="0.2">
      <c r="D473" s="84"/>
      <c r="E473" s="74"/>
      <c r="F473" s="74"/>
      <c r="G473" s="176"/>
      <c r="H473" s="74"/>
      <c r="I473" s="74"/>
      <c r="J473" s="74"/>
      <c r="K473" s="74"/>
      <c r="L473" s="74"/>
      <c r="M473" s="74"/>
      <c r="N473" s="74"/>
      <c r="O473" s="74"/>
      <c r="P473" s="74"/>
      <c r="Q473" s="74"/>
    </row>
    <row r="474" spans="4:17" s="75" customFormat="1" x14ac:dyDescent="0.2">
      <c r="D474" s="84"/>
      <c r="E474" s="74"/>
      <c r="F474" s="74"/>
      <c r="G474" s="176"/>
      <c r="H474" s="74"/>
      <c r="I474" s="74"/>
      <c r="J474" s="74"/>
      <c r="K474" s="74"/>
      <c r="L474" s="74"/>
      <c r="M474" s="74"/>
      <c r="N474" s="74"/>
      <c r="O474" s="74"/>
      <c r="P474" s="74"/>
      <c r="Q474" s="74"/>
    </row>
    <row r="475" spans="4:17" s="75" customFormat="1" x14ac:dyDescent="0.2">
      <c r="D475" s="84"/>
      <c r="E475" s="74"/>
      <c r="F475" s="74"/>
      <c r="G475" s="176"/>
      <c r="H475" s="74"/>
      <c r="I475" s="74"/>
      <c r="J475" s="74"/>
      <c r="K475" s="74"/>
      <c r="L475" s="74"/>
      <c r="M475" s="74"/>
      <c r="N475" s="74"/>
      <c r="O475" s="74"/>
      <c r="P475" s="74"/>
      <c r="Q475" s="74"/>
    </row>
    <row r="476" spans="4:17" s="75" customFormat="1" x14ac:dyDescent="0.2">
      <c r="D476" s="84"/>
      <c r="E476" s="74"/>
      <c r="F476" s="74"/>
      <c r="G476" s="176"/>
      <c r="H476" s="74"/>
      <c r="I476" s="74"/>
      <c r="J476" s="74"/>
      <c r="K476" s="74"/>
      <c r="L476" s="74"/>
      <c r="M476" s="74"/>
      <c r="N476" s="74"/>
      <c r="O476" s="74"/>
      <c r="P476" s="74"/>
      <c r="Q476" s="74"/>
    </row>
    <row r="477" spans="4:17" s="75" customFormat="1" x14ac:dyDescent="0.2">
      <c r="D477" s="84"/>
      <c r="E477" s="74"/>
      <c r="F477" s="74"/>
      <c r="G477" s="176"/>
      <c r="H477" s="74"/>
      <c r="I477" s="74"/>
      <c r="J477" s="74"/>
      <c r="K477" s="74"/>
      <c r="L477" s="74"/>
      <c r="M477" s="74"/>
      <c r="N477" s="74"/>
      <c r="O477" s="74"/>
      <c r="P477" s="74"/>
      <c r="Q477" s="74"/>
    </row>
    <row r="478" spans="4:17" s="75" customFormat="1" x14ac:dyDescent="0.2">
      <c r="D478" s="84"/>
      <c r="E478" s="74"/>
      <c r="F478" s="74"/>
      <c r="G478" s="176"/>
      <c r="H478" s="74"/>
      <c r="I478" s="74"/>
      <c r="J478" s="74"/>
      <c r="K478" s="74"/>
      <c r="L478" s="74"/>
      <c r="M478" s="74"/>
      <c r="N478" s="74"/>
      <c r="O478" s="74"/>
      <c r="P478" s="74"/>
      <c r="Q478" s="74"/>
    </row>
    <row r="479" spans="4:17" s="75" customFormat="1" x14ac:dyDescent="0.2">
      <c r="D479" s="84"/>
      <c r="E479" s="74"/>
      <c r="F479" s="74"/>
      <c r="G479" s="176"/>
      <c r="H479" s="74"/>
      <c r="I479" s="74"/>
      <c r="J479" s="74"/>
      <c r="K479" s="74"/>
      <c r="L479" s="74"/>
      <c r="M479" s="74"/>
      <c r="N479" s="74"/>
      <c r="O479" s="74"/>
      <c r="P479" s="74"/>
      <c r="Q479" s="74"/>
    </row>
    <row r="480" spans="4:17" s="75" customFormat="1" x14ac:dyDescent="0.2">
      <c r="D480" s="84"/>
      <c r="E480" s="74"/>
      <c r="F480" s="74"/>
      <c r="G480" s="176"/>
      <c r="H480" s="74"/>
      <c r="I480" s="74"/>
      <c r="J480" s="74"/>
      <c r="K480" s="74"/>
      <c r="L480" s="74"/>
      <c r="M480" s="74"/>
      <c r="N480" s="74"/>
      <c r="O480" s="74"/>
      <c r="P480" s="74"/>
      <c r="Q480" s="74"/>
    </row>
    <row r="481" spans="4:17" s="75" customFormat="1" x14ac:dyDescent="0.2">
      <c r="D481" s="84"/>
      <c r="E481" s="74"/>
      <c r="F481" s="74"/>
      <c r="G481" s="176"/>
      <c r="H481" s="74"/>
      <c r="I481" s="74"/>
      <c r="J481" s="74"/>
      <c r="K481" s="74"/>
      <c r="L481" s="74"/>
      <c r="M481" s="74"/>
      <c r="N481" s="74"/>
      <c r="O481" s="74"/>
      <c r="P481" s="74"/>
      <c r="Q481" s="74"/>
    </row>
    <row r="482" spans="4:17" s="75" customFormat="1" x14ac:dyDescent="0.2">
      <c r="D482" s="84"/>
      <c r="E482" s="74"/>
      <c r="F482" s="74"/>
      <c r="G482" s="176"/>
      <c r="H482" s="74"/>
      <c r="I482" s="74"/>
      <c r="J482" s="74"/>
      <c r="K482" s="74"/>
      <c r="L482" s="74"/>
      <c r="M482" s="74"/>
      <c r="N482" s="74"/>
      <c r="O482" s="74"/>
      <c r="P482" s="74"/>
      <c r="Q482" s="74"/>
    </row>
    <row r="483" spans="4:17" s="75" customFormat="1" x14ac:dyDescent="0.2">
      <c r="D483" s="84"/>
      <c r="E483" s="74"/>
      <c r="F483" s="74"/>
      <c r="G483" s="176"/>
      <c r="H483" s="74"/>
      <c r="I483" s="74"/>
      <c r="J483" s="74"/>
      <c r="K483" s="74"/>
      <c r="L483" s="74"/>
      <c r="M483" s="74"/>
      <c r="N483" s="74"/>
      <c r="O483" s="74"/>
      <c r="P483" s="74"/>
      <c r="Q483" s="74"/>
    </row>
    <row r="484" spans="4:17" s="75" customFormat="1" x14ac:dyDescent="0.2">
      <c r="D484" s="84"/>
      <c r="E484" s="74"/>
      <c r="F484" s="74"/>
      <c r="G484" s="176"/>
      <c r="H484" s="74"/>
      <c r="I484" s="74"/>
      <c r="J484" s="74"/>
      <c r="K484" s="74"/>
      <c r="L484" s="74"/>
      <c r="M484" s="74"/>
      <c r="N484" s="74"/>
      <c r="O484" s="74"/>
      <c r="P484" s="74"/>
      <c r="Q484" s="74"/>
    </row>
    <row r="485" spans="4:17" s="75" customFormat="1" x14ac:dyDescent="0.2">
      <c r="D485" s="84"/>
      <c r="E485" s="74"/>
      <c r="F485" s="74"/>
      <c r="G485" s="176"/>
      <c r="H485" s="74"/>
      <c r="I485" s="74"/>
      <c r="J485" s="74"/>
      <c r="K485" s="74"/>
      <c r="L485" s="74"/>
      <c r="M485" s="74"/>
      <c r="N485" s="74"/>
      <c r="O485" s="74"/>
      <c r="P485" s="74"/>
      <c r="Q485" s="74"/>
    </row>
    <row r="486" spans="4:17" s="75" customFormat="1" x14ac:dyDescent="0.2">
      <c r="D486" s="84"/>
      <c r="E486" s="74"/>
      <c r="F486" s="74"/>
      <c r="G486" s="176"/>
      <c r="H486" s="74"/>
      <c r="I486" s="74"/>
      <c r="J486" s="74"/>
      <c r="K486" s="74"/>
      <c r="L486" s="74"/>
      <c r="M486" s="74"/>
      <c r="N486" s="74"/>
      <c r="O486" s="74"/>
      <c r="P486" s="74"/>
      <c r="Q486" s="74"/>
    </row>
    <row r="487" spans="4:17" s="75" customFormat="1" x14ac:dyDescent="0.2">
      <c r="D487" s="84"/>
      <c r="E487" s="74"/>
      <c r="F487" s="74"/>
      <c r="G487" s="176"/>
      <c r="H487" s="74"/>
      <c r="I487" s="74"/>
      <c r="J487" s="74"/>
      <c r="K487" s="74"/>
      <c r="L487" s="74"/>
      <c r="M487" s="74"/>
      <c r="N487" s="74"/>
      <c r="O487" s="74"/>
      <c r="P487" s="74"/>
      <c r="Q487" s="74"/>
    </row>
    <row r="488" spans="4:17" s="75" customFormat="1" x14ac:dyDescent="0.2">
      <c r="D488" s="84"/>
      <c r="E488" s="74"/>
      <c r="F488" s="74"/>
      <c r="G488" s="176"/>
      <c r="H488" s="74"/>
      <c r="I488" s="74"/>
      <c r="J488" s="74"/>
      <c r="K488" s="74"/>
      <c r="L488" s="74"/>
      <c r="M488" s="74"/>
      <c r="N488" s="74"/>
      <c r="O488" s="74"/>
      <c r="P488" s="74"/>
      <c r="Q488" s="74"/>
    </row>
    <row r="489" spans="4:17" s="75" customFormat="1" x14ac:dyDescent="0.2">
      <c r="D489" s="84"/>
      <c r="E489" s="74"/>
      <c r="F489" s="74"/>
      <c r="G489" s="176"/>
      <c r="H489" s="74"/>
      <c r="I489" s="74"/>
      <c r="J489" s="74"/>
      <c r="K489" s="74"/>
      <c r="L489" s="74"/>
      <c r="M489" s="74"/>
      <c r="N489" s="74"/>
      <c r="O489" s="74"/>
      <c r="P489" s="74"/>
      <c r="Q489" s="74"/>
    </row>
    <row r="490" spans="4:17" s="75" customFormat="1" x14ac:dyDescent="0.2">
      <c r="D490" s="84"/>
      <c r="E490" s="74"/>
      <c r="F490" s="74"/>
      <c r="G490" s="176"/>
      <c r="H490" s="74"/>
      <c r="I490" s="74"/>
      <c r="J490" s="74"/>
      <c r="K490" s="74"/>
      <c r="L490" s="74"/>
      <c r="M490" s="74"/>
      <c r="N490" s="74"/>
      <c r="O490" s="74"/>
      <c r="P490" s="74"/>
      <c r="Q490" s="74"/>
    </row>
    <row r="491" spans="4:17" s="75" customFormat="1" x14ac:dyDescent="0.2">
      <c r="D491" s="84"/>
      <c r="E491" s="74"/>
      <c r="F491" s="74"/>
      <c r="G491" s="176"/>
      <c r="H491" s="74"/>
      <c r="I491" s="74"/>
      <c r="J491" s="74"/>
      <c r="K491" s="74"/>
      <c r="L491" s="74"/>
      <c r="M491" s="74"/>
      <c r="N491" s="74"/>
      <c r="O491" s="74"/>
      <c r="P491" s="74"/>
      <c r="Q491" s="74"/>
    </row>
    <row r="492" spans="4:17" s="75" customFormat="1" x14ac:dyDescent="0.2">
      <c r="D492" s="84"/>
      <c r="E492" s="74"/>
      <c r="F492" s="74"/>
      <c r="G492" s="176"/>
      <c r="H492" s="74"/>
      <c r="I492" s="74"/>
      <c r="J492" s="74"/>
      <c r="K492" s="74"/>
      <c r="L492" s="74"/>
      <c r="M492" s="74"/>
      <c r="N492" s="74"/>
      <c r="O492" s="74"/>
      <c r="P492" s="74"/>
      <c r="Q492" s="74"/>
    </row>
    <row r="493" spans="4:17" s="75" customFormat="1" x14ac:dyDescent="0.2">
      <c r="D493" s="84"/>
      <c r="E493" s="74"/>
      <c r="F493" s="74"/>
      <c r="G493" s="176"/>
      <c r="H493" s="74"/>
      <c r="I493" s="74"/>
      <c r="J493" s="74"/>
      <c r="K493" s="74"/>
      <c r="L493" s="74"/>
      <c r="M493" s="74"/>
      <c r="N493" s="74"/>
      <c r="O493" s="74"/>
      <c r="P493" s="74"/>
      <c r="Q493" s="74"/>
    </row>
    <row r="494" spans="4:17" s="75" customFormat="1" x14ac:dyDescent="0.2">
      <c r="D494" s="84"/>
      <c r="E494" s="74"/>
      <c r="F494" s="74"/>
      <c r="G494" s="176"/>
      <c r="H494" s="74"/>
      <c r="I494" s="74"/>
      <c r="J494" s="74"/>
      <c r="K494" s="74"/>
      <c r="L494" s="74"/>
      <c r="M494" s="74"/>
      <c r="N494" s="74"/>
      <c r="O494" s="74"/>
      <c r="P494" s="74"/>
      <c r="Q494" s="74"/>
    </row>
    <row r="495" spans="4:17" s="75" customFormat="1" x14ac:dyDescent="0.2">
      <c r="D495" s="84"/>
      <c r="E495" s="74"/>
      <c r="F495" s="74"/>
      <c r="G495" s="176"/>
      <c r="H495" s="74"/>
      <c r="I495" s="74"/>
      <c r="J495" s="74"/>
      <c r="K495" s="74"/>
      <c r="L495" s="74"/>
      <c r="M495" s="74"/>
      <c r="N495" s="74"/>
      <c r="O495" s="74"/>
      <c r="P495" s="74"/>
      <c r="Q495" s="74"/>
    </row>
    <row r="496" spans="4:17" s="75" customFormat="1" x14ac:dyDescent="0.2">
      <c r="D496" s="84"/>
      <c r="E496" s="74"/>
      <c r="F496" s="74"/>
      <c r="G496" s="176"/>
      <c r="H496" s="74"/>
      <c r="I496" s="74"/>
      <c r="J496" s="74"/>
      <c r="K496" s="74"/>
      <c r="L496" s="74"/>
      <c r="M496" s="74"/>
      <c r="N496" s="74"/>
      <c r="O496" s="74"/>
      <c r="P496" s="74"/>
      <c r="Q496" s="74"/>
    </row>
    <row r="497" spans="4:17" s="75" customFormat="1" x14ac:dyDescent="0.2">
      <c r="D497" s="84"/>
      <c r="E497" s="74"/>
      <c r="F497" s="74"/>
      <c r="G497" s="176"/>
      <c r="H497" s="74"/>
      <c r="I497" s="74"/>
      <c r="J497" s="74"/>
      <c r="K497" s="74"/>
      <c r="L497" s="74"/>
      <c r="M497" s="74"/>
      <c r="N497" s="74"/>
      <c r="O497" s="74"/>
      <c r="P497" s="74"/>
      <c r="Q497" s="74"/>
    </row>
    <row r="498" spans="4:17" s="75" customFormat="1" x14ac:dyDescent="0.2">
      <c r="D498" s="84"/>
      <c r="E498" s="74"/>
      <c r="F498" s="74"/>
      <c r="G498" s="176"/>
      <c r="H498" s="74"/>
      <c r="I498" s="74"/>
      <c r="J498" s="74"/>
      <c r="K498" s="74"/>
      <c r="L498" s="74"/>
      <c r="M498" s="74"/>
      <c r="N498" s="74"/>
      <c r="O498" s="74"/>
      <c r="P498" s="74"/>
      <c r="Q498" s="74"/>
    </row>
    <row r="499" spans="4:17" s="75" customFormat="1" x14ac:dyDescent="0.2">
      <c r="D499" s="84"/>
      <c r="E499" s="74"/>
      <c r="F499" s="74"/>
      <c r="G499" s="176"/>
      <c r="H499" s="74"/>
      <c r="I499" s="74"/>
      <c r="J499" s="74"/>
      <c r="K499" s="74"/>
      <c r="L499" s="74"/>
      <c r="M499" s="74"/>
      <c r="N499" s="74"/>
      <c r="O499" s="74"/>
      <c r="P499" s="74"/>
      <c r="Q499" s="74"/>
    </row>
    <row r="500" spans="4:17" s="75" customFormat="1" x14ac:dyDescent="0.2">
      <c r="D500" s="84"/>
      <c r="E500" s="74"/>
      <c r="F500" s="74"/>
      <c r="G500" s="176"/>
      <c r="H500" s="74"/>
      <c r="I500" s="74"/>
      <c r="J500" s="74"/>
      <c r="K500" s="74"/>
      <c r="L500" s="74"/>
      <c r="M500" s="74"/>
      <c r="N500" s="74"/>
      <c r="O500" s="74"/>
      <c r="P500" s="74"/>
      <c r="Q500" s="74"/>
    </row>
    <row r="501" spans="4:17" s="75" customFormat="1" x14ac:dyDescent="0.2">
      <c r="D501" s="84"/>
      <c r="E501" s="74"/>
      <c r="F501" s="74"/>
      <c r="G501" s="176"/>
      <c r="H501" s="74"/>
      <c r="I501" s="74"/>
      <c r="J501" s="74"/>
      <c r="K501" s="74"/>
      <c r="L501" s="74"/>
      <c r="M501" s="74"/>
      <c r="N501" s="74"/>
      <c r="O501" s="74"/>
      <c r="P501" s="74"/>
      <c r="Q501" s="74"/>
    </row>
    <row r="502" spans="4:17" s="75" customFormat="1" x14ac:dyDescent="0.2">
      <c r="D502" s="84"/>
      <c r="E502" s="74"/>
      <c r="F502" s="74"/>
      <c r="G502" s="176"/>
      <c r="H502" s="74"/>
      <c r="I502" s="74"/>
      <c r="J502" s="74"/>
      <c r="K502" s="74"/>
      <c r="L502" s="74"/>
      <c r="M502" s="74"/>
      <c r="N502" s="74"/>
      <c r="O502" s="74"/>
      <c r="P502" s="74"/>
      <c r="Q502" s="74"/>
    </row>
    <row r="503" spans="4:17" s="75" customFormat="1" x14ac:dyDescent="0.2">
      <c r="D503" s="84"/>
      <c r="E503" s="74"/>
      <c r="F503" s="74"/>
      <c r="G503" s="176"/>
      <c r="H503" s="74"/>
      <c r="I503" s="74"/>
      <c r="J503" s="74"/>
      <c r="K503" s="74"/>
      <c r="L503" s="74"/>
      <c r="M503" s="74"/>
      <c r="N503" s="74"/>
      <c r="O503" s="74"/>
      <c r="P503" s="74"/>
      <c r="Q503" s="74"/>
    </row>
    <row r="504" spans="4:17" s="75" customFormat="1" x14ac:dyDescent="0.2">
      <c r="D504" s="84"/>
      <c r="E504" s="74"/>
      <c r="F504" s="74"/>
      <c r="G504" s="176"/>
      <c r="H504" s="74"/>
      <c r="I504" s="74"/>
      <c r="J504" s="74"/>
      <c r="K504" s="74"/>
      <c r="L504" s="74"/>
      <c r="M504" s="74"/>
      <c r="N504" s="74"/>
      <c r="O504" s="74"/>
      <c r="P504" s="74"/>
      <c r="Q504" s="74"/>
    </row>
    <row r="505" spans="4:17" s="75" customFormat="1" x14ac:dyDescent="0.2">
      <c r="D505" s="84"/>
      <c r="E505" s="74"/>
      <c r="F505" s="74"/>
      <c r="G505" s="176"/>
      <c r="H505" s="74"/>
      <c r="I505" s="74"/>
      <c r="J505" s="74"/>
      <c r="K505" s="74"/>
      <c r="L505" s="74"/>
      <c r="M505" s="74"/>
      <c r="N505" s="74"/>
      <c r="O505" s="74"/>
      <c r="P505" s="74"/>
      <c r="Q505" s="74"/>
    </row>
    <row r="506" spans="4:17" s="75" customFormat="1" x14ac:dyDescent="0.2">
      <c r="D506" s="84"/>
      <c r="E506" s="74"/>
      <c r="F506" s="74"/>
      <c r="G506" s="176"/>
      <c r="H506" s="74"/>
      <c r="I506" s="74"/>
      <c r="J506" s="74"/>
      <c r="K506" s="74"/>
      <c r="L506" s="74"/>
      <c r="M506" s="74"/>
      <c r="N506" s="74"/>
      <c r="O506" s="74"/>
      <c r="P506" s="74"/>
      <c r="Q506" s="74"/>
    </row>
    <row r="507" spans="4:17" s="75" customFormat="1" x14ac:dyDescent="0.2">
      <c r="D507" s="84"/>
      <c r="E507" s="74"/>
      <c r="F507" s="74"/>
      <c r="G507" s="176"/>
      <c r="H507" s="74"/>
      <c r="I507" s="74"/>
      <c r="J507" s="74"/>
      <c r="K507" s="74"/>
      <c r="L507" s="74"/>
      <c r="M507" s="74"/>
      <c r="N507" s="74"/>
      <c r="O507" s="74"/>
      <c r="P507" s="74"/>
      <c r="Q507" s="74"/>
    </row>
    <row r="508" spans="4:17" s="75" customFormat="1" x14ac:dyDescent="0.2">
      <c r="D508" s="84"/>
      <c r="E508" s="74"/>
      <c r="F508" s="74"/>
      <c r="G508" s="176"/>
      <c r="H508" s="74"/>
      <c r="I508" s="74"/>
      <c r="J508" s="74"/>
      <c r="K508" s="74"/>
      <c r="L508" s="74"/>
      <c r="M508" s="74"/>
      <c r="N508" s="74"/>
      <c r="O508" s="74"/>
      <c r="P508" s="74"/>
      <c r="Q508" s="74"/>
    </row>
    <row r="509" spans="4:17" s="75" customFormat="1" x14ac:dyDescent="0.2">
      <c r="D509" s="84"/>
      <c r="E509" s="74"/>
      <c r="F509" s="74"/>
      <c r="G509" s="176"/>
      <c r="H509" s="74"/>
      <c r="I509" s="74"/>
      <c r="J509" s="74"/>
      <c r="K509" s="74"/>
      <c r="L509" s="74"/>
      <c r="M509" s="74"/>
      <c r="N509" s="74"/>
      <c r="O509" s="74"/>
      <c r="P509" s="74"/>
      <c r="Q509" s="74"/>
    </row>
    <row r="510" spans="4:17" s="75" customFormat="1" x14ac:dyDescent="0.2">
      <c r="D510" s="84"/>
      <c r="E510" s="74"/>
      <c r="F510" s="74"/>
      <c r="G510" s="176"/>
      <c r="H510" s="74"/>
      <c r="I510" s="74"/>
      <c r="J510" s="74"/>
      <c r="K510" s="74"/>
      <c r="L510" s="74"/>
      <c r="M510" s="74"/>
      <c r="N510" s="74"/>
      <c r="O510" s="74"/>
      <c r="P510" s="74"/>
      <c r="Q510" s="74"/>
    </row>
    <row r="511" spans="4:17" s="75" customFormat="1" x14ac:dyDescent="0.2">
      <c r="D511" s="84"/>
      <c r="E511" s="74"/>
      <c r="F511" s="74"/>
      <c r="G511" s="176"/>
      <c r="H511" s="74"/>
      <c r="I511" s="74"/>
      <c r="J511" s="74"/>
      <c r="K511" s="74"/>
      <c r="L511" s="74"/>
      <c r="M511" s="74"/>
      <c r="N511" s="74"/>
      <c r="O511" s="74"/>
      <c r="P511" s="74"/>
      <c r="Q511" s="74"/>
    </row>
    <row r="512" spans="4:17" s="75" customFormat="1" x14ac:dyDescent="0.2">
      <c r="D512" s="84"/>
      <c r="E512" s="74"/>
      <c r="F512" s="74"/>
      <c r="G512" s="176"/>
      <c r="H512" s="74"/>
      <c r="I512" s="74"/>
      <c r="J512" s="74"/>
      <c r="K512" s="74"/>
      <c r="L512" s="74"/>
      <c r="M512" s="74"/>
      <c r="N512" s="74"/>
      <c r="O512" s="74"/>
      <c r="P512" s="74"/>
      <c r="Q512" s="74"/>
    </row>
    <row r="513" spans="4:17" s="75" customFormat="1" x14ac:dyDescent="0.2">
      <c r="D513" s="84"/>
      <c r="E513" s="74"/>
      <c r="F513" s="74"/>
      <c r="G513" s="176"/>
      <c r="H513" s="74"/>
      <c r="I513" s="74"/>
      <c r="J513" s="74"/>
      <c r="K513" s="74"/>
      <c r="L513" s="74"/>
      <c r="M513" s="74"/>
      <c r="N513" s="74"/>
      <c r="O513" s="74"/>
      <c r="P513" s="74"/>
      <c r="Q513" s="74"/>
    </row>
    <row r="514" spans="4:17" s="75" customFormat="1" x14ac:dyDescent="0.2">
      <c r="D514" s="84"/>
      <c r="E514" s="74"/>
      <c r="F514" s="74"/>
      <c r="G514" s="176"/>
      <c r="H514" s="74"/>
      <c r="I514" s="74"/>
      <c r="J514" s="74"/>
      <c r="K514" s="74"/>
      <c r="L514" s="74"/>
      <c r="M514" s="74"/>
      <c r="N514" s="74"/>
      <c r="O514" s="74"/>
      <c r="P514" s="74"/>
      <c r="Q514" s="74"/>
    </row>
    <row r="515" spans="4:17" s="75" customFormat="1" x14ac:dyDescent="0.2">
      <c r="D515" s="84"/>
      <c r="E515" s="74"/>
      <c r="F515" s="74"/>
      <c r="G515" s="176"/>
      <c r="H515" s="74"/>
      <c r="I515" s="74"/>
      <c r="J515" s="74"/>
      <c r="K515" s="74"/>
      <c r="L515" s="74"/>
      <c r="M515" s="74"/>
      <c r="N515" s="74"/>
      <c r="O515" s="74"/>
      <c r="P515" s="74"/>
      <c r="Q515" s="74"/>
    </row>
    <row r="516" spans="4:17" s="75" customFormat="1" x14ac:dyDescent="0.2">
      <c r="D516" s="84"/>
      <c r="E516" s="74"/>
      <c r="F516" s="74"/>
      <c r="G516" s="176"/>
      <c r="H516" s="74"/>
      <c r="I516" s="74"/>
      <c r="J516" s="74"/>
      <c r="K516" s="74"/>
      <c r="L516" s="74"/>
      <c r="M516" s="74"/>
      <c r="N516" s="74"/>
      <c r="O516" s="74"/>
      <c r="P516" s="74"/>
      <c r="Q516" s="74"/>
    </row>
    <row r="517" spans="4:17" s="75" customFormat="1" x14ac:dyDescent="0.2">
      <c r="D517" s="84"/>
      <c r="E517" s="74"/>
      <c r="F517" s="74"/>
      <c r="G517" s="176"/>
      <c r="H517" s="74"/>
      <c r="I517" s="74"/>
      <c r="J517" s="74"/>
      <c r="K517" s="74"/>
      <c r="L517" s="74"/>
      <c r="M517" s="74"/>
      <c r="N517" s="74"/>
      <c r="O517" s="74"/>
      <c r="P517" s="74"/>
      <c r="Q517" s="74"/>
    </row>
    <row r="518" spans="4:17" s="75" customFormat="1" x14ac:dyDescent="0.2">
      <c r="D518" s="84"/>
      <c r="E518" s="74"/>
      <c r="F518" s="74"/>
      <c r="G518" s="176"/>
      <c r="H518" s="74"/>
      <c r="I518" s="74"/>
      <c r="J518" s="74"/>
      <c r="K518" s="74"/>
      <c r="L518" s="74"/>
      <c r="M518" s="74"/>
      <c r="N518" s="74"/>
      <c r="O518" s="74"/>
      <c r="P518" s="74"/>
      <c r="Q518" s="74"/>
    </row>
    <row r="519" spans="4:17" s="75" customFormat="1" x14ac:dyDescent="0.2">
      <c r="D519" s="84"/>
      <c r="E519" s="74"/>
      <c r="F519" s="74"/>
      <c r="G519" s="176"/>
      <c r="H519" s="74"/>
      <c r="I519" s="74"/>
      <c r="J519" s="74"/>
      <c r="K519" s="74"/>
      <c r="L519" s="74"/>
      <c r="M519" s="74"/>
      <c r="N519" s="74"/>
      <c r="O519" s="74"/>
      <c r="P519" s="74"/>
      <c r="Q519" s="74"/>
    </row>
    <row r="520" spans="4:17" s="75" customFormat="1" x14ac:dyDescent="0.2">
      <c r="D520" s="84"/>
      <c r="E520" s="74"/>
      <c r="F520" s="74"/>
      <c r="G520" s="176"/>
      <c r="H520" s="74"/>
      <c r="I520" s="74"/>
      <c r="J520" s="74"/>
      <c r="K520" s="74"/>
      <c r="L520" s="74"/>
      <c r="M520" s="74"/>
      <c r="N520" s="74"/>
      <c r="O520" s="74"/>
      <c r="P520" s="74"/>
      <c r="Q520" s="74"/>
    </row>
    <row r="521" spans="4:17" s="75" customFormat="1" x14ac:dyDescent="0.2">
      <c r="D521" s="84"/>
      <c r="E521" s="74"/>
      <c r="F521" s="74"/>
      <c r="G521" s="176"/>
      <c r="H521" s="74"/>
      <c r="I521" s="74"/>
      <c r="J521" s="74"/>
      <c r="K521" s="74"/>
      <c r="L521" s="74"/>
      <c r="M521" s="74"/>
      <c r="N521" s="74"/>
      <c r="O521" s="74"/>
      <c r="P521" s="74"/>
      <c r="Q521" s="74"/>
    </row>
    <row r="522" spans="4:17" s="75" customFormat="1" x14ac:dyDescent="0.2">
      <c r="D522" s="84"/>
      <c r="E522" s="74"/>
      <c r="F522" s="74"/>
      <c r="G522" s="176"/>
      <c r="H522" s="74"/>
      <c r="I522" s="74"/>
      <c r="J522" s="74"/>
      <c r="K522" s="74"/>
      <c r="L522" s="74"/>
      <c r="M522" s="74"/>
      <c r="N522" s="74"/>
      <c r="O522" s="74"/>
      <c r="P522" s="74"/>
      <c r="Q522" s="74"/>
    </row>
    <row r="523" spans="4:17" s="75" customFormat="1" x14ac:dyDescent="0.2">
      <c r="D523" s="84"/>
      <c r="E523" s="74"/>
      <c r="F523" s="74"/>
      <c r="G523" s="176"/>
      <c r="H523" s="74"/>
      <c r="I523" s="74"/>
      <c r="J523" s="74"/>
      <c r="K523" s="74"/>
      <c r="L523" s="74"/>
      <c r="M523" s="74"/>
      <c r="N523" s="74"/>
      <c r="O523" s="74"/>
      <c r="P523" s="74"/>
      <c r="Q523" s="74"/>
    </row>
    <row r="524" spans="4:17" s="75" customFormat="1" x14ac:dyDescent="0.2">
      <c r="D524" s="84"/>
      <c r="E524" s="74"/>
      <c r="F524" s="74"/>
      <c r="G524" s="176"/>
      <c r="H524" s="74"/>
      <c r="I524" s="74"/>
      <c r="J524" s="74"/>
      <c r="K524" s="74"/>
      <c r="L524" s="74"/>
      <c r="M524" s="74"/>
      <c r="N524" s="74"/>
      <c r="O524" s="74"/>
      <c r="P524" s="74"/>
      <c r="Q524" s="74"/>
    </row>
    <row r="525" spans="4:17" s="75" customFormat="1" x14ac:dyDescent="0.2">
      <c r="D525" s="84"/>
      <c r="E525" s="74"/>
      <c r="F525" s="74"/>
      <c r="G525" s="176"/>
      <c r="H525" s="74"/>
      <c r="I525" s="74"/>
      <c r="J525" s="74"/>
      <c r="K525" s="74"/>
      <c r="L525" s="74"/>
      <c r="M525" s="74"/>
      <c r="N525" s="74"/>
      <c r="O525" s="74"/>
      <c r="P525" s="74"/>
      <c r="Q525" s="74"/>
    </row>
    <row r="526" spans="4:17" s="75" customFormat="1" x14ac:dyDescent="0.2">
      <c r="D526" s="84"/>
      <c r="E526" s="74"/>
      <c r="F526" s="74"/>
      <c r="G526" s="176"/>
      <c r="H526" s="74"/>
      <c r="I526" s="74"/>
      <c r="J526" s="74"/>
      <c r="K526" s="74"/>
      <c r="L526" s="74"/>
      <c r="M526" s="74"/>
      <c r="N526" s="74"/>
      <c r="O526" s="74"/>
      <c r="P526" s="74"/>
      <c r="Q526" s="74"/>
    </row>
    <row r="527" spans="4:17" s="75" customFormat="1" x14ac:dyDescent="0.2">
      <c r="D527" s="84"/>
      <c r="E527" s="74"/>
      <c r="F527" s="74"/>
      <c r="G527" s="176"/>
      <c r="H527" s="74"/>
      <c r="I527" s="74"/>
      <c r="J527" s="74"/>
      <c r="K527" s="74"/>
      <c r="L527" s="74"/>
      <c r="M527" s="74"/>
      <c r="N527" s="74"/>
      <c r="O527" s="74"/>
      <c r="P527" s="74"/>
      <c r="Q527" s="74"/>
    </row>
    <row r="528" spans="4:17" s="75" customFormat="1" x14ac:dyDescent="0.2">
      <c r="D528" s="84"/>
      <c r="E528" s="74"/>
      <c r="F528" s="74"/>
      <c r="G528" s="176"/>
      <c r="H528" s="74"/>
      <c r="I528" s="74"/>
      <c r="J528" s="74"/>
      <c r="K528" s="74"/>
      <c r="L528" s="74"/>
      <c r="M528" s="74"/>
      <c r="N528" s="74"/>
      <c r="O528" s="74"/>
      <c r="P528" s="74"/>
      <c r="Q528" s="74"/>
    </row>
    <row r="529" spans="4:17" s="75" customFormat="1" x14ac:dyDescent="0.2">
      <c r="D529" s="84"/>
      <c r="E529" s="74"/>
      <c r="F529" s="74"/>
      <c r="G529" s="176"/>
      <c r="H529" s="74"/>
      <c r="I529" s="74"/>
      <c r="J529" s="74"/>
      <c r="K529" s="74"/>
      <c r="L529" s="74"/>
      <c r="M529" s="74"/>
      <c r="N529" s="74"/>
      <c r="O529" s="74"/>
      <c r="P529" s="74"/>
      <c r="Q529" s="74"/>
    </row>
    <row r="530" spans="4:17" s="75" customFormat="1" x14ac:dyDescent="0.2">
      <c r="D530" s="84"/>
      <c r="E530" s="74"/>
      <c r="F530" s="74"/>
      <c r="G530" s="176"/>
      <c r="H530" s="74"/>
      <c r="I530" s="74"/>
      <c r="J530" s="74"/>
      <c r="K530" s="74"/>
      <c r="L530" s="74"/>
      <c r="M530" s="74"/>
      <c r="N530" s="74"/>
      <c r="O530" s="74"/>
      <c r="P530" s="74"/>
      <c r="Q530" s="74"/>
    </row>
    <row r="531" spans="4:17" s="75" customFormat="1" x14ac:dyDescent="0.2">
      <c r="D531" s="84"/>
      <c r="E531" s="74"/>
      <c r="F531" s="74"/>
      <c r="G531" s="176"/>
      <c r="H531" s="74"/>
      <c r="I531" s="74"/>
      <c r="J531" s="74"/>
      <c r="K531" s="74"/>
      <c r="L531" s="74"/>
      <c r="M531" s="74"/>
      <c r="N531" s="74"/>
      <c r="O531" s="74"/>
      <c r="P531" s="74"/>
      <c r="Q531" s="74"/>
    </row>
    <row r="532" spans="4:17" s="75" customFormat="1" x14ac:dyDescent="0.2">
      <c r="D532" s="84"/>
      <c r="E532" s="74"/>
      <c r="F532" s="74"/>
      <c r="G532" s="176"/>
      <c r="H532" s="74"/>
      <c r="I532" s="74"/>
      <c r="J532" s="74"/>
      <c r="K532" s="74"/>
      <c r="L532" s="74"/>
      <c r="M532" s="74"/>
      <c r="N532" s="74"/>
      <c r="O532" s="74"/>
      <c r="P532" s="74"/>
      <c r="Q532" s="74"/>
    </row>
    <row r="533" spans="4:17" s="75" customFormat="1" x14ac:dyDescent="0.2">
      <c r="D533" s="84"/>
      <c r="E533" s="74"/>
      <c r="F533" s="74"/>
      <c r="G533" s="176"/>
      <c r="H533" s="74"/>
      <c r="I533" s="74"/>
      <c r="J533" s="74"/>
      <c r="K533" s="74"/>
      <c r="L533" s="74"/>
      <c r="M533" s="74"/>
      <c r="N533" s="74"/>
      <c r="O533" s="74"/>
      <c r="P533" s="74"/>
      <c r="Q533" s="74"/>
    </row>
    <row r="534" spans="4:17" s="75" customFormat="1" x14ac:dyDescent="0.2">
      <c r="D534" s="84"/>
      <c r="E534" s="74"/>
      <c r="F534" s="74"/>
      <c r="G534" s="176"/>
      <c r="H534" s="74"/>
      <c r="I534" s="74"/>
      <c r="J534" s="74"/>
      <c r="K534" s="74"/>
      <c r="L534" s="74"/>
      <c r="M534" s="74"/>
      <c r="N534" s="74"/>
      <c r="O534" s="74"/>
      <c r="P534" s="74"/>
      <c r="Q534" s="74"/>
    </row>
    <row r="535" spans="4:17" s="75" customFormat="1" x14ac:dyDescent="0.2">
      <c r="D535" s="84"/>
      <c r="E535" s="74"/>
      <c r="F535" s="74"/>
      <c r="G535" s="176"/>
      <c r="H535" s="74"/>
      <c r="I535" s="74"/>
      <c r="J535" s="74"/>
      <c r="K535" s="74"/>
      <c r="L535" s="74"/>
      <c r="M535" s="74"/>
      <c r="N535" s="74"/>
      <c r="O535" s="74"/>
      <c r="P535" s="74"/>
      <c r="Q535" s="74"/>
    </row>
    <row r="536" spans="4:17" s="75" customFormat="1" x14ac:dyDescent="0.2">
      <c r="D536" s="84"/>
      <c r="E536" s="74"/>
      <c r="F536" s="74"/>
      <c r="G536" s="176"/>
      <c r="H536" s="74"/>
      <c r="I536" s="74"/>
      <c r="J536" s="74"/>
      <c r="K536" s="74"/>
      <c r="L536" s="74"/>
      <c r="M536" s="74"/>
      <c r="N536" s="74"/>
      <c r="O536" s="74"/>
      <c r="P536" s="74"/>
      <c r="Q536" s="74"/>
    </row>
    <row r="537" spans="4:17" s="75" customFormat="1" x14ac:dyDescent="0.2">
      <c r="D537" s="84"/>
      <c r="E537" s="74"/>
      <c r="F537" s="74"/>
      <c r="G537" s="176"/>
      <c r="H537" s="74"/>
      <c r="I537" s="74"/>
      <c r="J537" s="74"/>
      <c r="K537" s="74"/>
      <c r="L537" s="74"/>
      <c r="M537" s="74"/>
      <c r="N537" s="74"/>
      <c r="O537" s="74"/>
      <c r="P537" s="74"/>
      <c r="Q537" s="74"/>
    </row>
    <row r="538" spans="4:17" s="75" customFormat="1" x14ac:dyDescent="0.2">
      <c r="D538" s="84"/>
      <c r="E538" s="74"/>
      <c r="F538" s="74"/>
      <c r="G538" s="176"/>
      <c r="H538" s="74"/>
      <c r="I538" s="74"/>
      <c r="J538" s="74"/>
      <c r="K538" s="74"/>
      <c r="L538" s="74"/>
      <c r="M538" s="74"/>
      <c r="N538" s="74"/>
      <c r="O538" s="74"/>
      <c r="P538" s="74"/>
      <c r="Q538" s="74"/>
    </row>
    <row r="539" spans="4:17" s="75" customFormat="1" x14ac:dyDescent="0.2">
      <c r="D539" s="84"/>
      <c r="E539" s="74"/>
      <c r="F539" s="74"/>
      <c r="G539" s="176"/>
      <c r="H539" s="74"/>
      <c r="I539" s="74"/>
      <c r="J539" s="74"/>
      <c r="K539" s="74"/>
      <c r="L539" s="74"/>
      <c r="M539" s="74"/>
      <c r="N539" s="74"/>
      <c r="O539" s="74"/>
      <c r="P539" s="74"/>
      <c r="Q539" s="74"/>
    </row>
    <row r="540" spans="4:17" s="75" customFormat="1" x14ac:dyDescent="0.2">
      <c r="D540" s="84"/>
      <c r="E540" s="74"/>
      <c r="F540" s="74"/>
      <c r="G540" s="176"/>
      <c r="H540" s="74"/>
      <c r="I540" s="74"/>
      <c r="J540" s="74"/>
      <c r="K540" s="74"/>
      <c r="L540" s="74"/>
      <c r="M540" s="74"/>
      <c r="N540" s="74"/>
      <c r="O540" s="74"/>
      <c r="P540" s="74"/>
      <c r="Q540" s="74"/>
    </row>
    <row r="541" spans="4:17" s="75" customFormat="1" x14ac:dyDescent="0.2">
      <c r="D541" s="84"/>
      <c r="E541" s="74"/>
      <c r="F541" s="74"/>
      <c r="G541" s="176"/>
      <c r="H541" s="74"/>
      <c r="I541" s="74"/>
      <c r="J541" s="74"/>
      <c r="K541" s="74"/>
      <c r="L541" s="74"/>
      <c r="M541" s="74"/>
      <c r="N541" s="74"/>
      <c r="O541" s="74"/>
      <c r="P541" s="74"/>
      <c r="Q541" s="74"/>
    </row>
    <row r="542" spans="4:17" s="75" customFormat="1" x14ac:dyDescent="0.2">
      <c r="D542" s="84"/>
      <c r="E542" s="74"/>
      <c r="F542" s="74"/>
      <c r="G542" s="176"/>
      <c r="H542" s="74"/>
      <c r="I542" s="74"/>
      <c r="J542" s="74"/>
      <c r="K542" s="74"/>
      <c r="L542" s="74"/>
      <c r="M542" s="74"/>
      <c r="N542" s="74"/>
      <c r="O542" s="74"/>
      <c r="P542" s="74"/>
      <c r="Q542" s="74"/>
    </row>
    <row r="543" spans="4:17" s="75" customFormat="1" x14ac:dyDescent="0.2">
      <c r="D543" s="84"/>
      <c r="E543" s="74"/>
      <c r="F543" s="74"/>
      <c r="G543" s="176"/>
      <c r="H543" s="74"/>
      <c r="I543" s="74"/>
      <c r="J543" s="74"/>
      <c r="K543" s="74"/>
      <c r="L543" s="74"/>
      <c r="M543" s="74"/>
      <c r="N543" s="74"/>
      <c r="O543" s="74"/>
      <c r="P543" s="74"/>
      <c r="Q543" s="74"/>
    </row>
    <row r="544" spans="4:17" s="75" customFormat="1" x14ac:dyDescent="0.2">
      <c r="D544" s="84"/>
      <c r="E544" s="74"/>
      <c r="F544" s="74"/>
      <c r="G544" s="176"/>
      <c r="H544" s="74"/>
      <c r="I544" s="74"/>
      <c r="J544" s="74"/>
      <c r="K544" s="74"/>
      <c r="L544" s="74"/>
      <c r="M544" s="74"/>
      <c r="N544" s="74"/>
      <c r="O544" s="74"/>
      <c r="P544" s="74"/>
      <c r="Q544" s="74"/>
    </row>
    <row r="545" spans="4:17" s="75" customFormat="1" x14ac:dyDescent="0.2">
      <c r="D545" s="84"/>
      <c r="E545" s="74"/>
      <c r="F545" s="74"/>
      <c r="G545" s="176"/>
      <c r="H545" s="74"/>
      <c r="I545" s="74"/>
      <c r="J545" s="74"/>
      <c r="K545" s="74"/>
      <c r="L545" s="74"/>
      <c r="M545" s="74"/>
      <c r="N545" s="74"/>
      <c r="O545" s="74"/>
      <c r="P545" s="74"/>
      <c r="Q545" s="74"/>
    </row>
    <row r="546" spans="4:17" s="75" customFormat="1" x14ac:dyDescent="0.2">
      <c r="D546" s="84"/>
      <c r="E546" s="74"/>
      <c r="F546" s="74"/>
      <c r="G546" s="176"/>
      <c r="H546" s="74"/>
      <c r="I546" s="74"/>
      <c r="J546" s="74"/>
      <c r="K546" s="74"/>
      <c r="L546" s="74"/>
      <c r="M546" s="74"/>
      <c r="N546" s="74"/>
      <c r="O546" s="74"/>
      <c r="P546" s="74"/>
      <c r="Q546" s="74"/>
    </row>
    <row r="547" spans="4:17" s="75" customFormat="1" x14ac:dyDescent="0.2">
      <c r="D547" s="84"/>
      <c r="E547" s="74"/>
      <c r="F547" s="74"/>
      <c r="G547" s="176"/>
      <c r="H547" s="74"/>
      <c r="I547" s="74"/>
      <c r="J547" s="74"/>
      <c r="K547" s="74"/>
      <c r="L547" s="74"/>
      <c r="M547" s="74"/>
      <c r="N547" s="74"/>
      <c r="O547" s="74"/>
      <c r="P547" s="74"/>
      <c r="Q547" s="74"/>
    </row>
    <row r="548" spans="4:17" s="75" customFormat="1" x14ac:dyDescent="0.2">
      <c r="D548" s="84"/>
      <c r="E548" s="74"/>
      <c r="F548" s="74"/>
      <c r="G548" s="176"/>
      <c r="H548" s="74"/>
      <c r="I548" s="74"/>
      <c r="J548" s="74"/>
      <c r="K548" s="74"/>
      <c r="L548" s="74"/>
      <c r="M548" s="74"/>
      <c r="N548" s="74"/>
      <c r="O548" s="74"/>
      <c r="P548" s="74"/>
      <c r="Q548" s="74"/>
    </row>
    <row r="549" spans="4:17" s="75" customFormat="1" x14ac:dyDescent="0.2">
      <c r="D549" s="84"/>
      <c r="E549" s="74"/>
      <c r="F549" s="74"/>
      <c r="G549" s="176"/>
      <c r="H549" s="74"/>
      <c r="I549" s="74"/>
      <c r="J549" s="74"/>
      <c r="K549" s="74"/>
      <c r="L549" s="74"/>
      <c r="M549" s="74"/>
      <c r="N549" s="74"/>
      <c r="O549" s="74"/>
      <c r="P549" s="74"/>
      <c r="Q549" s="74"/>
    </row>
    <row r="550" spans="4:17" s="75" customFormat="1" x14ac:dyDescent="0.2">
      <c r="D550" s="84"/>
      <c r="E550" s="74"/>
      <c r="F550" s="74"/>
      <c r="G550" s="176"/>
      <c r="H550" s="74"/>
      <c r="I550" s="74"/>
      <c r="J550" s="74"/>
      <c r="K550" s="74"/>
      <c r="L550" s="74"/>
      <c r="M550" s="74"/>
      <c r="N550" s="74"/>
      <c r="O550" s="74"/>
      <c r="P550" s="74"/>
      <c r="Q550" s="74"/>
    </row>
    <row r="551" spans="4:17" s="75" customFormat="1" x14ac:dyDescent="0.2">
      <c r="D551" s="84"/>
      <c r="E551" s="74"/>
      <c r="F551" s="74"/>
      <c r="G551" s="176"/>
      <c r="H551" s="74"/>
      <c r="I551" s="74"/>
      <c r="J551" s="74"/>
      <c r="K551" s="74"/>
      <c r="L551" s="74"/>
      <c r="M551" s="74"/>
      <c r="N551" s="74"/>
      <c r="O551" s="74"/>
      <c r="P551" s="74"/>
      <c r="Q551" s="74"/>
    </row>
    <row r="552" spans="4:17" s="75" customFormat="1" x14ac:dyDescent="0.2">
      <c r="D552" s="84"/>
      <c r="E552" s="74"/>
      <c r="F552" s="74"/>
      <c r="G552" s="176"/>
      <c r="H552" s="74"/>
      <c r="I552" s="74"/>
      <c r="J552" s="74"/>
      <c r="K552" s="74"/>
      <c r="L552" s="74"/>
      <c r="M552" s="74"/>
      <c r="N552" s="74"/>
      <c r="O552" s="74"/>
      <c r="P552" s="74"/>
      <c r="Q552" s="74"/>
    </row>
    <row r="553" spans="4:17" s="75" customFormat="1" x14ac:dyDescent="0.2">
      <c r="D553" s="84"/>
      <c r="E553" s="74"/>
      <c r="F553" s="74"/>
      <c r="G553" s="176"/>
      <c r="H553" s="74"/>
      <c r="I553" s="74"/>
      <c r="J553" s="74"/>
      <c r="K553" s="74"/>
      <c r="L553" s="74"/>
      <c r="M553" s="74"/>
      <c r="N553" s="74"/>
      <c r="O553" s="74"/>
      <c r="P553" s="74"/>
      <c r="Q553" s="74"/>
    </row>
    <row r="554" spans="4:17" s="75" customFormat="1" x14ac:dyDescent="0.2">
      <c r="D554" s="84"/>
      <c r="E554" s="74"/>
      <c r="F554" s="74"/>
      <c r="G554" s="176"/>
      <c r="H554" s="74"/>
      <c r="I554" s="74"/>
      <c r="J554" s="74"/>
      <c r="K554" s="74"/>
      <c r="L554" s="74"/>
      <c r="M554" s="74"/>
      <c r="N554" s="74"/>
      <c r="O554" s="74"/>
      <c r="P554" s="74"/>
      <c r="Q554" s="74"/>
    </row>
    <row r="555" spans="4:17" s="75" customFormat="1" x14ac:dyDescent="0.2">
      <c r="D555" s="84"/>
      <c r="E555" s="74"/>
      <c r="F555" s="74"/>
      <c r="G555" s="176"/>
      <c r="H555" s="74"/>
      <c r="I555" s="74"/>
      <c r="J555" s="74"/>
      <c r="K555" s="74"/>
      <c r="L555" s="74"/>
      <c r="M555" s="74"/>
      <c r="N555" s="74"/>
      <c r="O555" s="74"/>
      <c r="P555" s="74"/>
      <c r="Q555" s="74"/>
    </row>
    <row r="556" spans="4:17" s="75" customFormat="1" x14ac:dyDescent="0.2">
      <c r="D556" s="84"/>
      <c r="E556" s="74"/>
      <c r="F556" s="74"/>
      <c r="G556" s="176"/>
      <c r="H556" s="74"/>
      <c r="I556" s="74"/>
      <c r="J556" s="74"/>
      <c r="K556" s="74"/>
      <c r="L556" s="74"/>
      <c r="M556" s="74"/>
      <c r="N556" s="74"/>
      <c r="O556" s="74"/>
      <c r="P556" s="74"/>
      <c r="Q556" s="74"/>
    </row>
    <row r="557" spans="4:17" s="75" customFormat="1" x14ac:dyDescent="0.2">
      <c r="D557" s="84"/>
      <c r="E557" s="74"/>
      <c r="F557" s="74"/>
      <c r="G557" s="176"/>
      <c r="H557" s="74"/>
      <c r="I557" s="74"/>
      <c r="J557" s="74"/>
      <c r="K557" s="74"/>
      <c r="L557" s="74"/>
      <c r="M557" s="74"/>
      <c r="N557" s="74"/>
      <c r="O557" s="74"/>
      <c r="P557" s="74"/>
      <c r="Q557" s="74"/>
    </row>
    <row r="558" spans="4:17" s="75" customFormat="1" x14ac:dyDescent="0.2">
      <c r="D558" s="84"/>
      <c r="E558" s="74"/>
      <c r="F558" s="74"/>
      <c r="G558" s="176"/>
      <c r="H558" s="74"/>
      <c r="I558" s="74"/>
      <c r="J558" s="74"/>
      <c r="K558" s="74"/>
      <c r="L558" s="74"/>
      <c r="M558" s="74"/>
      <c r="N558" s="74"/>
      <c r="O558" s="74"/>
      <c r="P558" s="74"/>
      <c r="Q558" s="74"/>
    </row>
  </sheetData>
  <sheetProtection password="FFFD" sheet="1" objects="1" scenarios="1" selectLockedCells="1"/>
  <mergeCells count="187">
    <mergeCell ref="J11:Q11"/>
    <mergeCell ref="J12:Q12"/>
    <mergeCell ref="J13:Q13"/>
    <mergeCell ref="J14:Q14"/>
    <mergeCell ref="H86:I86"/>
    <mergeCell ref="J86:Q86"/>
    <mergeCell ref="H66:I66"/>
    <mergeCell ref="J66:Q66"/>
    <mergeCell ref="H67:I67"/>
    <mergeCell ref="J67:Q67"/>
    <mergeCell ref="H64:I64"/>
    <mergeCell ref="J64:Q64"/>
    <mergeCell ref="H65:I65"/>
    <mergeCell ref="J65:Q65"/>
    <mergeCell ref="P56:R56"/>
    <mergeCell ref="H69:I69"/>
    <mergeCell ref="H70:I70"/>
    <mergeCell ref="H71:I71"/>
    <mergeCell ref="H72:I72"/>
    <mergeCell ref="H77:I77"/>
    <mergeCell ref="H81:I81"/>
    <mergeCell ref="H74:I74"/>
    <mergeCell ref="J74:Q74"/>
    <mergeCell ref="J72:Q72"/>
    <mergeCell ref="C82:F82"/>
    <mergeCell ref="C83:F83"/>
    <mergeCell ref="C84:F84"/>
    <mergeCell ref="C85:F85"/>
    <mergeCell ref="C86:F86"/>
    <mergeCell ref="H80:I80"/>
    <mergeCell ref="J75:Q75"/>
    <mergeCell ref="J80:Q80"/>
    <mergeCell ref="H82:I82"/>
    <mergeCell ref="J82:Q82"/>
    <mergeCell ref="H83:I83"/>
    <mergeCell ref="H84:I84"/>
    <mergeCell ref="J84:Q84"/>
    <mergeCell ref="H85:I85"/>
    <mergeCell ref="C79:F79"/>
    <mergeCell ref="H75:I75"/>
    <mergeCell ref="J85:Q85"/>
    <mergeCell ref="J83:Q83"/>
    <mergeCell ref="H79:I79"/>
    <mergeCell ref="J79:Q79"/>
    <mergeCell ref="U20:W20"/>
    <mergeCell ref="J21:Q21"/>
    <mergeCell ref="U21:W21"/>
    <mergeCell ref="J22:Q22"/>
    <mergeCell ref="U22:W24"/>
    <mergeCell ref="J23:Q23"/>
    <mergeCell ref="J24:Q24"/>
    <mergeCell ref="J15:Q15"/>
    <mergeCell ref="J16:Q16"/>
    <mergeCell ref="J17:Q17"/>
    <mergeCell ref="U17:W17"/>
    <mergeCell ref="J18:Q18"/>
    <mergeCell ref="U18:W18"/>
    <mergeCell ref="U30:W30"/>
    <mergeCell ref="J31:Q31"/>
    <mergeCell ref="U31:W31"/>
    <mergeCell ref="J32:Q32"/>
    <mergeCell ref="U32:W33"/>
    <mergeCell ref="J33:Q33"/>
    <mergeCell ref="J25:Q25"/>
    <mergeCell ref="U25:W26"/>
    <mergeCell ref="J26:Q26"/>
    <mergeCell ref="J27:Q27"/>
    <mergeCell ref="U27:W27"/>
    <mergeCell ref="J28:Q28"/>
    <mergeCell ref="U28:W29"/>
    <mergeCell ref="J29:Q29"/>
    <mergeCell ref="U38:W39"/>
    <mergeCell ref="J39:Q39"/>
    <mergeCell ref="J40:Q40"/>
    <mergeCell ref="U40:W41"/>
    <mergeCell ref="J41:Q41"/>
    <mergeCell ref="J34:Q34"/>
    <mergeCell ref="U34:W35"/>
    <mergeCell ref="J35:Q35"/>
    <mergeCell ref="J36:Q36"/>
    <mergeCell ref="U36:W37"/>
    <mergeCell ref="J37:Q37"/>
    <mergeCell ref="U46:W46"/>
    <mergeCell ref="J47:Q47"/>
    <mergeCell ref="U47:W47"/>
    <mergeCell ref="J48:Q48"/>
    <mergeCell ref="U48:W48"/>
    <mergeCell ref="J42:Q42"/>
    <mergeCell ref="U42:W43"/>
    <mergeCell ref="J43:Q43"/>
    <mergeCell ref="J44:Q44"/>
    <mergeCell ref="J45:Q45"/>
    <mergeCell ref="U45:W45"/>
    <mergeCell ref="U53:W53"/>
    <mergeCell ref="J54:Q54"/>
    <mergeCell ref="U54:W54"/>
    <mergeCell ref="J55:Q55"/>
    <mergeCell ref="U55:W55"/>
    <mergeCell ref="J49:Q49"/>
    <mergeCell ref="U49:W50"/>
    <mergeCell ref="J50:Q50"/>
    <mergeCell ref="J51:Q51"/>
    <mergeCell ref="U51:W52"/>
    <mergeCell ref="J52:Q52"/>
    <mergeCell ref="U58:W58"/>
    <mergeCell ref="H59:I59"/>
    <mergeCell ref="J59:Q59"/>
    <mergeCell ref="H60:I60"/>
    <mergeCell ref="J60:Q60"/>
    <mergeCell ref="H57:I57"/>
    <mergeCell ref="J57:Q57"/>
    <mergeCell ref="H58:I58"/>
    <mergeCell ref="J58:Q58"/>
    <mergeCell ref="H73:I73"/>
    <mergeCell ref="J73:Q73"/>
    <mergeCell ref="J81:Q81"/>
    <mergeCell ref="H76:I76"/>
    <mergeCell ref="J76:Q76"/>
    <mergeCell ref="J77:Q77"/>
    <mergeCell ref="H78:I78"/>
    <mergeCell ref="J78:Q78"/>
    <mergeCell ref="C73:F73"/>
    <mergeCell ref="C78:F78"/>
    <mergeCell ref="C81:F81"/>
    <mergeCell ref="C68:F68"/>
    <mergeCell ref="C70:F70"/>
    <mergeCell ref="C71:F71"/>
    <mergeCell ref="C80:F80"/>
    <mergeCell ref="C57:F57"/>
    <mergeCell ref="C58:F58"/>
    <mergeCell ref="C59:F59"/>
    <mergeCell ref="C60:F60"/>
    <mergeCell ref="C62:F62"/>
    <mergeCell ref="C63:F63"/>
    <mergeCell ref="C72:F72"/>
    <mergeCell ref="C64:F64"/>
    <mergeCell ref="C65:F65"/>
    <mergeCell ref="C66:F66"/>
    <mergeCell ref="C67:F67"/>
    <mergeCell ref="B56:C56"/>
    <mergeCell ref="C61:F61"/>
    <mergeCell ref="J4:Q4"/>
    <mergeCell ref="C4:I4"/>
    <mergeCell ref="E50:F52"/>
    <mergeCell ref="E53:F55"/>
    <mergeCell ref="E25:F30"/>
    <mergeCell ref="E31:F31"/>
    <mergeCell ref="E32:F43"/>
    <mergeCell ref="E44:F45"/>
    <mergeCell ref="J53:Q53"/>
    <mergeCell ref="J46:Q46"/>
    <mergeCell ref="J38:Q38"/>
    <mergeCell ref="J30:Q30"/>
    <mergeCell ref="J19:Q19"/>
    <mergeCell ref="J20:Q20"/>
    <mergeCell ref="J5:K5"/>
    <mergeCell ref="J6:K6"/>
    <mergeCell ref="J7:K7"/>
    <mergeCell ref="L5:Q5"/>
    <mergeCell ref="L6:Q6"/>
    <mergeCell ref="L7:Q7"/>
    <mergeCell ref="D7:I7"/>
    <mergeCell ref="D5:I5"/>
    <mergeCell ref="D6:I6"/>
    <mergeCell ref="J70:Q70"/>
    <mergeCell ref="J71:Q71"/>
    <mergeCell ref="H68:I68"/>
    <mergeCell ref="J68:Q68"/>
    <mergeCell ref="J69:Q69"/>
    <mergeCell ref="H62:I62"/>
    <mergeCell ref="J62:Q62"/>
    <mergeCell ref="H63:I63"/>
    <mergeCell ref="J63:Q63"/>
    <mergeCell ref="E9:F9"/>
    <mergeCell ref="E12:F13"/>
    <mergeCell ref="E14:F17"/>
    <mergeCell ref="E18:F18"/>
    <mergeCell ref="E48:F49"/>
    <mergeCell ref="E47:F47"/>
    <mergeCell ref="E46:F46"/>
    <mergeCell ref="E19:F24"/>
    <mergeCell ref="E10:F10"/>
    <mergeCell ref="E11:F11"/>
    <mergeCell ref="J61:Q61"/>
    <mergeCell ref="H61:I61"/>
    <mergeCell ref="J9:Q9"/>
    <mergeCell ref="J10:Q10"/>
  </mergeCells>
  <conditionalFormatting sqref="I10">
    <cfRule type="cellIs" dxfId="31" priority="1" stopIfTrue="1" operator="notBetween">
      <formula>0</formula>
      <formula>999999999</formula>
    </cfRule>
  </conditionalFormatting>
  <conditionalFormatting sqref="I12:I17">
    <cfRule type="cellIs" dxfId="30" priority="26" stopIfTrue="1" operator="notBetween">
      <formula>0</formula>
      <formula>999999999</formula>
    </cfRule>
  </conditionalFormatting>
  <conditionalFormatting sqref="I19:J30">
    <cfRule type="cellIs" dxfId="29" priority="18" stopIfTrue="1" operator="notBetween">
      <formula>0</formula>
      <formula>999999999</formula>
    </cfRule>
  </conditionalFormatting>
  <conditionalFormatting sqref="J10:J17">
    <cfRule type="cellIs" dxfId="28" priority="22" stopIfTrue="1" operator="notBetween">
      <formula>0</formula>
      <formula>999999999</formula>
    </cfRule>
  </conditionalFormatting>
  <conditionalFormatting sqref="J32:J45">
    <cfRule type="cellIs" dxfId="27" priority="14" stopIfTrue="1" operator="notBetween">
      <formula>0</formula>
      <formula>999999999</formula>
    </cfRule>
  </conditionalFormatting>
  <conditionalFormatting sqref="J47:J55">
    <cfRule type="cellIs" dxfId="26" priority="9" stopIfTrue="1" operator="notBetween">
      <formula>0</formula>
      <formula>999999999</formula>
    </cfRule>
  </conditionalFormatting>
  <conditionalFormatting sqref="J58:J78">
    <cfRule type="cellIs" dxfId="25" priority="5" stopIfTrue="1" operator="notBetween">
      <formula>0</formula>
      <formula>999999999</formula>
    </cfRule>
  </conditionalFormatting>
  <conditionalFormatting sqref="J80:J86">
    <cfRule type="cellIs" dxfId="24" priority="6" stopIfTrue="1" operator="notBetween">
      <formula>0</formula>
      <formula>999999999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57"/>
  <sheetViews>
    <sheetView topLeftCell="A44" zoomScale="80" zoomScaleNormal="80" workbookViewId="0">
      <selection activeCell="J72" sqref="J72:Q72"/>
    </sheetView>
  </sheetViews>
  <sheetFormatPr baseColWidth="10" defaultColWidth="11.42578125" defaultRowHeight="12.75" x14ac:dyDescent="0.2"/>
  <cols>
    <col min="1" max="2" width="3.7109375" style="71" customWidth="1"/>
    <col min="3" max="3" width="58.7109375" style="71" customWidth="1"/>
    <col min="4" max="4" width="14" style="72" customWidth="1"/>
    <col min="5" max="5" width="7.28515625" style="73" customWidth="1"/>
    <col min="6" max="6" width="17.5703125" style="73" customWidth="1"/>
    <col min="7" max="7" width="3.5703125" style="85" customWidth="1"/>
    <col min="8" max="8" width="11.42578125" style="73" customWidth="1"/>
    <col min="9" max="9" width="6.5703125" style="73" customWidth="1"/>
    <col min="10" max="10" width="21.5703125" style="85" customWidth="1"/>
    <col min="11" max="11" width="6.42578125" style="73" customWidth="1"/>
    <col min="12" max="12" width="2.28515625" style="85" customWidth="1"/>
    <col min="13" max="13" width="11.28515625" style="73" customWidth="1"/>
    <col min="14" max="14" width="7.28515625" style="73" customWidth="1"/>
    <col min="15" max="15" width="1.42578125" style="85" customWidth="1"/>
    <col min="16" max="16" width="11.5703125" style="73" customWidth="1"/>
    <col min="17" max="17" width="6.7109375" style="73" customWidth="1"/>
    <col min="18" max="18" width="3.7109375" style="71" customWidth="1"/>
    <col min="19" max="19" width="1.7109375" style="71" customWidth="1"/>
    <col min="20" max="20" width="3.7109375" style="75" customWidth="1"/>
    <col min="21" max="22" width="40.7109375" style="75" customWidth="1"/>
    <col min="23" max="23" width="48.28515625" style="75" customWidth="1"/>
    <col min="24" max="24" width="3.7109375" style="75" customWidth="1"/>
    <col min="25" max="16384" width="11.42578125" style="71"/>
  </cols>
  <sheetData>
    <row r="1" spans="1:24" ht="13.15" hidden="1" customHeight="1" x14ac:dyDescent="0.2">
      <c r="G1" s="74"/>
      <c r="J1" s="74"/>
      <c r="L1" s="74"/>
      <c r="O1" s="74"/>
    </row>
    <row r="2" spans="1:24" x14ac:dyDescent="0.2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76"/>
      <c r="U2" s="76"/>
    </row>
    <row r="3" spans="1:24" ht="13.15" customHeight="1" x14ac:dyDescent="0.2">
      <c r="B3" s="86"/>
      <c r="C3" s="123"/>
      <c r="D3" s="124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/>
    </row>
    <row r="4" spans="1:24" ht="13.15" customHeight="1" x14ac:dyDescent="0.2">
      <c r="B4" s="87"/>
      <c r="C4" s="286" t="s">
        <v>109</v>
      </c>
      <c r="D4" s="286"/>
      <c r="E4" s="286"/>
      <c r="F4" s="286"/>
      <c r="G4" s="286"/>
      <c r="H4" s="286"/>
      <c r="I4" s="286"/>
      <c r="J4" s="286" t="s">
        <v>119</v>
      </c>
      <c r="K4" s="286"/>
      <c r="L4" s="286"/>
      <c r="M4" s="286"/>
      <c r="N4" s="286"/>
      <c r="O4" s="286"/>
      <c r="P4" s="286"/>
      <c r="Q4" s="286"/>
      <c r="R4" s="138"/>
    </row>
    <row r="5" spans="1:24" s="120" customFormat="1" ht="23.25" customHeight="1" x14ac:dyDescent="0.2">
      <c r="B5" s="87"/>
      <c r="C5" s="142" t="s">
        <v>110</v>
      </c>
      <c r="D5" s="266">
        <v>44562</v>
      </c>
      <c r="E5" s="266"/>
      <c r="F5" s="266"/>
      <c r="G5" s="266"/>
      <c r="H5" s="266"/>
      <c r="I5" s="266"/>
      <c r="J5" s="292" t="s">
        <v>17</v>
      </c>
      <c r="K5" s="292"/>
      <c r="L5" s="293">
        <f>IF('Overview IB'!D11="","",'Overview IB'!D11)</f>
        <v>44562</v>
      </c>
      <c r="M5" s="293"/>
      <c r="N5" s="293"/>
      <c r="O5" s="293"/>
      <c r="P5" s="293"/>
      <c r="Q5" s="293"/>
      <c r="R5" s="122"/>
    </row>
    <row r="6" spans="1:24" s="120" customFormat="1" ht="18.75" customHeight="1" x14ac:dyDescent="0.2">
      <c r="B6" s="87"/>
      <c r="C6" s="142" t="s">
        <v>111</v>
      </c>
      <c r="D6" s="266">
        <v>44926</v>
      </c>
      <c r="E6" s="266"/>
      <c r="F6" s="266"/>
      <c r="G6" s="266"/>
      <c r="H6" s="266"/>
      <c r="I6" s="266"/>
      <c r="J6" s="292" t="s">
        <v>18</v>
      </c>
      <c r="K6" s="292"/>
      <c r="L6" s="293">
        <f>IF('Overview IB'!D12="","",'Overview IB'!D12)</f>
        <v>45291</v>
      </c>
      <c r="M6" s="293"/>
      <c r="N6" s="293"/>
      <c r="O6" s="293"/>
      <c r="P6" s="293"/>
      <c r="Q6" s="293"/>
      <c r="R6" s="122"/>
    </row>
    <row r="7" spans="1:24" s="120" customFormat="1" ht="18.75" customHeight="1" x14ac:dyDescent="0.2">
      <c r="B7" s="87"/>
      <c r="C7" s="143" t="s">
        <v>36</v>
      </c>
      <c r="D7" s="295">
        <f>IF(OR(D5="",L7="befüllt sich automatisch"),0,((D6-D5)/30)/L7)</f>
        <v>0.49931412894375854</v>
      </c>
      <c r="E7" s="295"/>
      <c r="F7" s="295"/>
      <c r="G7" s="295"/>
      <c r="H7" s="295"/>
      <c r="I7" s="295"/>
      <c r="J7" s="292" t="s">
        <v>72</v>
      </c>
      <c r="K7" s="292"/>
      <c r="L7" s="294">
        <f>IF(IF(OR(L6="",L5=""),"",(L6-L5)/30)="","befüllt sich automatisch",IF(OR(L6="",L5=""),"",(L6-L5)/30))</f>
        <v>24.3</v>
      </c>
      <c r="M7" s="294"/>
      <c r="N7" s="294"/>
      <c r="O7" s="294"/>
      <c r="P7" s="294"/>
      <c r="Q7" s="294"/>
      <c r="R7" s="122"/>
    </row>
    <row r="8" spans="1:24" x14ac:dyDescent="0.2">
      <c r="A8" s="76"/>
      <c r="B8" s="87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9"/>
      <c r="S8" s="76"/>
      <c r="T8" s="76"/>
      <c r="U8" s="76"/>
    </row>
    <row r="9" spans="1:24" s="76" customFormat="1" ht="37.15" customHeight="1" x14ac:dyDescent="0.2">
      <c r="B9" s="87"/>
      <c r="C9" s="118" t="s">
        <v>42</v>
      </c>
      <c r="D9" s="93" t="s">
        <v>86</v>
      </c>
      <c r="E9" s="260"/>
      <c r="F9" s="261"/>
      <c r="G9" s="37"/>
      <c r="H9" s="118" t="s">
        <v>37</v>
      </c>
      <c r="I9" s="39" t="s">
        <v>11</v>
      </c>
      <c r="J9" s="281" t="s">
        <v>74</v>
      </c>
      <c r="K9" s="282"/>
      <c r="L9" s="282"/>
      <c r="M9" s="282"/>
      <c r="N9" s="282"/>
      <c r="O9" s="282"/>
      <c r="P9" s="282"/>
      <c r="Q9" s="283"/>
      <c r="R9" s="90"/>
      <c r="T9" s="77"/>
      <c r="U9" s="78"/>
      <c r="V9" s="78"/>
      <c r="W9" s="78"/>
      <c r="X9" s="77"/>
    </row>
    <row r="10" spans="1:24" s="76" customFormat="1" ht="13.15" customHeight="1" x14ac:dyDescent="0.2">
      <c r="B10" s="87"/>
      <c r="C10" s="94" t="s">
        <v>121</v>
      </c>
      <c r="D10" s="153">
        <f>'Overview IB'!D16</f>
        <v>941</v>
      </c>
      <c r="E10" s="274" t="str">
        <f>IF('Overview IB'!E16 &gt; 0, 'Overview IB'!E16, "")</f>
        <v/>
      </c>
      <c r="F10" s="312"/>
      <c r="G10" s="40"/>
      <c r="H10" s="107">
        <v>899</v>
      </c>
      <c r="I10" s="141">
        <f>IF(H10=0,0,H10/D10)</f>
        <v>0.95536663124335808</v>
      </c>
      <c r="J10" s="277"/>
      <c r="K10" s="278"/>
      <c r="L10" s="278"/>
      <c r="M10" s="278"/>
      <c r="N10" s="278"/>
      <c r="O10" s="278"/>
      <c r="P10" s="278"/>
      <c r="Q10" s="279"/>
      <c r="R10" s="90"/>
      <c r="T10" s="77"/>
      <c r="U10" s="78"/>
      <c r="V10" s="78"/>
      <c r="W10" s="78"/>
      <c r="X10" s="77"/>
    </row>
    <row r="11" spans="1:24" s="76" customFormat="1" ht="28.5" customHeight="1" x14ac:dyDescent="0.2">
      <c r="B11" s="87"/>
      <c r="C11" s="8" t="s">
        <v>87</v>
      </c>
      <c r="D11" s="93" t="s">
        <v>86</v>
      </c>
      <c r="E11" s="276" t="s">
        <v>91</v>
      </c>
      <c r="F11" s="217"/>
      <c r="G11" s="37"/>
      <c r="H11" s="38"/>
      <c r="I11" s="39"/>
      <c r="J11" s="304"/>
      <c r="K11" s="305"/>
      <c r="L11" s="305"/>
      <c r="M11" s="305"/>
      <c r="N11" s="305"/>
      <c r="O11" s="305"/>
      <c r="P11" s="305"/>
      <c r="Q11" s="306"/>
      <c r="R11" s="90"/>
      <c r="T11" s="77"/>
      <c r="U11" s="78"/>
      <c r="V11" s="78"/>
      <c r="W11" s="78"/>
      <c r="X11" s="77"/>
    </row>
    <row r="12" spans="1:24" ht="15" x14ac:dyDescent="0.2">
      <c r="B12" s="36"/>
      <c r="C12" s="95" t="s">
        <v>67</v>
      </c>
      <c r="D12" s="153">
        <f>'Overview IB'!D18</f>
        <v>96</v>
      </c>
      <c r="E12" s="271" t="str">
        <f>IF('Overview IB'!E18 &gt; 0, 'Overview IB'!E18, "")</f>
        <v>z.B. ganzheitliches Lernen, Sommerprogramm, Corona-spezifische Maßnahmen zur Bekämpfung der Folgend der Pandemie</v>
      </c>
      <c r="F12" s="309"/>
      <c r="G12" s="40"/>
      <c r="H12" s="107">
        <v>61</v>
      </c>
      <c r="I12" s="181">
        <f>IF(H12=0,0,H12/D12)</f>
        <v>0.63541666666666663</v>
      </c>
      <c r="J12" s="277"/>
      <c r="K12" s="278"/>
      <c r="L12" s="278"/>
      <c r="M12" s="278"/>
      <c r="N12" s="278"/>
      <c r="O12" s="278"/>
      <c r="P12" s="278"/>
      <c r="Q12" s="279"/>
      <c r="R12" s="91"/>
      <c r="U12" s="119"/>
      <c r="V12" s="119"/>
      <c r="W12" s="119"/>
    </row>
    <row r="13" spans="1:24" ht="15" x14ac:dyDescent="0.2">
      <c r="B13" s="36"/>
      <c r="C13" s="96" t="s">
        <v>122</v>
      </c>
      <c r="D13" s="153">
        <f>'Overview IB'!D19</f>
        <v>0</v>
      </c>
      <c r="E13" s="272"/>
      <c r="F13" s="311"/>
      <c r="G13" s="40"/>
      <c r="H13" s="107"/>
      <c r="I13" s="182">
        <f t="shared" ref="I13:I17" si="0">IF(H13=0,0,H13/D13)</f>
        <v>0</v>
      </c>
      <c r="J13" s="267"/>
      <c r="K13" s="267"/>
      <c r="L13" s="267"/>
      <c r="M13" s="267"/>
      <c r="N13" s="267"/>
      <c r="O13" s="267"/>
      <c r="P13" s="267"/>
      <c r="Q13" s="267"/>
      <c r="R13" s="91"/>
      <c r="U13" s="110"/>
      <c r="V13" s="110"/>
      <c r="W13" s="110"/>
    </row>
    <row r="14" spans="1:24" ht="15" x14ac:dyDescent="0.2">
      <c r="B14" s="36"/>
      <c r="C14" s="95" t="s">
        <v>68</v>
      </c>
      <c r="D14" s="153">
        <f>'Overview IB'!D20</f>
        <v>96</v>
      </c>
      <c r="E14" s="271" t="str">
        <f>IF('Overview IB'!E20 &gt; 0, 'Overview IB'!E20, "")</f>
        <v>z.B. ganzheitliches Lernen, Sommerprogramm, Elternarbeit, Digitalisierung</v>
      </c>
      <c r="F14" s="309"/>
      <c r="G14" s="40"/>
      <c r="H14" s="107">
        <v>48</v>
      </c>
      <c r="I14" s="181">
        <f t="shared" si="0"/>
        <v>0.5</v>
      </c>
      <c r="J14" s="267"/>
      <c r="K14" s="267"/>
      <c r="L14" s="267"/>
      <c r="M14" s="267"/>
      <c r="N14" s="267"/>
      <c r="O14" s="267"/>
      <c r="P14" s="267"/>
      <c r="Q14" s="267"/>
      <c r="R14" s="91"/>
      <c r="U14" s="110"/>
      <c r="V14" s="110"/>
      <c r="W14" s="110"/>
    </row>
    <row r="15" spans="1:24" ht="15" x14ac:dyDescent="0.2">
      <c r="B15" s="36"/>
      <c r="C15" s="97" t="s">
        <v>65</v>
      </c>
      <c r="D15" s="153">
        <f>'Overview IB'!D21</f>
        <v>0</v>
      </c>
      <c r="E15" s="272"/>
      <c r="F15" s="310"/>
      <c r="G15" s="40"/>
      <c r="H15" s="107"/>
      <c r="I15" s="182">
        <f t="shared" si="0"/>
        <v>0</v>
      </c>
      <c r="J15" s="267"/>
      <c r="K15" s="267"/>
      <c r="L15" s="267"/>
      <c r="M15" s="267"/>
      <c r="N15" s="267"/>
      <c r="O15" s="267"/>
      <c r="P15" s="267"/>
      <c r="Q15" s="267"/>
      <c r="R15" s="91"/>
      <c r="U15" s="110"/>
      <c r="V15" s="110"/>
      <c r="W15" s="110"/>
    </row>
    <row r="16" spans="1:24" ht="15" x14ac:dyDescent="0.2">
      <c r="B16" s="36"/>
      <c r="C16" s="97" t="s">
        <v>66</v>
      </c>
      <c r="D16" s="153">
        <f>'Overview IB'!D22</f>
        <v>0</v>
      </c>
      <c r="E16" s="272"/>
      <c r="F16" s="310"/>
      <c r="G16" s="40"/>
      <c r="H16" s="107"/>
      <c r="I16" s="182">
        <f t="shared" si="0"/>
        <v>0</v>
      </c>
      <c r="J16" s="267"/>
      <c r="K16" s="267"/>
      <c r="L16" s="267"/>
      <c r="M16" s="267"/>
      <c r="N16" s="267"/>
      <c r="O16" s="267"/>
      <c r="P16" s="267"/>
      <c r="Q16" s="267"/>
      <c r="R16" s="91"/>
      <c r="U16" s="110"/>
      <c r="V16" s="110"/>
      <c r="W16" s="110"/>
    </row>
    <row r="17" spans="2:23" ht="15" x14ac:dyDescent="0.2">
      <c r="B17" s="36"/>
      <c r="C17" s="97" t="s">
        <v>70</v>
      </c>
      <c r="D17" s="153">
        <f>'Overview IB'!D23</f>
        <v>0</v>
      </c>
      <c r="E17" s="273"/>
      <c r="F17" s="311"/>
      <c r="G17" s="40"/>
      <c r="H17" s="107"/>
      <c r="I17" s="182">
        <f t="shared" si="0"/>
        <v>0</v>
      </c>
      <c r="J17" s="267"/>
      <c r="K17" s="267"/>
      <c r="L17" s="267"/>
      <c r="M17" s="267"/>
      <c r="N17" s="267"/>
      <c r="O17" s="267"/>
      <c r="P17" s="267"/>
      <c r="Q17" s="267"/>
      <c r="R17" s="91"/>
      <c r="U17" s="297"/>
      <c r="V17" s="297"/>
      <c r="W17" s="297"/>
    </row>
    <row r="18" spans="2:23" ht="26.1" customHeight="1" x14ac:dyDescent="0.2">
      <c r="B18" s="36"/>
      <c r="C18" s="8" t="s">
        <v>55</v>
      </c>
      <c r="D18" s="93" t="s">
        <v>86</v>
      </c>
      <c r="E18" s="216" t="s">
        <v>91</v>
      </c>
      <c r="F18" s="217"/>
      <c r="G18" s="42"/>
      <c r="H18" s="118" t="s">
        <v>37</v>
      </c>
      <c r="I18" s="114" t="s">
        <v>11</v>
      </c>
      <c r="J18" s="302" t="s">
        <v>74</v>
      </c>
      <c r="K18" s="302"/>
      <c r="L18" s="302"/>
      <c r="M18" s="302"/>
      <c r="N18" s="302"/>
      <c r="O18" s="302"/>
      <c r="P18" s="302"/>
      <c r="Q18" s="302"/>
      <c r="R18" s="91"/>
      <c r="U18" s="301"/>
      <c r="V18" s="301"/>
      <c r="W18" s="301"/>
    </row>
    <row r="19" spans="2:23" ht="15" x14ac:dyDescent="0.2">
      <c r="B19" s="36"/>
      <c r="C19" s="95" t="s">
        <v>83</v>
      </c>
      <c r="D19" s="153">
        <f>'Overview IB'!D25</f>
        <v>0</v>
      </c>
      <c r="E19" s="271" t="str">
        <f>IF('Overview IB'!E25 &gt; 0, 'Overview IB'!E25, "")</f>
        <v/>
      </c>
      <c r="F19" s="309"/>
      <c r="G19" s="43"/>
      <c r="H19" s="180"/>
      <c r="I19" s="181">
        <f>IF(H19=0,0,H19/D19)</f>
        <v>0</v>
      </c>
      <c r="J19" s="267"/>
      <c r="K19" s="267"/>
      <c r="L19" s="267"/>
      <c r="M19" s="267"/>
      <c r="N19" s="267"/>
      <c r="O19" s="267"/>
      <c r="P19" s="267"/>
      <c r="Q19" s="267"/>
      <c r="R19" s="91"/>
      <c r="U19" s="113"/>
      <c r="V19" s="113"/>
      <c r="W19" s="113"/>
    </row>
    <row r="20" spans="2:23" ht="30" x14ac:dyDescent="0.2">
      <c r="B20" s="36"/>
      <c r="C20" s="96" t="s">
        <v>57</v>
      </c>
      <c r="D20" s="153">
        <f>'Overview IB'!D26</f>
        <v>0</v>
      </c>
      <c r="E20" s="272"/>
      <c r="F20" s="310"/>
      <c r="G20" s="43"/>
      <c r="H20" s="180"/>
      <c r="I20" s="182">
        <f t="shared" ref="I20:I30" si="1">IF(H20=0,0,H20/D20)</f>
        <v>0</v>
      </c>
      <c r="J20" s="267"/>
      <c r="K20" s="267"/>
      <c r="L20" s="267"/>
      <c r="M20" s="267"/>
      <c r="N20" s="267"/>
      <c r="O20" s="267"/>
      <c r="P20" s="267"/>
      <c r="Q20" s="267"/>
      <c r="R20" s="91"/>
      <c r="U20" s="301"/>
      <c r="V20" s="301"/>
      <c r="W20" s="301"/>
    </row>
    <row r="21" spans="2:23" ht="15" x14ac:dyDescent="0.2">
      <c r="B21" s="36"/>
      <c r="C21" s="97" t="s">
        <v>71</v>
      </c>
      <c r="D21" s="153">
        <f>'Overview IB'!D27</f>
        <v>0</v>
      </c>
      <c r="E21" s="272"/>
      <c r="F21" s="310"/>
      <c r="G21" s="43"/>
      <c r="H21" s="180"/>
      <c r="I21" s="182">
        <f t="shared" si="1"/>
        <v>0</v>
      </c>
      <c r="J21" s="267"/>
      <c r="K21" s="267"/>
      <c r="L21" s="267"/>
      <c r="M21" s="267"/>
      <c r="N21" s="267"/>
      <c r="O21" s="267"/>
      <c r="P21" s="267"/>
      <c r="Q21" s="267"/>
      <c r="R21" s="91"/>
      <c r="U21" s="301"/>
      <c r="V21" s="301"/>
      <c r="W21" s="301"/>
    </row>
    <row r="22" spans="2:23" ht="30" x14ac:dyDescent="0.2">
      <c r="B22" s="36"/>
      <c r="C22" s="95" t="s">
        <v>84</v>
      </c>
      <c r="D22" s="153">
        <f>'Overview IB'!D28</f>
        <v>0</v>
      </c>
      <c r="E22" s="272"/>
      <c r="F22" s="310"/>
      <c r="G22" s="43"/>
      <c r="H22" s="180"/>
      <c r="I22" s="181">
        <f t="shared" si="1"/>
        <v>0</v>
      </c>
      <c r="J22" s="267"/>
      <c r="K22" s="267"/>
      <c r="L22" s="267"/>
      <c r="M22" s="267"/>
      <c r="N22" s="267"/>
      <c r="O22" s="267"/>
      <c r="P22" s="267"/>
      <c r="Q22" s="267"/>
      <c r="R22" s="91"/>
      <c r="U22" s="301"/>
      <c r="V22" s="301"/>
      <c r="W22" s="301"/>
    </row>
    <row r="23" spans="2:23" ht="19.899999999999999" customHeight="1" x14ac:dyDescent="0.2">
      <c r="B23" s="36"/>
      <c r="C23" s="97" t="s">
        <v>58</v>
      </c>
      <c r="D23" s="153">
        <f>'Overview IB'!D29</f>
        <v>0</v>
      </c>
      <c r="E23" s="272"/>
      <c r="F23" s="310"/>
      <c r="G23" s="43"/>
      <c r="H23" s="180"/>
      <c r="I23" s="182">
        <f t="shared" si="1"/>
        <v>0</v>
      </c>
      <c r="J23" s="267"/>
      <c r="K23" s="267"/>
      <c r="L23" s="267"/>
      <c r="M23" s="267"/>
      <c r="N23" s="267"/>
      <c r="O23" s="267"/>
      <c r="P23" s="267"/>
      <c r="Q23" s="267"/>
      <c r="R23" s="91"/>
      <c r="U23" s="301"/>
      <c r="V23" s="301"/>
      <c r="W23" s="301"/>
    </row>
    <row r="24" spans="2:23" ht="15" x14ac:dyDescent="0.2">
      <c r="B24" s="36"/>
      <c r="C24" s="97" t="s">
        <v>56</v>
      </c>
      <c r="D24" s="153">
        <f>'Overview IB'!D30</f>
        <v>0</v>
      </c>
      <c r="E24" s="273"/>
      <c r="F24" s="311"/>
      <c r="G24" s="40"/>
      <c r="H24" s="107"/>
      <c r="I24" s="182">
        <f t="shared" si="1"/>
        <v>0</v>
      </c>
      <c r="J24" s="267"/>
      <c r="K24" s="267"/>
      <c r="L24" s="267"/>
      <c r="M24" s="267"/>
      <c r="N24" s="267"/>
      <c r="O24" s="267"/>
      <c r="P24" s="267"/>
      <c r="Q24" s="267"/>
      <c r="R24" s="91"/>
      <c r="U24" s="301"/>
      <c r="V24" s="301"/>
      <c r="W24" s="301"/>
    </row>
    <row r="25" spans="2:23" ht="17.649999999999999" customHeight="1" x14ac:dyDescent="0.2">
      <c r="B25" s="36"/>
      <c r="C25" s="95" t="s">
        <v>59</v>
      </c>
      <c r="D25" s="153">
        <f>'Overview IB'!D31</f>
        <v>0</v>
      </c>
      <c r="E25" s="287" t="str">
        <f>IF('Overview IB'!E31 &gt; 0, 'Overview IB'!E31, "")</f>
        <v/>
      </c>
      <c r="F25" s="313"/>
      <c r="G25" s="43"/>
      <c r="H25" s="180"/>
      <c r="I25" s="181">
        <f t="shared" si="1"/>
        <v>0</v>
      </c>
      <c r="J25" s="267"/>
      <c r="K25" s="267"/>
      <c r="L25" s="267"/>
      <c r="M25" s="267"/>
      <c r="N25" s="267"/>
      <c r="O25" s="267"/>
      <c r="P25" s="267"/>
      <c r="Q25" s="267"/>
      <c r="R25" s="91"/>
      <c r="U25" s="301"/>
      <c r="V25" s="301"/>
      <c r="W25" s="301"/>
    </row>
    <row r="26" spans="2:23" ht="15" x14ac:dyDescent="0.2">
      <c r="B26" s="36"/>
      <c r="C26" s="96" t="s">
        <v>61</v>
      </c>
      <c r="D26" s="153">
        <f>'Overview IB'!D32</f>
        <v>0</v>
      </c>
      <c r="E26" s="288"/>
      <c r="F26" s="314"/>
      <c r="G26" s="40"/>
      <c r="H26" s="107"/>
      <c r="I26" s="182">
        <f t="shared" si="1"/>
        <v>0</v>
      </c>
      <c r="J26" s="267"/>
      <c r="K26" s="267"/>
      <c r="L26" s="267"/>
      <c r="M26" s="267"/>
      <c r="N26" s="267"/>
      <c r="O26" s="267"/>
      <c r="P26" s="267"/>
      <c r="Q26" s="267"/>
      <c r="R26" s="91"/>
      <c r="U26" s="301"/>
      <c r="V26" s="301"/>
      <c r="W26" s="301"/>
    </row>
    <row r="27" spans="2:23" ht="15" x14ac:dyDescent="0.2">
      <c r="B27" s="36"/>
      <c r="C27" s="96" t="s">
        <v>60</v>
      </c>
      <c r="D27" s="153">
        <f>'Overview IB'!D33</f>
        <v>0</v>
      </c>
      <c r="E27" s="288"/>
      <c r="F27" s="314"/>
      <c r="G27" s="43"/>
      <c r="H27" s="180"/>
      <c r="I27" s="182">
        <f t="shared" si="1"/>
        <v>0</v>
      </c>
      <c r="J27" s="267"/>
      <c r="K27" s="267"/>
      <c r="L27" s="267"/>
      <c r="M27" s="267"/>
      <c r="N27" s="267"/>
      <c r="O27" s="267"/>
      <c r="P27" s="267"/>
      <c r="Q27" s="267"/>
      <c r="R27" s="91"/>
      <c r="U27" s="301"/>
      <c r="V27" s="301"/>
      <c r="W27" s="301"/>
    </row>
    <row r="28" spans="2:23" ht="15" x14ac:dyDescent="0.2">
      <c r="B28" s="36"/>
      <c r="C28" s="98" t="s">
        <v>14</v>
      </c>
      <c r="D28" s="153">
        <f>'Overview IB'!D34</f>
        <v>0</v>
      </c>
      <c r="E28" s="288"/>
      <c r="F28" s="314"/>
      <c r="G28" s="43"/>
      <c r="H28" s="180"/>
      <c r="I28" s="182">
        <f t="shared" si="1"/>
        <v>0</v>
      </c>
      <c r="J28" s="267"/>
      <c r="K28" s="267"/>
      <c r="L28" s="267"/>
      <c r="M28" s="267"/>
      <c r="N28" s="267"/>
      <c r="O28" s="267"/>
      <c r="P28" s="267"/>
      <c r="Q28" s="267"/>
      <c r="R28" s="91"/>
      <c r="U28" s="301"/>
      <c r="V28" s="301"/>
      <c r="W28" s="301"/>
    </row>
    <row r="29" spans="2:23" ht="15" x14ac:dyDescent="0.2">
      <c r="B29" s="36"/>
      <c r="C29" s="97" t="s">
        <v>75</v>
      </c>
      <c r="D29" s="153">
        <f>'Overview IB'!D35</f>
        <v>0</v>
      </c>
      <c r="E29" s="288"/>
      <c r="F29" s="314"/>
      <c r="G29" s="40"/>
      <c r="H29" s="107"/>
      <c r="I29" s="182">
        <f t="shared" si="1"/>
        <v>0</v>
      </c>
      <c r="J29" s="267"/>
      <c r="K29" s="267"/>
      <c r="L29" s="267"/>
      <c r="M29" s="267"/>
      <c r="N29" s="267"/>
      <c r="O29" s="267"/>
      <c r="P29" s="267"/>
      <c r="Q29" s="267"/>
      <c r="R29" s="91"/>
      <c r="U29" s="301"/>
      <c r="V29" s="301"/>
      <c r="W29" s="301"/>
    </row>
    <row r="30" spans="2:23" ht="15" x14ac:dyDescent="0.2">
      <c r="B30" s="36"/>
      <c r="C30" s="97" t="s">
        <v>76</v>
      </c>
      <c r="D30" s="153">
        <f>'Overview IB'!D36</f>
        <v>0</v>
      </c>
      <c r="E30" s="289"/>
      <c r="F30" s="315"/>
      <c r="G30" s="43"/>
      <c r="H30" s="180"/>
      <c r="I30" s="182">
        <f t="shared" si="1"/>
        <v>0</v>
      </c>
      <c r="J30" s="267"/>
      <c r="K30" s="267"/>
      <c r="L30" s="267"/>
      <c r="M30" s="267"/>
      <c r="N30" s="267"/>
      <c r="O30" s="267"/>
      <c r="P30" s="267"/>
      <c r="Q30" s="267"/>
      <c r="R30" s="91"/>
      <c r="U30" s="301"/>
      <c r="V30" s="301"/>
      <c r="W30" s="301"/>
    </row>
    <row r="31" spans="2:23" ht="26.1" customHeight="1" x14ac:dyDescent="0.2">
      <c r="B31" s="36"/>
      <c r="C31" s="8" t="s">
        <v>62</v>
      </c>
      <c r="D31" s="93" t="s">
        <v>86</v>
      </c>
      <c r="E31" s="216" t="s">
        <v>91</v>
      </c>
      <c r="F31" s="217"/>
      <c r="G31" s="42"/>
      <c r="H31" s="118" t="s">
        <v>37</v>
      </c>
      <c r="I31" s="114" t="s">
        <v>11</v>
      </c>
      <c r="J31" s="302" t="s">
        <v>74</v>
      </c>
      <c r="K31" s="302"/>
      <c r="L31" s="302"/>
      <c r="M31" s="302"/>
      <c r="N31" s="302"/>
      <c r="O31" s="302"/>
      <c r="P31" s="302"/>
      <c r="Q31" s="302"/>
      <c r="R31" s="91"/>
      <c r="U31" s="303"/>
      <c r="V31" s="303"/>
      <c r="W31" s="303"/>
    </row>
    <row r="32" spans="2:23" ht="13.15" customHeight="1" x14ac:dyDescent="0.2">
      <c r="B32" s="36"/>
      <c r="C32" s="95" t="s">
        <v>79</v>
      </c>
      <c r="D32" s="153">
        <f>'Overview IB'!D38</f>
        <v>0</v>
      </c>
      <c r="E32" s="271" t="str">
        <f>IF('Overview IB'!E38 &gt; 0, 'Overview IB'!E38, "")</f>
        <v/>
      </c>
      <c r="F32" s="309"/>
      <c r="G32" s="44"/>
      <c r="H32" s="45">
        <f>SUM(H33:H37)</f>
        <v>0</v>
      </c>
      <c r="I32" s="46">
        <f>IF(H32=0,0,H32/D32)</f>
        <v>0</v>
      </c>
      <c r="J32" s="267"/>
      <c r="K32" s="267"/>
      <c r="L32" s="267"/>
      <c r="M32" s="267"/>
      <c r="N32" s="267"/>
      <c r="O32" s="267"/>
      <c r="P32" s="267"/>
      <c r="Q32" s="267"/>
      <c r="R32" s="91"/>
      <c r="U32" s="297"/>
      <c r="V32" s="297"/>
      <c r="W32" s="297"/>
    </row>
    <row r="33" spans="2:23" ht="15" x14ac:dyDescent="0.2">
      <c r="B33" s="36"/>
      <c r="C33" s="97" t="s">
        <v>47</v>
      </c>
      <c r="D33" s="153">
        <f>'Overview IB'!D39</f>
        <v>0</v>
      </c>
      <c r="E33" s="272"/>
      <c r="F33" s="310"/>
      <c r="G33" s="44"/>
      <c r="H33" s="116"/>
      <c r="I33" s="48">
        <f t="shared" ref="I33:I45" si="2">IF(H33=0,0,H33/D33)</f>
        <v>0</v>
      </c>
      <c r="J33" s="267"/>
      <c r="K33" s="267"/>
      <c r="L33" s="267"/>
      <c r="M33" s="267"/>
      <c r="N33" s="267"/>
      <c r="O33" s="267"/>
      <c r="P33" s="267"/>
      <c r="Q33" s="267"/>
      <c r="R33" s="91"/>
      <c r="U33" s="297"/>
      <c r="V33" s="297"/>
      <c r="W33" s="297"/>
    </row>
    <row r="34" spans="2:23" ht="15" x14ac:dyDescent="0.2">
      <c r="B34" s="36"/>
      <c r="C34" s="97" t="s">
        <v>48</v>
      </c>
      <c r="D34" s="153">
        <f>'Overview IB'!D40</f>
        <v>0</v>
      </c>
      <c r="E34" s="272"/>
      <c r="F34" s="310"/>
      <c r="G34" s="41"/>
      <c r="H34" s="47"/>
      <c r="I34" s="48">
        <f t="shared" si="2"/>
        <v>0</v>
      </c>
      <c r="J34" s="267"/>
      <c r="K34" s="267"/>
      <c r="L34" s="267"/>
      <c r="M34" s="267"/>
      <c r="N34" s="267"/>
      <c r="O34" s="267"/>
      <c r="P34" s="267"/>
      <c r="Q34" s="267"/>
      <c r="R34" s="91"/>
      <c r="U34" s="297"/>
      <c r="V34" s="297"/>
      <c r="W34" s="297"/>
    </row>
    <row r="35" spans="2:23" ht="15" x14ac:dyDescent="0.2">
      <c r="B35" s="36"/>
      <c r="C35" s="97" t="s">
        <v>49</v>
      </c>
      <c r="D35" s="153">
        <f>'Overview IB'!D41</f>
        <v>0</v>
      </c>
      <c r="E35" s="272"/>
      <c r="F35" s="310"/>
      <c r="G35" s="41"/>
      <c r="H35" s="47"/>
      <c r="I35" s="48">
        <f t="shared" si="2"/>
        <v>0</v>
      </c>
      <c r="J35" s="267"/>
      <c r="K35" s="267"/>
      <c r="L35" s="267"/>
      <c r="M35" s="267"/>
      <c r="N35" s="267"/>
      <c r="O35" s="267"/>
      <c r="P35" s="267"/>
      <c r="Q35" s="267"/>
      <c r="R35" s="91"/>
      <c r="U35" s="297"/>
      <c r="V35" s="297"/>
      <c r="W35" s="297"/>
    </row>
    <row r="36" spans="2:23" ht="15" x14ac:dyDescent="0.2">
      <c r="B36" s="36"/>
      <c r="C36" s="97" t="s">
        <v>50</v>
      </c>
      <c r="D36" s="153">
        <f>'Overview IB'!D42</f>
        <v>0</v>
      </c>
      <c r="E36" s="272"/>
      <c r="F36" s="310"/>
      <c r="G36" s="41"/>
      <c r="H36" s="47"/>
      <c r="I36" s="48">
        <f t="shared" si="2"/>
        <v>0</v>
      </c>
      <c r="J36" s="267"/>
      <c r="K36" s="267"/>
      <c r="L36" s="267"/>
      <c r="M36" s="267"/>
      <c r="N36" s="267"/>
      <c r="O36" s="267"/>
      <c r="P36" s="267"/>
      <c r="Q36" s="267"/>
      <c r="R36" s="91"/>
      <c r="U36" s="297"/>
      <c r="V36" s="297"/>
      <c r="W36" s="297"/>
    </row>
    <row r="37" spans="2:23" ht="15" x14ac:dyDescent="0.2">
      <c r="B37" s="36"/>
      <c r="C37" s="97" t="s">
        <v>51</v>
      </c>
      <c r="D37" s="153">
        <f>'Overview IB'!D43</f>
        <v>0</v>
      </c>
      <c r="E37" s="272"/>
      <c r="F37" s="310"/>
      <c r="G37" s="41"/>
      <c r="H37" s="47"/>
      <c r="I37" s="48">
        <f t="shared" si="2"/>
        <v>0</v>
      </c>
      <c r="J37" s="267"/>
      <c r="K37" s="267"/>
      <c r="L37" s="267"/>
      <c r="M37" s="267"/>
      <c r="N37" s="267"/>
      <c r="O37" s="267"/>
      <c r="P37" s="267"/>
      <c r="Q37" s="267"/>
      <c r="R37" s="91"/>
      <c r="U37" s="297"/>
      <c r="V37" s="297"/>
      <c r="W37" s="297"/>
    </row>
    <row r="38" spans="2:23" ht="15" x14ac:dyDescent="0.2">
      <c r="B38" s="36"/>
      <c r="C38" s="95" t="s">
        <v>80</v>
      </c>
      <c r="D38" s="153">
        <f>'Overview IB'!D44</f>
        <v>0</v>
      </c>
      <c r="E38" s="272"/>
      <c r="F38" s="310"/>
      <c r="G38" s="41"/>
      <c r="H38" s="47"/>
      <c r="I38" s="46">
        <f t="shared" si="2"/>
        <v>0</v>
      </c>
      <c r="J38" s="267"/>
      <c r="K38" s="267"/>
      <c r="L38" s="267"/>
      <c r="M38" s="267"/>
      <c r="N38" s="267"/>
      <c r="O38" s="267"/>
      <c r="P38" s="267"/>
      <c r="Q38" s="267"/>
      <c r="R38" s="91"/>
      <c r="U38" s="297"/>
      <c r="V38" s="297"/>
      <c r="W38" s="297"/>
    </row>
    <row r="39" spans="2:23" ht="15" x14ac:dyDescent="0.2">
      <c r="B39" s="36"/>
      <c r="C39" s="95" t="s">
        <v>81</v>
      </c>
      <c r="D39" s="153">
        <f>'Overview IB'!D45</f>
        <v>0</v>
      </c>
      <c r="E39" s="272"/>
      <c r="F39" s="310"/>
      <c r="G39" s="41"/>
      <c r="H39" s="47"/>
      <c r="I39" s="46">
        <f t="shared" si="2"/>
        <v>0</v>
      </c>
      <c r="J39" s="267"/>
      <c r="K39" s="267"/>
      <c r="L39" s="267"/>
      <c r="M39" s="267"/>
      <c r="N39" s="267"/>
      <c r="O39" s="267"/>
      <c r="P39" s="267"/>
      <c r="Q39" s="267"/>
      <c r="R39" s="91"/>
      <c r="U39" s="297"/>
      <c r="V39" s="297"/>
      <c r="W39" s="297"/>
    </row>
    <row r="40" spans="2:23" ht="15" x14ac:dyDescent="0.2">
      <c r="B40" s="36"/>
      <c r="C40" s="95" t="s">
        <v>30</v>
      </c>
      <c r="D40" s="153">
        <f>'Overview IB'!D46</f>
        <v>0</v>
      </c>
      <c r="E40" s="272"/>
      <c r="F40" s="310"/>
      <c r="G40" s="41"/>
      <c r="H40" s="47"/>
      <c r="I40" s="46">
        <f t="shared" si="2"/>
        <v>0</v>
      </c>
      <c r="J40" s="267"/>
      <c r="K40" s="267"/>
      <c r="L40" s="267"/>
      <c r="M40" s="267"/>
      <c r="N40" s="267"/>
      <c r="O40" s="267"/>
      <c r="P40" s="267"/>
      <c r="Q40" s="267"/>
      <c r="R40" s="91"/>
      <c r="U40" s="297"/>
      <c r="V40" s="297"/>
      <c r="W40" s="297"/>
    </row>
    <row r="41" spans="2:23" ht="30" x14ac:dyDescent="0.2">
      <c r="B41" s="36"/>
      <c r="C41" s="95" t="s">
        <v>126</v>
      </c>
      <c r="D41" s="153">
        <f>'Overview IB'!D47</f>
        <v>0</v>
      </c>
      <c r="E41" s="272"/>
      <c r="F41" s="310"/>
      <c r="G41" s="41"/>
      <c r="H41" s="47"/>
      <c r="I41" s="46">
        <f t="shared" si="2"/>
        <v>0</v>
      </c>
      <c r="J41" s="267"/>
      <c r="K41" s="267"/>
      <c r="L41" s="267"/>
      <c r="M41" s="267"/>
      <c r="N41" s="267"/>
      <c r="O41" s="267"/>
      <c r="P41" s="267"/>
      <c r="Q41" s="267"/>
      <c r="R41" s="91"/>
      <c r="U41" s="297"/>
      <c r="V41" s="297"/>
      <c r="W41" s="297"/>
    </row>
    <row r="42" spans="2:23" ht="30" x14ac:dyDescent="0.2">
      <c r="B42" s="36"/>
      <c r="C42" s="97" t="s">
        <v>52</v>
      </c>
      <c r="D42" s="153">
        <f>'Overview IB'!D48</f>
        <v>0</v>
      </c>
      <c r="E42" s="272"/>
      <c r="F42" s="310"/>
      <c r="G42" s="41"/>
      <c r="H42" s="47"/>
      <c r="I42" s="48">
        <f t="shared" si="2"/>
        <v>0</v>
      </c>
      <c r="J42" s="267"/>
      <c r="K42" s="267"/>
      <c r="L42" s="267"/>
      <c r="M42" s="267"/>
      <c r="N42" s="267"/>
      <c r="O42" s="267"/>
      <c r="P42" s="267"/>
      <c r="Q42" s="267"/>
      <c r="R42" s="91"/>
      <c r="U42" s="297"/>
      <c r="V42" s="297"/>
      <c r="W42" s="297"/>
    </row>
    <row r="43" spans="2:23" ht="15" x14ac:dyDescent="0.2">
      <c r="B43" s="36"/>
      <c r="C43" s="97" t="s">
        <v>69</v>
      </c>
      <c r="D43" s="153">
        <f>'Overview IB'!D49</f>
        <v>0</v>
      </c>
      <c r="E43" s="273"/>
      <c r="F43" s="311"/>
      <c r="G43" s="41"/>
      <c r="H43" s="47"/>
      <c r="I43" s="48">
        <f t="shared" si="2"/>
        <v>0</v>
      </c>
      <c r="J43" s="267"/>
      <c r="K43" s="267"/>
      <c r="L43" s="267"/>
      <c r="M43" s="267"/>
      <c r="N43" s="267"/>
      <c r="O43" s="267"/>
      <c r="P43" s="267"/>
      <c r="Q43" s="267"/>
      <c r="R43" s="91"/>
      <c r="U43" s="297"/>
      <c r="V43" s="297"/>
      <c r="W43" s="297"/>
    </row>
    <row r="44" spans="2:23" ht="15" x14ac:dyDescent="0.2">
      <c r="B44" s="36"/>
      <c r="C44" s="95" t="s">
        <v>53</v>
      </c>
      <c r="D44" s="153">
        <f>'Overview IB'!D50</f>
        <v>0</v>
      </c>
      <c r="E44" s="271" t="str">
        <f>IF('Overview IB'!E50 &gt; 0, 'Overview IB'!E50, "")</f>
        <v/>
      </c>
      <c r="F44" s="309"/>
      <c r="G44" s="41"/>
      <c r="H44" s="47"/>
      <c r="I44" s="46">
        <f t="shared" si="2"/>
        <v>0</v>
      </c>
      <c r="J44" s="267"/>
      <c r="K44" s="267"/>
      <c r="L44" s="267"/>
      <c r="M44" s="267"/>
      <c r="N44" s="267"/>
      <c r="O44" s="267"/>
      <c r="P44" s="267"/>
      <c r="Q44" s="267"/>
      <c r="R44" s="91"/>
      <c r="U44" s="110"/>
      <c r="V44" s="110"/>
      <c r="W44" s="110"/>
    </row>
    <row r="45" spans="2:23" ht="16.899999999999999" customHeight="1" x14ac:dyDescent="0.2">
      <c r="B45" s="36"/>
      <c r="C45" s="97" t="s">
        <v>97</v>
      </c>
      <c r="D45" s="153">
        <f>'Overview IB'!D51</f>
        <v>0</v>
      </c>
      <c r="E45" s="272"/>
      <c r="F45" s="311"/>
      <c r="G45" s="41"/>
      <c r="H45" s="47"/>
      <c r="I45" s="48">
        <f t="shared" si="2"/>
        <v>0</v>
      </c>
      <c r="J45" s="267"/>
      <c r="K45" s="267"/>
      <c r="L45" s="267"/>
      <c r="M45" s="267"/>
      <c r="N45" s="267"/>
      <c r="O45" s="267"/>
      <c r="P45" s="267"/>
      <c r="Q45" s="267"/>
      <c r="R45" s="91"/>
      <c r="U45" s="297"/>
      <c r="V45" s="297"/>
      <c r="W45" s="297"/>
    </row>
    <row r="46" spans="2:23" ht="26.1" customHeight="1" x14ac:dyDescent="0.2">
      <c r="B46" s="36"/>
      <c r="C46" s="8" t="s">
        <v>64</v>
      </c>
      <c r="D46" s="93" t="s">
        <v>86</v>
      </c>
      <c r="E46" s="216" t="s">
        <v>91</v>
      </c>
      <c r="F46" s="217"/>
      <c r="G46" s="42"/>
      <c r="H46" s="118" t="s">
        <v>37</v>
      </c>
      <c r="I46" s="114" t="s">
        <v>11</v>
      </c>
      <c r="J46" s="290" t="s">
        <v>74</v>
      </c>
      <c r="K46" s="291"/>
      <c r="L46" s="291"/>
      <c r="M46" s="291"/>
      <c r="N46" s="291"/>
      <c r="O46" s="291"/>
      <c r="P46" s="291"/>
      <c r="Q46" s="291"/>
      <c r="R46" s="91"/>
      <c r="U46" s="301"/>
      <c r="V46" s="301"/>
      <c r="W46" s="301"/>
    </row>
    <row r="47" spans="2:23" ht="14.65" customHeight="1" x14ac:dyDescent="0.2">
      <c r="B47" s="36"/>
      <c r="C47" s="95" t="s">
        <v>54</v>
      </c>
      <c r="D47" s="153">
        <f>'Overview IB'!D53</f>
        <v>0</v>
      </c>
      <c r="E47" s="274" t="str">
        <f>IF('Overview IB'!E53 &gt; 0, 'Overview IB'!E53, "")</f>
        <v/>
      </c>
      <c r="F47" s="312"/>
      <c r="G47" s="43"/>
      <c r="H47" s="116"/>
      <c r="I47" s="46">
        <f>IF(H47=0,0,H47/D47)</f>
        <v>0</v>
      </c>
      <c r="J47" s="298"/>
      <c r="K47" s="299"/>
      <c r="L47" s="299"/>
      <c r="M47" s="299"/>
      <c r="N47" s="299"/>
      <c r="O47" s="299"/>
      <c r="P47" s="299"/>
      <c r="Q47" s="299"/>
      <c r="R47" s="91"/>
      <c r="U47" s="301"/>
      <c r="V47" s="301"/>
      <c r="W47" s="301"/>
    </row>
    <row r="48" spans="2:23" ht="15" x14ac:dyDescent="0.2">
      <c r="B48" s="36"/>
      <c r="C48" s="94" t="s">
        <v>82</v>
      </c>
      <c r="D48" s="153">
        <f>'Overview IB'!D54</f>
        <v>444</v>
      </c>
      <c r="E48" s="271" t="str">
        <f>IF('Overview IB'!E54 &gt; 0, 'Overview IB'!E54, "")</f>
        <v>z.B. Freiwilligenmanagement</v>
      </c>
      <c r="F48" s="309"/>
      <c r="G48" s="43"/>
      <c r="H48" s="47">
        <v>445</v>
      </c>
      <c r="I48" s="46">
        <f t="shared" ref="I48:I55" si="3">IF(H48=0,0,H48/D48)</f>
        <v>1.0022522522522523</v>
      </c>
      <c r="J48" s="267"/>
      <c r="K48" s="267"/>
      <c r="L48" s="267"/>
      <c r="M48" s="267"/>
      <c r="N48" s="267"/>
      <c r="O48" s="267"/>
      <c r="P48" s="267"/>
      <c r="Q48" s="267"/>
      <c r="R48" s="91"/>
      <c r="U48" s="301"/>
      <c r="V48" s="301"/>
      <c r="W48" s="301"/>
    </row>
    <row r="49" spans="2:23" ht="13.15" customHeight="1" x14ac:dyDescent="0.2">
      <c r="B49" s="36"/>
      <c r="C49" s="97" t="s">
        <v>77</v>
      </c>
      <c r="D49" s="153">
        <f>'Overview IB'!D55</f>
        <v>0</v>
      </c>
      <c r="E49" s="273"/>
      <c r="F49" s="311"/>
      <c r="G49" s="43"/>
      <c r="H49" s="47"/>
      <c r="I49" s="48">
        <f t="shared" si="3"/>
        <v>0</v>
      </c>
      <c r="J49" s="267"/>
      <c r="K49" s="267"/>
      <c r="L49" s="267"/>
      <c r="M49" s="267"/>
      <c r="N49" s="267"/>
      <c r="O49" s="267"/>
      <c r="P49" s="267"/>
      <c r="Q49" s="267"/>
      <c r="R49" s="91"/>
      <c r="U49" s="297"/>
      <c r="V49" s="297"/>
      <c r="W49" s="297"/>
    </row>
    <row r="50" spans="2:23" ht="14.65" customHeight="1" x14ac:dyDescent="0.2">
      <c r="B50" s="36"/>
      <c r="C50" s="94" t="s">
        <v>63</v>
      </c>
      <c r="D50" s="153">
        <f>'Overview IB'!D56</f>
        <v>0</v>
      </c>
      <c r="E50" s="271" t="str">
        <f>IF('Overview IB'!E56 &gt; 0, 'Overview IB'!E56, "")</f>
        <v/>
      </c>
      <c r="F50" s="309"/>
      <c r="G50" s="43"/>
      <c r="H50" s="47"/>
      <c r="I50" s="46">
        <f t="shared" si="3"/>
        <v>0</v>
      </c>
      <c r="J50" s="267"/>
      <c r="K50" s="267"/>
      <c r="L50" s="267"/>
      <c r="M50" s="267"/>
      <c r="N50" s="267"/>
      <c r="O50" s="267"/>
      <c r="P50" s="267"/>
      <c r="Q50" s="267"/>
      <c r="R50" s="91"/>
      <c r="U50" s="297"/>
      <c r="V50" s="297"/>
      <c r="W50" s="297"/>
    </row>
    <row r="51" spans="2:23" ht="13.15" customHeight="1" x14ac:dyDescent="0.2">
      <c r="B51" s="36"/>
      <c r="C51" s="97" t="s">
        <v>123</v>
      </c>
      <c r="D51" s="153">
        <f>'Overview IB'!D57</f>
        <v>0</v>
      </c>
      <c r="E51" s="272"/>
      <c r="F51" s="310"/>
      <c r="G51" s="43"/>
      <c r="H51" s="47"/>
      <c r="I51" s="48">
        <f t="shared" si="3"/>
        <v>0</v>
      </c>
      <c r="J51" s="267"/>
      <c r="K51" s="267"/>
      <c r="L51" s="267"/>
      <c r="M51" s="267"/>
      <c r="N51" s="267"/>
      <c r="O51" s="267"/>
      <c r="P51" s="267"/>
      <c r="Q51" s="267"/>
      <c r="R51" s="91"/>
      <c r="U51" s="297"/>
      <c r="V51" s="297"/>
      <c r="W51" s="297"/>
    </row>
    <row r="52" spans="2:23" ht="14.65" customHeight="1" x14ac:dyDescent="0.2">
      <c r="B52" s="36"/>
      <c r="C52" s="97" t="s">
        <v>78</v>
      </c>
      <c r="D52" s="153">
        <f>'Overview IB'!D58</f>
        <v>0</v>
      </c>
      <c r="E52" s="273"/>
      <c r="F52" s="311"/>
      <c r="G52" s="43"/>
      <c r="H52" s="47"/>
      <c r="I52" s="48">
        <f t="shared" si="3"/>
        <v>0</v>
      </c>
      <c r="J52" s="267"/>
      <c r="K52" s="267"/>
      <c r="L52" s="267"/>
      <c r="M52" s="267"/>
      <c r="N52" s="267"/>
      <c r="O52" s="267"/>
      <c r="P52" s="267"/>
      <c r="Q52" s="267"/>
      <c r="R52" s="91"/>
      <c r="U52" s="297"/>
      <c r="V52" s="297"/>
      <c r="W52" s="297"/>
    </row>
    <row r="53" spans="2:23" ht="13.15" customHeight="1" x14ac:dyDescent="0.2">
      <c r="B53" s="36"/>
      <c r="C53" s="99" t="s">
        <v>88</v>
      </c>
      <c r="D53" s="153">
        <f>'Overview IB'!D59</f>
        <v>0</v>
      </c>
      <c r="E53" s="271" t="str">
        <f>IF('Overview IB'!E59 &gt; 0, 'Overview IB'!E59, "")</f>
        <v/>
      </c>
      <c r="F53" s="309"/>
      <c r="G53" s="43"/>
      <c r="H53" s="47"/>
      <c r="I53" s="46">
        <f t="shared" si="3"/>
        <v>0</v>
      </c>
      <c r="J53" s="267"/>
      <c r="K53" s="267"/>
      <c r="L53" s="267"/>
      <c r="M53" s="267"/>
      <c r="N53" s="267"/>
      <c r="O53" s="267"/>
      <c r="P53" s="267"/>
      <c r="Q53" s="267"/>
      <c r="R53" s="91"/>
      <c r="U53" s="297"/>
      <c r="V53" s="297"/>
      <c r="W53" s="297"/>
    </row>
    <row r="54" spans="2:23" ht="15" x14ac:dyDescent="0.2">
      <c r="B54" s="36"/>
      <c r="C54" s="108" t="s">
        <v>89</v>
      </c>
      <c r="D54" s="153">
        <f>'Overview IB'!D60</f>
        <v>0</v>
      </c>
      <c r="E54" s="272"/>
      <c r="F54" s="310"/>
      <c r="G54" s="43"/>
      <c r="H54" s="47"/>
      <c r="I54" s="48">
        <f t="shared" si="3"/>
        <v>0</v>
      </c>
      <c r="J54" s="267"/>
      <c r="K54" s="267"/>
      <c r="L54" s="267"/>
      <c r="M54" s="267"/>
      <c r="N54" s="267"/>
      <c r="O54" s="267"/>
      <c r="P54" s="267"/>
      <c r="Q54" s="267"/>
      <c r="R54" s="91"/>
      <c r="U54" s="297"/>
      <c r="V54" s="297"/>
      <c r="W54" s="297"/>
    </row>
    <row r="55" spans="2:23" ht="15" x14ac:dyDescent="0.2">
      <c r="B55" s="36"/>
      <c r="C55" s="108" t="s">
        <v>90</v>
      </c>
      <c r="D55" s="153">
        <f>'Overview IB'!D61</f>
        <v>0</v>
      </c>
      <c r="E55" s="273"/>
      <c r="F55" s="311"/>
      <c r="G55" s="43"/>
      <c r="H55" s="47"/>
      <c r="I55" s="48">
        <f t="shared" si="3"/>
        <v>0</v>
      </c>
      <c r="J55" s="267"/>
      <c r="K55" s="267"/>
      <c r="L55" s="267"/>
      <c r="M55" s="267"/>
      <c r="N55" s="267"/>
      <c r="O55" s="267"/>
      <c r="P55" s="267"/>
      <c r="Q55" s="267"/>
      <c r="R55" s="91"/>
      <c r="U55" s="300"/>
      <c r="V55" s="300"/>
      <c r="W55" s="300"/>
    </row>
    <row r="56" spans="2:23" ht="13.15" customHeight="1" x14ac:dyDescent="0.2">
      <c r="B56" s="284"/>
      <c r="C56" s="285"/>
      <c r="D56" s="179"/>
      <c r="E56" s="49"/>
      <c r="F56" s="50"/>
      <c r="G56" s="50"/>
      <c r="H56" s="66"/>
      <c r="I56" s="51"/>
      <c r="J56" s="52"/>
      <c r="K56" s="52"/>
      <c r="L56" s="52"/>
      <c r="M56" s="111"/>
      <c r="N56" s="52"/>
      <c r="O56" s="52"/>
      <c r="P56" s="307"/>
      <c r="Q56" s="307"/>
      <c r="R56" s="308"/>
      <c r="U56" s="110"/>
      <c r="V56" s="110"/>
      <c r="W56" s="110"/>
    </row>
    <row r="57" spans="2:23" ht="27.6" customHeight="1" x14ac:dyDescent="0.2">
      <c r="B57" s="36"/>
      <c r="C57" s="205" t="s">
        <v>38</v>
      </c>
      <c r="D57" s="206"/>
      <c r="E57" s="206"/>
      <c r="F57" s="206"/>
      <c r="G57" s="37"/>
      <c r="H57" s="282" t="s">
        <v>37</v>
      </c>
      <c r="I57" s="283"/>
      <c r="J57" s="290" t="s">
        <v>74</v>
      </c>
      <c r="K57" s="291"/>
      <c r="L57" s="291"/>
      <c r="M57" s="291"/>
      <c r="N57" s="291"/>
      <c r="O57" s="291"/>
      <c r="P57" s="291"/>
      <c r="Q57" s="291"/>
      <c r="R57" s="91"/>
      <c r="U57" s="110"/>
      <c r="V57" s="110"/>
      <c r="W57" s="110"/>
    </row>
    <row r="58" spans="2:23" ht="13.15" customHeight="1" x14ac:dyDescent="0.2">
      <c r="B58" s="36"/>
      <c r="C58" s="202" t="s">
        <v>125</v>
      </c>
      <c r="D58" s="203"/>
      <c r="E58" s="203"/>
      <c r="F58" s="203"/>
      <c r="G58" s="37"/>
      <c r="H58" s="268"/>
      <c r="I58" s="269"/>
      <c r="J58" s="298"/>
      <c r="K58" s="299"/>
      <c r="L58" s="299"/>
      <c r="M58" s="299"/>
      <c r="N58" s="299"/>
      <c r="O58" s="299"/>
      <c r="P58" s="299"/>
      <c r="Q58" s="299"/>
      <c r="R58" s="91"/>
      <c r="U58" s="297"/>
      <c r="V58" s="297"/>
      <c r="W58" s="297"/>
    </row>
    <row r="59" spans="2:23" ht="15" x14ac:dyDescent="0.2">
      <c r="B59" s="36"/>
      <c r="C59" s="211" t="s">
        <v>44</v>
      </c>
      <c r="D59" s="212"/>
      <c r="E59" s="212"/>
      <c r="F59" s="212"/>
      <c r="G59" s="37"/>
      <c r="H59" s="268"/>
      <c r="I59" s="269"/>
      <c r="J59" s="267"/>
      <c r="K59" s="267"/>
      <c r="L59" s="267"/>
      <c r="M59" s="267"/>
      <c r="N59" s="267"/>
      <c r="O59" s="267"/>
      <c r="P59" s="267"/>
      <c r="Q59" s="267"/>
      <c r="R59" s="91"/>
      <c r="U59" s="110"/>
      <c r="V59" s="110"/>
      <c r="W59" s="110"/>
    </row>
    <row r="60" spans="2:23" ht="15" x14ac:dyDescent="0.2">
      <c r="B60" s="36"/>
      <c r="C60" s="211" t="s">
        <v>43</v>
      </c>
      <c r="D60" s="212"/>
      <c r="E60" s="212"/>
      <c r="F60" s="212"/>
      <c r="G60" s="37"/>
      <c r="H60" s="268">
        <v>327</v>
      </c>
      <c r="I60" s="269"/>
      <c r="J60" s="267" t="s">
        <v>137</v>
      </c>
      <c r="K60" s="267"/>
      <c r="L60" s="267"/>
      <c r="M60" s="267"/>
      <c r="N60" s="267"/>
      <c r="O60" s="267"/>
      <c r="P60" s="267"/>
      <c r="Q60" s="267"/>
      <c r="R60" s="91"/>
      <c r="U60" s="110"/>
      <c r="V60" s="110"/>
      <c r="W60" s="110"/>
    </row>
    <row r="61" spans="2:23" ht="15" x14ac:dyDescent="0.2">
      <c r="B61" s="36"/>
      <c r="C61" s="211" t="s">
        <v>128</v>
      </c>
      <c r="D61" s="212"/>
      <c r="E61" s="212"/>
      <c r="F61" s="212"/>
      <c r="G61" s="37"/>
      <c r="H61" s="280"/>
      <c r="I61" s="269"/>
      <c r="J61" s="277"/>
      <c r="K61" s="278"/>
      <c r="L61" s="278"/>
      <c r="M61" s="278"/>
      <c r="N61" s="278"/>
      <c r="O61" s="278"/>
      <c r="P61" s="278"/>
      <c r="Q61" s="279"/>
      <c r="R61" s="91"/>
      <c r="U61" s="110"/>
      <c r="V61" s="110"/>
      <c r="W61" s="110"/>
    </row>
    <row r="62" spans="2:23" ht="13.15" customHeight="1" x14ac:dyDescent="0.2">
      <c r="B62" s="36"/>
      <c r="C62" s="211" t="s">
        <v>108</v>
      </c>
      <c r="D62" s="212"/>
      <c r="E62" s="212"/>
      <c r="F62" s="212"/>
      <c r="G62" s="37"/>
      <c r="H62" s="268"/>
      <c r="I62" s="269"/>
      <c r="J62" s="267"/>
      <c r="K62" s="267"/>
      <c r="L62" s="267"/>
      <c r="M62" s="267"/>
      <c r="N62" s="267"/>
      <c r="O62" s="267"/>
      <c r="P62" s="267"/>
      <c r="Q62" s="267"/>
      <c r="R62" s="91"/>
      <c r="U62" s="110"/>
      <c r="V62" s="110"/>
      <c r="W62" s="110"/>
    </row>
    <row r="63" spans="2:23" ht="15" x14ac:dyDescent="0.2">
      <c r="B63" s="36"/>
      <c r="C63" s="211" t="s">
        <v>107</v>
      </c>
      <c r="D63" s="212"/>
      <c r="E63" s="212"/>
      <c r="F63" s="212"/>
      <c r="G63" s="37"/>
      <c r="H63" s="268"/>
      <c r="I63" s="269"/>
      <c r="J63" s="267"/>
      <c r="K63" s="267"/>
      <c r="L63" s="267"/>
      <c r="M63" s="267"/>
      <c r="N63" s="267"/>
      <c r="O63" s="267"/>
      <c r="P63" s="267"/>
      <c r="Q63" s="267"/>
      <c r="R63" s="91"/>
      <c r="U63" s="110"/>
      <c r="V63" s="110"/>
      <c r="W63" s="110"/>
    </row>
    <row r="64" spans="2:23" ht="15" x14ac:dyDescent="0.2">
      <c r="B64" s="36"/>
      <c r="C64" s="211" t="s">
        <v>45</v>
      </c>
      <c r="D64" s="212"/>
      <c r="E64" s="212"/>
      <c r="F64" s="212"/>
      <c r="G64" s="37"/>
      <c r="H64" s="268"/>
      <c r="I64" s="269"/>
      <c r="J64" s="267"/>
      <c r="K64" s="267"/>
      <c r="L64" s="267"/>
      <c r="M64" s="267"/>
      <c r="N64" s="267"/>
      <c r="O64" s="267"/>
      <c r="P64" s="267"/>
      <c r="Q64" s="267"/>
      <c r="R64" s="91"/>
      <c r="U64" s="110"/>
      <c r="V64" s="110"/>
      <c r="W64" s="110"/>
    </row>
    <row r="65" spans="2:23" ht="14.65" customHeight="1" x14ac:dyDescent="0.2">
      <c r="B65" s="36"/>
      <c r="C65" s="211" t="s">
        <v>73</v>
      </c>
      <c r="D65" s="212"/>
      <c r="E65" s="212"/>
      <c r="F65" s="212"/>
      <c r="G65" s="37"/>
      <c r="H65" s="268"/>
      <c r="I65" s="269"/>
      <c r="J65" s="267"/>
      <c r="K65" s="267"/>
      <c r="L65" s="267"/>
      <c r="M65" s="267"/>
      <c r="N65" s="267"/>
      <c r="O65" s="267"/>
      <c r="P65" s="267"/>
      <c r="Q65" s="267"/>
      <c r="R65" s="91"/>
      <c r="U65" s="110"/>
      <c r="V65" s="110"/>
      <c r="W65" s="110"/>
    </row>
    <row r="66" spans="2:23" ht="15" x14ac:dyDescent="0.2">
      <c r="B66" s="36"/>
      <c r="C66" s="202" t="s">
        <v>117</v>
      </c>
      <c r="D66" s="203"/>
      <c r="E66" s="203"/>
      <c r="F66" s="203"/>
      <c r="G66" s="37"/>
      <c r="H66" s="268"/>
      <c r="I66" s="269"/>
      <c r="J66" s="267"/>
      <c r="K66" s="267"/>
      <c r="L66" s="267"/>
      <c r="M66" s="267"/>
      <c r="N66" s="267"/>
      <c r="O66" s="267"/>
      <c r="P66" s="267"/>
      <c r="Q66" s="267"/>
      <c r="R66" s="91"/>
      <c r="U66" s="110"/>
      <c r="V66" s="110"/>
      <c r="W66" s="110"/>
    </row>
    <row r="67" spans="2:23" ht="15" x14ac:dyDescent="0.2">
      <c r="B67" s="36"/>
      <c r="C67" s="208" t="s">
        <v>103</v>
      </c>
      <c r="D67" s="209"/>
      <c r="E67" s="209"/>
      <c r="F67" s="209"/>
      <c r="G67" s="37"/>
      <c r="H67" s="268"/>
      <c r="I67" s="269"/>
      <c r="J67" s="267"/>
      <c r="K67" s="267"/>
      <c r="L67" s="267"/>
      <c r="M67" s="267"/>
      <c r="N67" s="267"/>
      <c r="O67" s="267"/>
      <c r="P67" s="267"/>
      <c r="Q67" s="267"/>
      <c r="R67" s="91"/>
      <c r="U67" s="110"/>
      <c r="V67" s="110"/>
      <c r="W67" s="110"/>
    </row>
    <row r="68" spans="2:23" ht="13.15" customHeight="1" x14ac:dyDescent="0.2">
      <c r="B68" s="36"/>
      <c r="C68" s="208" t="s">
        <v>104</v>
      </c>
      <c r="D68" s="209"/>
      <c r="E68" s="209"/>
      <c r="F68" s="209"/>
      <c r="G68" s="37"/>
      <c r="H68" s="268"/>
      <c r="I68" s="269"/>
      <c r="J68" s="267"/>
      <c r="K68" s="267"/>
      <c r="L68" s="267"/>
      <c r="M68" s="267"/>
      <c r="N68" s="267"/>
      <c r="O68" s="267"/>
      <c r="P68" s="267"/>
      <c r="Q68" s="267"/>
      <c r="R68" s="91"/>
      <c r="U68" s="110"/>
      <c r="V68" s="110"/>
      <c r="W68" s="110"/>
    </row>
    <row r="69" spans="2:23" ht="15" x14ac:dyDescent="0.2">
      <c r="B69" s="36"/>
      <c r="C69" s="183" t="s">
        <v>105</v>
      </c>
      <c r="D69" s="184"/>
      <c r="E69" s="184"/>
      <c r="F69" s="184"/>
      <c r="G69" s="37"/>
      <c r="H69" s="280"/>
      <c r="I69" s="269"/>
      <c r="J69" s="267"/>
      <c r="K69" s="267"/>
      <c r="L69" s="267"/>
      <c r="M69" s="267"/>
      <c r="N69" s="267"/>
      <c r="O69" s="267"/>
      <c r="P69" s="267"/>
      <c r="Q69" s="267"/>
      <c r="R69" s="91"/>
      <c r="U69" s="110"/>
      <c r="V69" s="110"/>
      <c r="W69" s="110"/>
    </row>
    <row r="70" spans="2:23" ht="15" x14ac:dyDescent="0.2">
      <c r="B70" s="36"/>
      <c r="C70" s="208" t="s">
        <v>98</v>
      </c>
      <c r="D70" s="209"/>
      <c r="E70" s="209"/>
      <c r="F70" s="209"/>
      <c r="G70" s="37"/>
      <c r="H70" s="280"/>
      <c r="I70" s="269"/>
      <c r="J70" s="267"/>
      <c r="K70" s="267"/>
      <c r="L70" s="267"/>
      <c r="M70" s="267"/>
      <c r="N70" s="267"/>
      <c r="O70" s="267"/>
      <c r="P70" s="267"/>
      <c r="Q70" s="267"/>
      <c r="R70" s="91"/>
      <c r="U70" s="110"/>
      <c r="V70" s="110"/>
      <c r="W70" s="110"/>
    </row>
    <row r="71" spans="2:23" ht="15" x14ac:dyDescent="0.2">
      <c r="B71" s="36"/>
      <c r="C71" s="202" t="s">
        <v>118</v>
      </c>
      <c r="D71" s="203"/>
      <c r="E71" s="203"/>
      <c r="F71" s="203"/>
      <c r="G71" s="37"/>
      <c r="H71" s="280"/>
      <c r="I71" s="269"/>
      <c r="J71" s="267"/>
      <c r="K71" s="267"/>
      <c r="L71" s="267"/>
      <c r="M71" s="267"/>
      <c r="N71" s="267"/>
      <c r="O71" s="267"/>
      <c r="P71" s="267"/>
      <c r="Q71" s="267"/>
      <c r="R71" s="91"/>
      <c r="U71" s="110"/>
      <c r="V71" s="110"/>
      <c r="W71" s="110"/>
    </row>
    <row r="72" spans="2:23" ht="15" x14ac:dyDescent="0.2">
      <c r="B72" s="36"/>
      <c r="C72" s="208" t="s">
        <v>40</v>
      </c>
      <c r="D72" s="209"/>
      <c r="E72" s="209"/>
      <c r="F72" s="209"/>
      <c r="G72" s="37"/>
      <c r="H72" s="280">
        <v>471</v>
      </c>
      <c r="I72" s="269"/>
      <c r="J72" s="267" t="s">
        <v>135</v>
      </c>
      <c r="K72" s="267"/>
      <c r="L72" s="267"/>
      <c r="M72" s="267"/>
      <c r="N72" s="267"/>
      <c r="O72" s="267"/>
      <c r="P72" s="267"/>
      <c r="Q72" s="267"/>
      <c r="R72" s="91"/>
      <c r="U72" s="110"/>
      <c r="V72" s="110"/>
      <c r="W72" s="110"/>
    </row>
    <row r="73" spans="2:23" ht="14.65" customHeight="1" x14ac:dyDescent="0.2">
      <c r="B73" s="36"/>
      <c r="C73" s="208" t="s">
        <v>41</v>
      </c>
      <c r="D73" s="209"/>
      <c r="E73" s="209"/>
      <c r="F73" s="209"/>
      <c r="G73" s="37"/>
      <c r="H73" s="268">
        <v>428</v>
      </c>
      <c r="I73" s="269"/>
      <c r="J73" s="267" t="s">
        <v>136</v>
      </c>
      <c r="K73" s="267"/>
      <c r="L73" s="267"/>
      <c r="M73" s="267"/>
      <c r="N73" s="267"/>
      <c r="O73" s="267"/>
      <c r="P73" s="267"/>
      <c r="Q73" s="267"/>
      <c r="R73" s="91"/>
      <c r="U73" s="110"/>
      <c r="V73" s="110"/>
      <c r="W73" s="110"/>
    </row>
    <row r="74" spans="2:23" ht="13.15" customHeight="1" x14ac:dyDescent="0.2">
      <c r="B74" s="36"/>
      <c r="C74" s="183" t="s">
        <v>99</v>
      </c>
      <c r="D74" s="184"/>
      <c r="E74" s="184"/>
      <c r="F74" s="184"/>
      <c r="G74" s="37"/>
      <c r="H74" s="268"/>
      <c r="I74" s="269"/>
      <c r="J74" s="267"/>
      <c r="K74" s="267"/>
      <c r="L74" s="267"/>
      <c r="M74" s="267"/>
      <c r="N74" s="267"/>
      <c r="O74" s="267"/>
      <c r="P74" s="267"/>
      <c r="Q74" s="267"/>
      <c r="R74" s="91"/>
      <c r="U74" s="110"/>
      <c r="V74" s="110"/>
      <c r="W74" s="110"/>
    </row>
    <row r="75" spans="2:23" ht="15" x14ac:dyDescent="0.2">
      <c r="B75" s="36"/>
      <c r="C75" s="183" t="s">
        <v>100</v>
      </c>
      <c r="D75" s="184"/>
      <c r="E75" s="184"/>
      <c r="F75" s="184"/>
      <c r="G75" s="37"/>
      <c r="H75" s="268"/>
      <c r="I75" s="269"/>
      <c r="J75" s="267"/>
      <c r="K75" s="267"/>
      <c r="L75" s="267"/>
      <c r="M75" s="267"/>
      <c r="N75" s="267"/>
      <c r="O75" s="267"/>
      <c r="P75" s="267"/>
      <c r="Q75" s="267"/>
      <c r="R75" s="91"/>
      <c r="U75" s="110"/>
      <c r="V75" s="110"/>
      <c r="W75" s="110"/>
    </row>
    <row r="76" spans="2:23" ht="13.15" customHeight="1" x14ac:dyDescent="0.2">
      <c r="B76" s="36"/>
      <c r="C76" s="183" t="s">
        <v>101</v>
      </c>
      <c r="D76" s="184"/>
      <c r="E76" s="184"/>
      <c r="F76" s="184"/>
      <c r="G76" s="37"/>
      <c r="H76" s="268"/>
      <c r="I76" s="269"/>
      <c r="J76" s="267"/>
      <c r="K76" s="267"/>
      <c r="L76" s="267"/>
      <c r="M76" s="267"/>
      <c r="N76" s="267"/>
      <c r="O76" s="267"/>
      <c r="P76" s="267"/>
      <c r="Q76" s="267"/>
      <c r="R76" s="91"/>
      <c r="U76" s="110"/>
      <c r="V76" s="110"/>
      <c r="W76" s="110"/>
    </row>
    <row r="77" spans="2:23" ht="15" x14ac:dyDescent="0.2">
      <c r="B77" s="36"/>
      <c r="C77" s="183" t="s">
        <v>102</v>
      </c>
      <c r="D77" s="184"/>
      <c r="E77" s="184"/>
      <c r="F77" s="184"/>
      <c r="G77" s="37"/>
      <c r="H77" s="280"/>
      <c r="I77" s="269"/>
      <c r="J77" s="267"/>
      <c r="K77" s="267"/>
      <c r="L77" s="267"/>
      <c r="M77" s="267"/>
      <c r="N77" s="267"/>
      <c r="O77" s="267"/>
      <c r="P77" s="267"/>
      <c r="Q77" s="267"/>
      <c r="R77" s="91"/>
      <c r="U77" s="110"/>
      <c r="V77" s="110"/>
      <c r="W77" s="110"/>
    </row>
    <row r="78" spans="2:23" ht="26.1" customHeight="1" x14ac:dyDescent="0.2">
      <c r="B78" s="36"/>
      <c r="C78" s="202" t="s">
        <v>39</v>
      </c>
      <c r="D78" s="203"/>
      <c r="E78" s="203"/>
      <c r="F78" s="203"/>
      <c r="G78" s="37"/>
      <c r="H78" s="268"/>
      <c r="I78" s="269"/>
      <c r="J78" s="267"/>
      <c r="K78" s="267"/>
      <c r="L78" s="267"/>
      <c r="M78" s="267"/>
      <c r="N78" s="267"/>
      <c r="O78" s="267"/>
      <c r="P78" s="267"/>
      <c r="Q78" s="267"/>
      <c r="R78" s="91"/>
      <c r="U78" s="110"/>
      <c r="V78" s="110"/>
      <c r="W78" s="110"/>
    </row>
    <row r="79" spans="2:23" ht="14.45" customHeight="1" x14ac:dyDescent="0.2">
      <c r="B79" s="36"/>
      <c r="C79" s="205" t="s">
        <v>46</v>
      </c>
      <c r="D79" s="206"/>
      <c r="E79" s="206"/>
      <c r="F79" s="206"/>
      <c r="G79" s="37"/>
      <c r="H79" s="282" t="s">
        <v>37</v>
      </c>
      <c r="I79" s="283"/>
      <c r="J79" s="290" t="s">
        <v>74</v>
      </c>
      <c r="K79" s="291"/>
      <c r="L79" s="291"/>
      <c r="M79" s="291"/>
      <c r="N79" s="291"/>
      <c r="O79" s="291"/>
      <c r="P79" s="291"/>
      <c r="Q79" s="291"/>
      <c r="R79" s="91"/>
      <c r="U79" s="110"/>
      <c r="V79" s="110"/>
      <c r="W79" s="110"/>
    </row>
    <row r="80" spans="2:23" ht="14.45" customHeight="1" x14ac:dyDescent="0.2">
      <c r="B80" s="36"/>
      <c r="C80" s="202" t="s">
        <v>106</v>
      </c>
      <c r="D80" s="203"/>
      <c r="E80" s="203"/>
      <c r="F80" s="203"/>
      <c r="G80" s="37"/>
      <c r="H80" s="268"/>
      <c r="I80" s="269"/>
      <c r="J80" s="267"/>
      <c r="K80" s="267"/>
      <c r="L80" s="267"/>
      <c r="M80" s="267"/>
      <c r="N80" s="267"/>
      <c r="O80" s="267"/>
      <c r="P80" s="267"/>
      <c r="Q80" s="267"/>
      <c r="R80" s="91"/>
      <c r="U80" s="110"/>
      <c r="V80" s="110"/>
      <c r="W80" s="110"/>
    </row>
    <row r="81" spans="2:24" ht="30.6" customHeight="1" x14ac:dyDescent="0.2">
      <c r="B81" s="36"/>
      <c r="C81" s="202" t="s">
        <v>96</v>
      </c>
      <c r="D81" s="203"/>
      <c r="E81" s="203" t="s">
        <v>85</v>
      </c>
      <c r="F81" s="203" t="s">
        <v>85</v>
      </c>
      <c r="G81" s="37"/>
      <c r="H81" s="280"/>
      <c r="I81" s="269"/>
      <c r="J81" s="267"/>
      <c r="K81" s="267"/>
      <c r="L81" s="267"/>
      <c r="M81" s="267"/>
      <c r="N81" s="267"/>
      <c r="O81" s="267"/>
      <c r="P81" s="267"/>
      <c r="Q81" s="267"/>
      <c r="R81" s="91"/>
      <c r="U81" s="110"/>
      <c r="V81" s="110"/>
      <c r="W81" s="110"/>
    </row>
    <row r="82" spans="2:24" ht="14.45" customHeight="1" x14ac:dyDescent="0.2">
      <c r="B82" s="36"/>
      <c r="C82" s="202" t="s">
        <v>93</v>
      </c>
      <c r="D82" s="203"/>
      <c r="E82" s="203" t="s">
        <v>85</v>
      </c>
      <c r="F82" s="203" t="s">
        <v>85</v>
      </c>
      <c r="G82" s="37"/>
      <c r="H82" s="268"/>
      <c r="I82" s="269"/>
      <c r="J82" s="267"/>
      <c r="K82" s="267"/>
      <c r="L82" s="267"/>
      <c r="M82" s="267"/>
      <c r="N82" s="267"/>
      <c r="O82" s="267"/>
      <c r="P82" s="267"/>
      <c r="Q82" s="267"/>
      <c r="R82" s="91"/>
      <c r="U82" s="110"/>
      <c r="V82" s="110"/>
      <c r="W82" s="110"/>
    </row>
    <row r="83" spans="2:24" s="79" customFormat="1" ht="14.65" customHeight="1" x14ac:dyDescent="0.2">
      <c r="B83" s="36"/>
      <c r="C83" s="202" t="s">
        <v>92</v>
      </c>
      <c r="D83" s="203"/>
      <c r="E83" s="203"/>
      <c r="F83" s="203"/>
      <c r="G83" s="37"/>
      <c r="H83" s="268"/>
      <c r="I83" s="269"/>
      <c r="J83" s="267"/>
      <c r="K83" s="267"/>
      <c r="L83" s="267"/>
      <c r="M83" s="267"/>
      <c r="N83" s="267"/>
      <c r="O83" s="267"/>
      <c r="P83" s="267"/>
      <c r="Q83" s="267"/>
      <c r="R83" s="91"/>
      <c r="S83" s="81"/>
      <c r="T83" s="81"/>
      <c r="U83" s="81"/>
      <c r="V83" s="81"/>
      <c r="W83" s="81"/>
      <c r="X83" s="81"/>
    </row>
    <row r="84" spans="2:24" s="81" customFormat="1" ht="14.65" customHeight="1" x14ac:dyDescent="0.2">
      <c r="B84" s="36"/>
      <c r="C84" s="202" t="s">
        <v>127</v>
      </c>
      <c r="D84" s="203"/>
      <c r="E84" s="203"/>
      <c r="F84" s="203"/>
      <c r="G84" s="37"/>
      <c r="H84" s="268"/>
      <c r="I84" s="269"/>
      <c r="J84" s="267"/>
      <c r="K84" s="267"/>
      <c r="L84" s="267"/>
      <c r="M84" s="267"/>
      <c r="N84" s="267"/>
      <c r="O84" s="267"/>
      <c r="P84" s="267"/>
      <c r="Q84" s="267"/>
      <c r="R84" s="90"/>
      <c r="S84" s="75"/>
      <c r="T84" s="75"/>
      <c r="U84" s="112"/>
    </row>
    <row r="85" spans="2:24" s="81" customFormat="1" ht="14.65" customHeight="1" x14ac:dyDescent="0.2">
      <c r="B85" s="36"/>
      <c r="C85" s="202" t="s">
        <v>95</v>
      </c>
      <c r="D85" s="203"/>
      <c r="E85" s="203" t="s">
        <v>85</v>
      </c>
      <c r="F85" s="203" t="s">
        <v>85</v>
      </c>
      <c r="G85" s="37"/>
      <c r="H85" s="268"/>
      <c r="I85" s="269"/>
      <c r="J85" s="267"/>
      <c r="K85" s="267"/>
      <c r="L85" s="267"/>
      <c r="M85" s="267"/>
      <c r="N85" s="267"/>
      <c r="O85" s="267"/>
      <c r="P85" s="267"/>
      <c r="Q85" s="267"/>
      <c r="R85" s="91"/>
      <c r="S85" s="112"/>
      <c r="T85" s="112"/>
      <c r="U85" s="112"/>
    </row>
    <row r="86" spans="2:24" s="81" customFormat="1" ht="15" x14ac:dyDescent="0.2">
      <c r="B86" s="36"/>
      <c r="C86" s="202" t="s">
        <v>94</v>
      </c>
      <c r="D86" s="203"/>
      <c r="E86" s="203" t="s">
        <v>85</v>
      </c>
      <c r="F86" s="203" t="s">
        <v>85</v>
      </c>
      <c r="G86" s="37"/>
      <c r="H86" s="268"/>
      <c r="I86" s="269"/>
      <c r="J86" s="267"/>
      <c r="K86" s="267"/>
      <c r="L86" s="267"/>
      <c r="M86" s="267"/>
      <c r="N86" s="267"/>
      <c r="O86" s="267"/>
      <c r="P86" s="267"/>
      <c r="Q86" s="267"/>
      <c r="R86" s="91"/>
      <c r="S86" s="112"/>
      <c r="T86" s="112"/>
      <c r="U86" s="112"/>
    </row>
    <row r="87" spans="2:24" s="81" customFormat="1" x14ac:dyDescent="0.2">
      <c r="B87" s="106"/>
      <c r="C87" s="53"/>
      <c r="D87" s="54"/>
      <c r="E87" s="55"/>
      <c r="F87" s="53"/>
      <c r="G87" s="53"/>
      <c r="H87" s="53"/>
      <c r="I87" s="53"/>
      <c r="J87" s="53"/>
      <c r="K87" s="54"/>
      <c r="L87" s="54"/>
      <c r="M87" s="54"/>
      <c r="N87" s="54"/>
      <c r="O87" s="54"/>
      <c r="P87" s="54"/>
      <c r="Q87" s="54"/>
      <c r="R87" s="92"/>
      <c r="S87" s="112"/>
      <c r="T87" s="112"/>
      <c r="U87" s="112"/>
    </row>
    <row r="88" spans="2:24" s="81" customFormat="1" x14ac:dyDescent="0.2">
      <c r="D88" s="112"/>
      <c r="E88" s="80"/>
      <c r="F88" s="80"/>
      <c r="G88" s="80"/>
      <c r="H88" s="80"/>
      <c r="I88" s="80"/>
      <c r="J88" s="80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</row>
    <row r="89" spans="2:24" s="81" customFormat="1" x14ac:dyDescent="0.2">
      <c r="D89" s="112"/>
      <c r="E89" s="82"/>
      <c r="F89" s="82"/>
      <c r="G89" s="82"/>
      <c r="H89" s="8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</row>
    <row r="90" spans="2:24" s="81" customFormat="1" x14ac:dyDescent="0.2">
      <c r="D90" s="112"/>
      <c r="E90" s="83"/>
      <c r="F90" s="83"/>
      <c r="G90" s="83"/>
      <c r="H90" s="83"/>
      <c r="I90" s="112"/>
      <c r="J90" s="112"/>
      <c r="K90" s="112"/>
      <c r="L90" s="112"/>
      <c r="M90" s="112"/>
      <c r="N90" s="112"/>
      <c r="O90" s="112"/>
      <c r="P90" s="112"/>
      <c r="R90" s="112"/>
      <c r="S90" s="112"/>
      <c r="T90" s="112"/>
      <c r="U90" s="112"/>
    </row>
    <row r="91" spans="2:24" s="81" customFormat="1" x14ac:dyDescent="0.2">
      <c r="D91" s="112"/>
      <c r="E91" s="83"/>
      <c r="F91" s="83"/>
      <c r="G91" s="83"/>
      <c r="H91" s="83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</row>
    <row r="92" spans="2:24" s="81" customFormat="1" x14ac:dyDescent="0.2">
      <c r="D92" s="112"/>
      <c r="E92" s="83"/>
      <c r="F92" s="83"/>
      <c r="G92" s="83"/>
      <c r="H92" s="83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</row>
    <row r="93" spans="2:24" s="75" customFormat="1" x14ac:dyDescent="0.2">
      <c r="C93" s="81"/>
      <c r="D93" s="112"/>
      <c r="E93" s="80"/>
      <c r="F93" s="80"/>
      <c r="G93" s="80"/>
      <c r="H93" s="80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</row>
    <row r="94" spans="2:24" s="75" customFormat="1" x14ac:dyDescent="0.2">
      <c r="D94" s="84"/>
      <c r="E94" s="74"/>
      <c r="F94" s="74"/>
      <c r="G94" s="74"/>
      <c r="H94" s="74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</row>
    <row r="95" spans="2:24" s="75" customFormat="1" x14ac:dyDescent="0.2">
      <c r="D95" s="84"/>
      <c r="E95" s="74"/>
      <c r="F95" s="74"/>
      <c r="G95" s="74"/>
      <c r="H95" s="74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</row>
    <row r="96" spans="2:24" s="75" customFormat="1" x14ac:dyDescent="0.2">
      <c r="D96" s="84"/>
      <c r="E96" s="74"/>
      <c r="F96" s="74"/>
      <c r="G96" s="74"/>
      <c r="H96" s="74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</row>
    <row r="97" spans="4:21" s="75" customFormat="1" x14ac:dyDescent="0.2">
      <c r="D97" s="84"/>
      <c r="E97" s="74"/>
      <c r="F97" s="74"/>
      <c r="G97" s="74"/>
      <c r="H97" s="74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</row>
    <row r="98" spans="4:21" s="75" customFormat="1" x14ac:dyDescent="0.2">
      <c r="D98" s="84"/>
      <c r="E98" s="74"/>
      <c r="F98" s="74"/>
      <c r="G98" s="74"/>
      <c r="H98" s="74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</row>
    <row r="99" spans="4:21" s="75" customFormat="1" x14ac:dyDescent="0.2">
      <c r="D99" s="84"/>
      <c r="E99" s="74"/>
      <c r="F99" s="74"/>
      <c r="G99" s="74"/>
      <c r="H99" s="74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</row>
    <row r="100" spans="4:21" s="75" customFormat="1" x14ac:dyDescent="0.2">
      <c r="D100" s="84"/>
      <c r="E100" s="74"/>
      <c r="F100" s="74"/>
      <c r="G100" s="74"/>
      <c r="H100" s="74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</row>
    <row r="101" spans="4:21" s="75" customFormat="1" x14ac:dyDescent="0.2">
      <c r="D101" s="84"/>
      <c r="E101" s="74"/>
      <c r="F101" s="74"/>
      <c r="G101" s="74"/>
      <c r="H101" s="74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</row>
    <row r="102" spans="4:21" s="75" customFormat="1" x14ac:dyDescent="0.2">
      <c r="D102" s="84"/>
      <c r="E102" s="74"/>
      <c r="F102" s="74"/>
      <c r="G102" s="74"/>
      <c r="H102" s="74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</row>
    <row r="103" spans="4:21" s="75" customFormat="1" x14ac:dyDescent="0.2">
      <c r="D103" s="84"/>
      <c r="E103" s="74"/>
      <c r="F103" s="74"/>
      <c r="G103" s="74"/>
      <c r="H103" s="74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</row>
    <row r="104" spans="4:21" s="75" customFormat="1" x14ac:dyDescent="0.2">
      <c r="D104" s="84"/>
      <c r="E104" s="74"/>
      <c r="F104" s="74"/>
      <c r="G104" s="74"/>
      <c r="H104" s="74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</row>
    <row r="105" spans="4:21" s="75" customFormat="1" x14ac:dyDescent="0.2">
      <c r="D105" s="8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</row>
    <row r="106" spans="4:21" s="75" customFormat="1" x14ac:dyDescent="0.2">
      <c r="D106" s="8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</row>
    <row r="107" spans="4:21" s="75" customFormat="1" x14ac:dyDescent="0.2">
      <c r="D107" s="8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</row>
    <row r="108" spans="4:21" s="75" customFormat="1" x14ac:dyDescent="0.2">
      <c r="D108" s="8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</row>
    <row r="109" spans="4:21" s="75" customFormat="1" x14ac:dyDescent="0.2">
      <c r="D109" s="8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</row>
    <row r="110" spans="4:21" s="75" customFormat="1" x14ac:dyDescent="0.2">
      <c r="D110" s="8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</row>
    <row r="111" spans="4:21" s="75" customFormat="1" x14ac:dyDescent="0.2">
      <c r="D111" s="8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</row>
    <row r="112" spans="4:21" s="75" customFormat="1" x14ac:dyDescent="0.2">
      <c r="D112" s="8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</row>
    <row r="113" spans="4:17" s="75" customFormat="1" x14ac:dyDescent="0.2">
      <c r="D113" s="8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</row>
    <row r="114" spans="4:17" s="75" customFormat="1" x14ac:dyDescent="0.2">
      <c r="D114" s="8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</row>
    <row r="115" spans="4:17" s="75" customFormat="1" x14ac:dyDescent="0.2">
      <c r="D115" s="8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</row>
    <row r="116" spans="4:17" s="75" customFormat="1" x14ac:dyDescent="0.2">
      <c r="D116" s="8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</row>
    <row r="117" spans="4:17" s="75" customFormat="1" x14ac:dyDescent="0.2">
      <c r="D117" s="8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</row>
    <row r="118" spans="4:17" s="75" customFormat="1" x14ac:dyDescent="0.2">
      <c r="D118" s="8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</row>
    <row r="119" spans="4:17" s="75" customFormat="1" x14ac:dyDescent="0.2">
      <c r="D119" s="8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</row>
    <row r="120" spans="4:17" s="75" customFormat="1" x14ac:dyDescent="0.2">
      <c r="D120" s="8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</row>
    <row r="121" spans="4:17" s="75" customFormat="1" x14ac:dyDescent="0.2">
      <c r="D121" s="8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</row>
    <row r="122" spans="4:17" s="75" customFormat="1" x14ac:dyDescent="0.2">
      <c r="D122" s="8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</row>
    <row r="123" spans="4:17" s="75" customFormat="1" x14ac:dyDescent="0.2">
      <c r="D123" s="8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</row>
    <row r="124" spans="4:17" s="75" customFormat="1" x14ac:dyDescent="0.2">
      <c r="D124" s="8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</row>
    <row r="125" spans="4:17" s="75" customFormat="1" x14ac:dyDescent="0.2">
      <c r="D125" s="8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</row>
    <row r="126" spans="4:17" s="75" customFormat="1" x14ac:dyDescent="0.2">
      <c r="D126" s="8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</row>
    <row r="127" spans="4:17" s="75" customFormat="1" x14ac:dyDescent="0.2">
      <c r="D127" s="8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</row>
    <row r="128" spans="4:17" s="75" customFormat="1" x14ac:dyDescent="0.2">
      <c r="D128" s="8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</row>
    <row r="129" spans="4:17" s="75" customFormat="1" x14ac:dyDescent="0.2">
      <c r="D129" s="8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</row>
    <row r="130" spans="4:17" s="75" customFormat="1" x14ac:dyDescent="0.2">
      <c r="D130" s="8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</row>
    <row r="131" spans="4:17" s="75" customFormat="1" x14ac:dyDescent="0.2">
      <c r="D131" s="8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</row>
    <row r="132" spans="4:17" s="75" customFormat="1" x14ac:dyDescent="0.2">
      <c r="D132" s="8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</row>
    <row r="133" spans="4:17" s="75" customFormat="1" x14ac:dyDescent="0.2">
      <c r="D133" s="8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</row>
    <row r="134" spans="4:17" s="75" customFormat="1" x14ac:dyDescent="0.2">
      <c r="D134" s="8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</row>
    <row r="135" spans="4:17" s="75" customFormat="1" x14ac:dyDescent="0.2">
      <c r="D135" s="8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</row>
    <row r="136" spans="4:17" s="75" customFormat="1" x14ac:dyDescent="0.2">
      <c r="D136" s="8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</row>
    <row r="137" spans="4:17" s="75" customFormat="1" x14ac:dyDescent="0.2">
      <c r="D137" s="8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</row>
    <row r="138" spans="4:17" s="75" customFormat="1" x14ac:dyDescent="0.2">
      <c r="D138" s="8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</row>
    <row r="139" spans="4:17" s="75" customFormat="1" x14ac:dyDescent="0.2">
      <c r="D139" s="8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</row>
    <row r="140" spans="4:17" s="75" customFormat="1" x14ac:dyDescent="0.2">
      <c r="D140" s="8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</row>
    <row r="141" spans="4:17" s="75" customFormat="1" x14ac:dyDescent="0.2">
      <c r="D141" s="8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</row>
    <row r="142" spans="4:17" s="75" customFormat="1" x14ac:dyDescent="0.2">
      <c r="D142" s="8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</row>
    <row r="143" spans="4:17" s="75" customFormat="1" x14ac:dyDescent="0.2">
      <c r="D143" s="8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</row>
    <row r="144" spans="4:17" s="75" customFormat="1" x14ac:dyDescent="0.2">
      <c r="D144" s="8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</row>
    <row r="145" spans="4:17" s="75" customFormat="1" x14ac:dyDescent="0.2">
      <c r="D145" s="8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</row>
    <row r="146" spans="4:17" s="75" customFormat="1" x14ac:dyDescent="0.2">
      <c r="D146" s="8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</row>
    <row r="147" spans="4:17" s="75" customFormat="1" x14ac:dyDescent="0.2">
      <c r="D147" s="8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</row>
    <row r="148" spans="4:17" s="75" customFormat="1" x14ac:dyDescent="0.2">
      <c r="D148" s="8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</row>
    <row r="149" spans="4:17" s="75" customFormat="1" x14ac:dyDescent="0.2">
      <c r="D149" s="8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</row>
    <row r="150" spans="4:17" s="75" customFormat="1" x14ac:dyDescent="0.2">
      <c r="D150" s="8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</row>
    <row r="151" spans="4:17" s="75" customFormat="1" x14ac:dyDescent="0.2">
      <c r="D151" s="8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</row>
    <row r="152" spans="4:17" s="75" customFormat="1" x14ac:dyDescent="0.2">
      <c r="D152" s="8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</row>
    <row r="153" spans="4:17" s="75" customFormat="1" x14ac:dyDescent="0.2">
      <c r="D153" s="8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</row>
    <row r="154" spans="4:17" s="75" customFormat="1" x14ac:dyDescent="0.2">
      <c r="D154" s="8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</row>
    <row r="155" spans="4:17" s="75" customFormat="1" x14ac:dyDescent="0.2">
      <c r="D155" s="8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</row>
    <row r="156" spans="4:17" s="75" customFormat="1" x14ac:dyDescent="0.2">
      <c r="D156" s="8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</row>
    <row r="157" spans="4:17" s="75" customFormat="1" x14ac:dyDescent="0.2">
      <c r="D157" s="8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</row>
    <row r="158" spans="4:17" s="75" customFormat="1" x14ac:dyDescent="0.2">
      <c r="D158" s="8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</row>
    <row r="159" spans="4:17" s="75" customFormat="1" x14ac:dyDescent="0.2">
      <c r="D159" s="8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</row>
    <row r="160" spans="4:17" s="75" customFormat="1" x14ac:dyDescent="0.2">
      <c r="D160" s="8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</row>
    <row r="161" spans="4:17" s="75" customFormat="1" x14ac:dyDescent="0.2">
      <c r="D161" s="8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</row>
    <row r="162" spans="4:17" s="75" customFormat="1" x14ac:dyDescent="0.2">
      <c r="D162" s="8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</row>
    <row r="163" spans="4:17" s="75" customFormat="1" x14ac:dyDescent="0.2">
      <c r="D163" s="8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</row>
    <row r="164" spans="4:17" s="75" customFormat="1" x14ac:dyDescent="0.2">
      <c r="D164" s="8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</row>
    <row r="165" spans="4:17" s="75" customFormat="1" x14ac:dyDescent="0.2">
      <c r="D165" s="8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</row>
    <row r="166" spans="4:17" s="75" customFormat="1" x14ac:dyDescent="0.2">
      <c r="D166" s="8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</row>
    <row r="167" spans="4:17" s="75" customFormat="1" x14ac:dyDescent="0.2">
      <c r="D167" s="8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</row>
    <row r="168" spans="4:17" s="75" customFormat="1" x14ac:dyDescent="0.2">
      <c r="D168" s="8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</row>
    <row r="169" spans="4:17" s="75" customFormat="1" x14ac:dyDescent="0.2">
      <c r="D169" s="8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</row>
    <row r="170" spans="4:17" s="75" customFormat="1" x14ac:dyDescent="0.2">
      <c r="D170" s="8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</row>
    <row r="171" spans="4:17" s="75" customFormat="1" x14ac:dyDescent="0.2">
      <c r="D171" s="8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</row>
    <row r="172" spans="4:17" s="75" customFormat="1" x14ac:dyDescent="0.2">
      <c r="D172" s="8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</row>
    <row r="173" spans="4:17" s="75" customFormat="1" x14ac:dyDescent="0.2">
      <c r="D173" s="8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</row>
    <row r="174" spans="4:17" s="75" customFormat="1" x14ac:dyDescent="0.2">
      <c r="D174" s="8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</row>
    <row r="175" spans="4:17" s="75" customFormat="1" x14ac:dyDescent="0.2">
      <c r="D175" s="8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</row>
    <row r="176" spans="4:17" s="75" customFormat="1" x14ac:dyDescent="0.2">
      <c r="D176" s="8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</row>
    <row r="177" spans="4:17" s="75" customFormat="1" x14ac:dyDescent="0.2">
      <c r="D177" s="8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</row>
    <row r="178" spans="4:17" s="75" customFormat="1" x14ac:dyDescent="0.2">
      <c r="D178" s="8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</row>
    <row r="179" spans="4:17" s="75" customFormat="1" x14ac:dyDescent="0.2">
      <c r="D179" s="8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</row>
    <row r="180" spans="4:17" s="75" customFormat="1" x14ac:dyDescent="0.2">
      <c r="D180" s="8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</row>
    <row r="181" spans="4:17" s="75" customFormat="1" x14ac:dyDescent="0.2">
      <c r="D181" s="8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</row>
    <row r="182" spans="4:17" s="75" customFormat="1" x14ac:dyDescent="0.2">
      <c r="D182" s="8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</row>
    <row r="183" spans="4:17" s="75" customFormat="1" x14ac:dyDescent="0.2">
      <c r="D183" s="8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</row>
    <row r="184" spans="4:17" s="75" customFormat="1" x14ac:dyDescent="0.2">
      <c r="D184" s="8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</row>
    <row r="185" spans="4:17" s="75" customFormat="1" x14ac:dyDescent="0.2">
      <c r="D185" s="8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</row>
    <row r="186" spans="4:17" s="75" customFormat="1" x14ac:dyDescent="0.2">
      <c r="D186" s="8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</row>
    <row r="187" spans="4:17" s="75" customFormat="1" x14ac:dyDescent="0.2">
      <c r="D187" s="8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</row>
    <row r="188" spans="4:17" s="75" customFormat="1" x14ac:dyDescent="0.2">
      <c r="D188" s="8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</row>
    <row r="189" spans="4:17" s="75" customFormat="1" x14ac:dyDescent="0.2">
      <c r="D189" s="8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</row>
    <row r="190" spans="4:17" s="75" customFormat="1" x14ac:dyDescent="0.2">
      <c r="D190" s="8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</row>
    <row r="191" spans="4:17" s="75" customFormat="1" x14ac:dyDescent="0.2">
      <c r="D191" s="8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</row>
    <row r="192" spans="4:17" s="75" customFormat="1" x14ac:dyDescent="0.2">
      <c r="D192" s="8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</row>
    <row r="193" spans="4:17" s="75" customFormat="1" x14ac:dyDescent="0.2">
      <c r="D193" s="8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</row>
    <row r="194" spans="4:17" s="75" customFormat="1" x14ac:dyDescent="0.2">
      <c r="D194" s="8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</row>
    <row r="195" spans="4:17" s="75" customFormat="1" x14ac:dyDescent="0.2">
      <c r="D195" s="8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</row>
    <row r="196" spans="4:17" s="75" customFormat="1" x14ac:dyDescent="0.2">
      <c r="D196" s="8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</row>
    <row r="197" spans="4:17" s="75" customFormat="1" x14ac:dyDescent="0.2">
      <c r="D197" s="8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</row>
    <row r="198" spans="4:17" s="75" customFormat="1" x14ac:dyDescent="0.2">
      <c r="D198" s="8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</row>
    <row r="199" spans="4:17" s="75" customFormat="1" x14ac:dyDescent="0.2">
      <c r="D199" s="8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</row>
    <row r="200" spans="4:17" s="75" customFormat="1" x14ac:dyDescent="0.2">
      <c r="D200" s="8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</row>
    <row r="201" spans="4:17" s="75" customFormat="1" x14ac:dyDescent="0.2">
      <c r="D201" s="8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</row>
    <row r="202" spans="4:17" s="75" customFormat="1" x14ac:dyDescent="0.2">
      <c r="D202" s="8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</row>
    <row r="203" spans="4:17" s="75" customFormat="1" x14ac:dyDescent="0.2">
      <c r="D203" s="8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</row>
    <row r="204" spans="4:17" s="75" customFormat="1" x14ac:dyDescent="0.2">
      <c r="D204" s="8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</row>
    <row r="205" spans="4:17" s="75" customFormat="1" x14ac:dyDescent="0.2">
      <c r="D205" s="8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</row>
    <row r="206" spans="4:17" s="75" customFormat="1" x14ac:dyDescent="0.2">
      <c r="D206" s="8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</row>
    <row r="207" spans="4:17" s="75" customFormat="1" x14ac:dyDescent="0.2">
      <c r="D207" s="8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</row>
    <row r="208" spans="4:17" s="75" customFormat="1" x14ac:dyDescent="0.2">
      <c r="D208" s="8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</row>
    <row r="209" spans="4:17" s="75" customFormat="1" x14ac:dyDescent="0.2">
      <c r="D209" s="8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</row>
    <row r="210" spans="4:17" s="75" customFormat="1" x14ac:dyDescent="0.2">
      <c r="D210" s="8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</row>
    <row r="211" spans="4:17" s="75" customFormat="1" x14ac:dyDescent="0.2">
      <c r="D211" s="8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</row>
    <row r="212" spans="4:17" s="75" customFormat="1" x14ac:dyDescent="0.2">
      <c r="D212" s="8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</row>
    <row r="213" spans="4:17" s="75" customFormat="1" x14ac:dyDescent="0.2">
      <c r="D213" s="8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</row>
    <row r="214" spans="4:17" s="75" customFormat="1" x14ac:dyDescent="0.2">
      <c r="D214" s="8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</row>
    <row r="215" spans="4:17" s="75" customFormat="1" x14ac:dyDescent="0.2">
      <c r="D215" s="8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</row>
    <row r="216" spans="4:17" s="75" customFormat="1" x14ac:dyDescent="0.2">
      <c r="D216" s="8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</row>
    <row r="217" spans="4:17" s="75" customFormat="1" x14ac:dyDescent="0.2">
      <c r="D217" s="8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</row>
    <row r="218" spans="4:17" s="75" customFormat="1" x14ac:dyDescent="0.2">
      <c r="D218" s="8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</row>
    <row r="219" spans="4:17" s="75" customFormat="1" x14ac:dyDescent="0.2">
      <c r="D219" s="8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</row>
    <row r="220" spans="4:17" s="75" customFormat="1" x14ac:dyDescent="0.2">
      <c r="D220" s="8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</row>
    <row r="221" spans="4:17" s="75" customFormat="1" x14ac:dyDescent="0.2">
      <c r="D221" s="8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</row>
    <row r="222" spans="4:17" s="75" customFormat="1" x14ac:dyDescent="0.2">
      <c r="D222" s="8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</row>
    <row r="223" spans="4:17" s="75" customFormat="1" x14ac:dyDescent="0.2">
      <c r="D223" s="8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</row>
    <row r="224" spans="4:17" s="75" customFormat="1" x14ac:dyDescent="0.2">
      <c r="D224" s="8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</row>
    <row r="225" spans="4:17" s="75" customFormat="1" x14ac:dyDescent="0.2">
      <c r="D225" s="8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</row>
    <row r="226" spans="4:17" s="75" customFormat="1" x14ac:dyDescent="0.2">
      <c r="D226" s="8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</row>
    <row r="227" spans="4:17" s="75" customFormat="1" x14ac:dyDescent="0.2">
      <c r="D227" s="8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</row>
    <row r="228" spans="4:17" s="75" customFormat="1" x14ac:dyDescent="0.2">
      <c r="D228" s="8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</row>
    <row r="229" spans="4:17" s="75" customFormat="1" x14ac:dyDescent="0.2">
      <c r="D229" s="8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</row>
    <row r="230" spans="4:17" s="75" customFormat="1" x14ac:dyDescent="0.2">
      <c r="D230" s="8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</row>
    <row r="231" spans="4:17" s="75" customFormat="1" x14ac:dyDescent="0.2">
      <c r="D231" s="8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</row>
    <row r="232" spans="4:17" s="75" customFormat="1" x14ac:dyDescent="0.2">
      <c r="D232" s="8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</row>
    <row r="233" spans="4:17" s="75" customFormat="1" x14ac:dyDescent="0.2">
      <c r="D233" s="8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</row>
    <row r="234" spans="4:17" s="75" customFormat="1" x14ac:dyDescent="0.2">
      <c r="D234" s="8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</row>
    <row r="235" spans="4:17" s="75" customFormat="1" x14ac:dyDescent="0.2">
      <c r="D235" s="8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</row>
    <row r="236" spans="4:17" s="75" customFormat="1" x14ac:dyDescent="0.2">
      <c r="D236" s="8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</row>
    <row r="237" spans="4:17" s="75" customFormat="1" x14ac:dyDescent="0.2">
      <c r="D237" s="8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</row>
    <row r="238" spans="4:17" s="75" customFormat="1" x14ac:dyDescent="0.2">
      <c r="D238" s="8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</row>
    <row r="239" spans="4:17" s="75" customFormat="1" x14ac:dyDescent="0.2">
      <c r="D239" s="8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</row>
    <row r="240" spans="4:17" s="75" customFormat="1" x14ac:dyDescent="0.2">
      <c r="D240" s="8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</row>
    <row r="241" spans="4:17" s="75" customFormat="1" x14ac:dyDescent="0.2">
      <c r="D241" s="8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</row>
    <row r="242" spans="4:17" s="75" customFormat="1" x14ac:dyDescent="0.2">
      <c r="D242" s="8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</row>
    <row r="243" spans="4:17" s="75" customFormat="1" x14ac:dyDescent="0.2">
      <c r="D243" s="8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</row>
    <row r="244" spans="4:17" s="75" customFormat="1" x14ac:dyDescent="0.2">
      <c r="D244" s="8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</row>
    <row r="245" spans="4:17" s="75" customFormat="1" x14ac:dyDescent="0.2">
      <c r="D245" s="8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</row>
    <row r="246" spans="4:17" s="75" customFormat="1" x14ac:dyDescent="0.2">
      <c r="D246" s="8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</row>
    <row r="247" spans="4:17" s="75" customFormat="1" x14ac:dyDescent="0.2">
      <c r="D247" s="8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</row>
    <row r="248" spans="4:17" s="75" customFormat="1" x14ac:dyDescent="0.2">
      <c r="D248" s="8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</row>
    <row r="249" spans="4:17" s="75" customFormat="1" x14ac:dyDescent="0.2">
      <c r="D249" s="8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</row>
    <row r="250" spans="4:17" s="75" customFormat="1" x14ac:dyDescent="0.2">
      <c r="D250" s="8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</row>
    <row r="251" spans="4:17" s="75" customFormat="1" x14ac:dyDescent="0.2">
      <c r="D251" s="8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</row>
    <row r="252" spans="4:17" s="75" customFormat="1" x14ac:dyDescent="0.2">
      <c r="D252" s="8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</row>
    <row r="253" spans="4:17" s="75" customFormat="1" x14ac:dyDescent="0.2">
      <c r="D253" s="8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</row>
    <row r="254" spans="4:17" s="75" customFormat="1" x14ac:dyDescent="0.2">
      <c r="D254" s="8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</row>
    <row r="255" spans="4:17" s="75" customFormat="1" x14ac:dyDescent="0.2">
      <c r="D255" s="8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</row>
    <row r="256" spans="4:17" s="75" customFormat="1" x14ac:dyDescent="0.2">
      <c r="D256" s="8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</row>
    <row r="257" spans="4:17" s="75" customFormat="1" x14ac:dyDescent="0.2">
      <c r="D257" s="8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</row>
    <row r="258" spans="4:17" s="75" customFormat="1" x14ac:dyDescent="0.2">
      <c r="D258" s="8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</row>
    <row r="259" spans="4:17" s="75" customFormat="1" x14ac:dyDescent="0.2">
      <c r="D259" s="8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</row>
    <row r="260" spans="4:17" s="75" customFormat="1" x14ac:dyDescent="0.2">
      <c r="D260" s="8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</row>
    <row r="261" spans="4:17" s="75" customFormat="1" x14ac:dyDescent="0.2">
      <c r="D261" s="8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</row>
    <row r="262" spans="4:17" s="75" customFormat="1" x14ac:dyDescent="0.2">
      <c r="D262" s="8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</row>
    <row r="263" spans="4:17" s="75" customFormat="1" x14ac:dyDescent="0.2">
      <c r="D263" s="8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</row>
    <row r="264" spans="4:17" s="75" customFormat="1" x14ac:dyDescent="0.2">
      <c r="D264" s="8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</row>
    <row r="265" spans="4:17" s="75" customFormat="1" x14ac:dyDescent="0.2">
      <c r="D265" s="8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</row>
    <row r="266" spans="4:17" s="75" customFormat="1" x14ac:dyDescent="0.2">
      <c r="D266" s="8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</row>
    <row r="267" spans="4:17" s="75" customFormat="1" x14ac:dyDescent="0.2">
      <c r="D267" s="8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</row>
    <row r="268" spans="4:17" s="75" customFormat="1" x14ac:dyDescent="0.2">
      <c r="D268" s="8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</row>
    <row r="269" spans="4:17" s="75" customFormat="1" x14ac:dyDescent="0.2">
      <c r="D269" s="8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</row>
    <row r="270" spans="4:17" s="75" customFormat="1" x14ac:dyDescent="0.2">
      <c r="D270" s="8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</row>
    <row r="271" spans="4:17" s="75" customFormat="1" x14ac:dyDescent="0.2">
      <c r="D271" s="8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</row>
    <row r="272" spans="4:17" s="75" customFormat="1" x14ac:dyDescent="0.2">
      <c r="D272" s="8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</row>
    <row r="273" spans="4:17" s="75" customFormat="1" x14ac:dyDescent="0.2">
      <c r="D273" s="8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</row>
    <row r="274" spans="4:17" s="75" customFormat="1" x14ac:dyDescent="0.2">
      <c r="D274" s="8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</row>
    <row r="275" spans="4:17" s="75" customFormat="1" x14ac:dyDescent="0.2">
      <c r="D275" s="8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</row>
    <row r="276" spans="4:17" s="75" customFormat="1" x14ac:dyDescent="0.2">
      <c r="D276" s="8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</row>
    <row r="277" spans="4:17" s="75" customFormat="1" x14ac:dyDescent="0.2">
      <c r="D277" s="8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</row>
    <row r="278" spans="4:17" s="75" customFormat="1" x14ac:dyDescent="0.2">
      <c r="D278" s="8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</row>
    <row r="279" spans="4:17" s="75" customFormat="1" x14ac:dyDescent="0.2">
      <c r="D279" s="8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</row>
    <row r="280" spans="4:17" s="75" customFormat="1" x14ac:dyDescent="0.2">
      <c r="D280" s="8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</row>
    <row r="281" spans="4:17" s="75" customFormat="1" x14ac:dyDescent="0.2">
      <c r="D281" s="8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</row>
    <row r="282" spans="4:17" s="75" customFormat="1" x14ac:dyDescent="0.2">
      <c r="D282" s="8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</row>
    <row r="283" spans="4:17" s="75" customFormat="1" x14ac:dyDescent="0.2">
      <c r="D283" s="8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</row>
    <row r="284" spans="4:17" s="75" customFormat="1" x14ac:dyDescent="0.2">
      <c r="D284" s="8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</row>
    <row r="285" spans="4:17" s="75" customFormat="1" x14ac:dyDescent="0.2">
      <c r="D285" s="8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</row>
    <row r="286" spans="4:17" s="75" customFormat="1" x14ac:dyDescent="0.2">
      <c r="D286" s="8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</row>
    <row r="287" spans="4:17" s="75" customFormat="1" x14ac:dyDescent="0.2">
      <c r="D287" s="8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</row>
    <row r="288" spans="4:17" s="75" customFormat="1" x14ac:dyDescent="0.2">
      <c r="D288" s="8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</row>
    <row r="289" spans="4:17" s="75" customFormat="1" x14ac:dyDescent="0.2">
      <c r="D289" s="8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</row>
    <row r="290" spans="4:17" s="75" customFormat="1" x14ac:dyDescent="0.2">
      <c r="D290" s="8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</row>
    <row r="291" spans="4:17" s="75" customFormat="1" x14ac:dyDescent="0.2">
      <c r="D291" s="8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</row>
    <row r="292" spans="4:17" s="75" customFormat="1" x14ac:dyDescent="0.2">
      <c r="D292" s="8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</row>
    <row r="293" spans="4:17" s="75" customFormat="1" x14ac:dyDescent="0.2">
      <c r="D293" s="8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</row>
    <row r="294" spans="4:17" s="75" customFormat="1" x14ac:dyDescent="0.2">
      <c r="D294" s="8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</row>
    <row r="295" spans="4:17" s="75" customFormat="1" x14ac:dyDescent="0.2">
      <c r="D295" s="8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</row>
    <row r="296" spans="4:17" s="75" customFormat="1" x14ac:dyDescent="0.2">
      <c r="D296" s="8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</row>
    <row r="297" spans="4:17" s="75" customFormat="1" x14ac:dyDescent="0.2">
      <c r="D297" s="8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</row>
    <row r="298" spans="4:17" s="75" customFormat="1" x14ac:dyDescent="0.2">
      <c r="D298" s="8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</row>
    <row r="299" spans="4:17" s="75" customFormat="1" x14ac:dyDescent="0.2">
      <c r="D299" s="8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</row>
    <row r="300" spans="4:17" s="75" customFormat="1" x14ac:dyDescent="0.2">
      <c r="D300" s="8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</row>
    <row r="301" spans="4:17" s="75" customFormat="1" x14ac:dyDescent="0.2">
      <c r="D301" s="8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</row>
    <row r="302" spans="4:17" s="75" customFormat="1" x14ac:dyDescent="0.2">
      <c r="D302" s="8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</row>
    <row r="303" spans="4:17" s="75" customFormat="1" x14ac:dyDescent="0.2">
      <c r="D303" s="8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</row>
    <row r="304" spans="4:17" s="75" customFormat="1" x14ac:dyDescent="0.2">
      <c r="D304" s="8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</row>
    <row r="305" spans="4:17" s="75" customFormat="1" x14ac:dyDescent="0.2">
      <c r="D305" s="8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</row>
    <row r="306" spans="4:17" s="75" customFormat="1" x14ac:dyDescent="0.2">
      <c r="D306" s="8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</row>
    <row r="307" spans="4:17" s="75" customFormat="1" x14ac:dyDescent="0.2">
      <c r="D307" s="8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</row>
    <row r="308" spans="4:17" s="75" customFormat="1" x14ac:dyDescent="0.2">
      <c r="D308" s="8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</row>
    <row r="309" spans="4:17" s="75" customFormat="1" x14ac:dyDescent="0.2">
      <c r="D309" s="8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</row>
    <row r="310" spans="4:17" s="75" customFormat="1" x14ac:dyDescent="0.2">
      <c r="D310" s="8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</row>
    <row r="311" spans="4:17" s="75" customFormat="1" x14ac:dyDescent="0.2">
      <c r="D311" s="8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</row>
    <row r="312" spans="4:17" s="75" customFormat="1" x14ac:dyDescent="0.2">
      <c r="D312" s="8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</row>
    <row r="313" spans="4:17" s="75" customFormat="1" x14ac:dyDescent="0.2">
      <c r="D313" s="8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</row>
    <row r="314" spans="4:17" s="75" customFormat="1" x14ac:dyDescent="0.2">
      <c r="D314" s="8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</row>
    <row r="315" spans="4:17" s="75" customFormat="1" x14ac:dyDescent="0.2">
      <c r="D315" s="8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</row>
    <row r="316" spans="4:17" s="75" customFormat="1" x14ac:dyDescent="0.2">
      <c r="D316" s="8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</row>
    <row r="317" spans="4:17" s="75" customFormat="1" x14ac:dyDescent="0.2">
      <c r="D317" s="8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</row>
    <row r="318" spans="4:17" s="75" customFormat="1" x14ac:dyDescent="0.2">
      <c r="D318" s="8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</row>
    <row r="319" spans="4:17" s="75" customFormat="1" x14ac:dyDescent="0.2">
      <c r="D319" s="8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</row>
    <row r="320" spans="4:17" s="75" customFormat="1" x14ac:dyDescent="0.2">
      <c r="D320" s="8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</row>
    <row r="321" spans="4:17" s="75" customFormat="1" x14ac:dyDescent="0.2">
      <c r="D321" s="8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</row>
    <row r="322" spans="4:17" s="75" customFormat="1" x14ac:dyDescent="0.2">
      <c r="D322" s="8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</row>
    <row r="323" spans="4:17" s="75" customFormat="1" x14ac:dyDescent="0.2">
      <c r="D323" s="8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</row>
    <row r="324" spans="4:17" s="75" customFormat="1" x14ac:dyDescent="0.2">
      <c r="D324" s="8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</row>
    <row r="325" spans="4:17" s="75" customFormat="1" x14ac:dyDescent="0.2">
      <c r="D325" s="8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</row>
    <row r="326" spans="4:17" s="75" customFormat="1" x14ac:dyDescent="0.2">
      <c r="D326" s="8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</row>
    <row r="327" spans="4:17" s="75" customFormat="1" x14ac:dyDescent="0.2">
      <c r="D327" s="8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</row>
    <row r="328" spans="4:17" s="75" customFormat="1" x14ac:dyDescent="0.2">
      <c r="D328" s="8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</row>
    <row r="329" spans="4:17" s="75" customFormat="1" x14ac:dyDescent="0.2">
      <c r="D329" s="8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</row>
    <row r="330" spans="4:17" s="75" customFormat="1" x14ac:dyDescent="0.2">
      <c r="D330" s="8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</row>
    <row r="331" spans="4:17" s="75" customFormat="1" x14ac:dyDescent="0.2">
      <c r="D331" s="8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</row>
    <row r="332" spans="4:17" s="75" customFormat="1" x14ac:dyDescent="0.2">
      <c r="D332" s="8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</row>
    <row r="333" spans="4:17" s="75" customFormat="1" x14ac:dyDescent="0.2">
      <c r="D333" s="8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</row>
    <row r="334" spans="4:17" s="75" customFormat="1" x14ac:dyDescent="0.2">
      <c r="D334" s="8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</row>
    <row r="335" spans="4:17" s="75" customFormat="1" x14ac:dyDescent="0.2">
      <c r="D335" s="8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</row>
    <row r="336" spans="4:17" s="75" customFormat="1" x14ac:dyDescent="0.2">
      <c r="D336" s="8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</row>
    <row r="337" spans="4:17" s="75" customFormat="1" x14ac:dyDescent="0.2">
      <c r="D337" s="8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</row>
    <row r="338" spans="4:17" s="75" customFormat="1" x14ac:dyDescent="0.2">
      <c r="D338" s="8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</row>
    <row r="339" spans="4:17" s="75" customFormat="1" x14ac:dyDescent="0.2">
      <c r="D339" s="8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</row>
    <row r="340" spans="4:17" s="75" customFormat="1" x14ac:dyDescent="0.2">
      <c r="D340" s="8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</row>
    <row r="341" spans="4:17" s="75" customFormat="1" x14ac:dyDescent="0.2">
      <c r="D341" s="8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</row>
    <row r="342" spans="4:17" s="75" customFormat="1" x14ac:dyDescent="0.2">
      <c r="D342" s="8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</row>
    <row r="343" spans="4:17" s="75" customFormat="1" x14ac:dyDescent="0.2">
      <c r="D343" s="8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</row>
    <row r="344" spans="4:17" s="75" customFormat="1" x14ac:dyDescent="0.2">
      <c r="D344" s="8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</row>
    <row r="345" spans="4:17" s="75" customFormat="1" x14ac:dyDescent="0.2">
      <c r="D345" s="8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</row>
    <row r="346" spans="4:17" s="75" customFormat="1" x14ac:dyDescent="0.2">
      <c r="D346" s="8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</row>
    <row r="347" spans="4:17" s="75" customFormat="1" x14ac:dyDescent="0.2">
      <c r="D347" s="8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</row>
    <row r="348" spans="4:17" s="75" customFormat="1" x14ac:dyDescent="0.2">
      <c r="D348" s="8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</row>
    <row r="349" spans="4:17" s="75" customFormat="1" x14ac:dyDescent="0.2">
      <c r="D349" s="8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</row>
    <row r="350" spans="4:17" s="75" customFormat="1" x14ac:dyDescent="0.2">
      <c r="D350" s="8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</row>
    <row r="351" spans="4:17" s="75" customFormat="1" x14ac:dyDescent="0.2">
      <c r="D351" s="8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</row>
    <row r="352" spans="4:17" s="75" customFormat="1" x14ac:dyDescent="0.2">
      <c r="D352" s="8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</row>
    <row r="353" spans="4:17" s="75" customFormat="1" x14ac:dyDescent="0.2">
      <c r="D353" s="8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</row>
    <row r="354" spans="4:17" s="75" customFormat="1" x14ac:dyDescent="0.2">
      <c r="D354" s="8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</row>
    <row r="355" spans="4:17" s="75" customFormat="1" x14ac:dyDescent="0.2">
      <c r="D355" s="8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</row>
    <row r="356" spans="4:17" s="75" customFormat="1" x14ac:dyDescent="0.2">
      <c r="D356" s="8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</row>
    <row r="357" spans="4:17" s="75" customFormat="1" x14ac:dyDescent="0.2">
      <c r="D357" s="8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</row>
    <row r="358" spans="4:17" s="75" customFormat="1" x14ac:dyDescent="0.2">
      <c r="D358" s="8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</row>
    <row r="359" spans="4:17" s="75" customFormat="1" x14ac:dyDescent="0.2">
      <c r="D359" s="8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</row>
    <row r="360" spans="4:17" s="75" customFormat="1" x14ac:dyDescent="0.2">
      <c r="D360" s="8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</row>
    <row r="361" spans="4:17" s="75" customFormat="1" x14ac:dyDescent="0.2">
      <c r="D361" s="8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</row>
    <row r="362" spans="4:17" s="75" customFormat="1" x14ac:dyDescent="0.2">
      <c r="D362" s="8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</row>
    <row r="363" spans="4:17" s="75" customFormat="1" x14ac:dyDescent="0.2">
      <c r="D363" s="8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</row>
    <row r="364" spans="4:17" s="75" customFormat="1" x14ac:dyDescent="0.2">
      <c r="D364" s="8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</row>
    <row r="365" spans="4:17" s="75" customFormat="1" x14ac:dyDescent="0.2">
      <c r="D365" s="8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</row>
    <row r="366" spans="4:17" s="75" customFormat="1" x14ac:dyDescent="0.2">
      <c r="D366" s="8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</row>
    <row r="367" spans="4:17" s="75" customFormat="1" x14ac:dyDescent="0.2">
      <c r="D367" s="8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</row>
    <row r="368" spans="4:17" s="75" customFormat="1" x14ac:dyDescent="0.2">
      <c r="D368" s="8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</row>
    <row r="369" spans="4:17" s="75" customFormat="1" x14ac:dyDescent="0.2">
      <c r="D369" s="8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</row>
    <row r="370" spans="4:17" s="75" customFormat="1" x14ac:dyDescent="0.2">
      <c r="D370" s="8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</row>
    <row r="371" spans="4:17" s="75" customFormat="1" x14ac:dyDescent="0.2">
      <c r="D371" s="8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</row>
    <row r="372" spans="4:17" s="75" customFormat="1" x14ac:dyDescent="0.2">
      <c r="D372" s="8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</row>
    <row r="373" spans="4:17" s="75" customFormat="1" x14ac:dyDescent="0.2">
      <c r="D373" s="8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</row>
    <row r="374" spans="4:17" s="75" customFormat="1" x14ac:dyDescent="0.2">
      <c r="D374" s="8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</row>
    <row r="375" spans="4:17" s="75" customFormat="1" x14ac:dyDescent="0.2">
      <c r="D375" s="8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</row>
    <row r="376" spans="4:17" s="75" customFormat="1" x14ac:dyDescent="0.2">
      <c r="D376" s="8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</row>
    <row r="377" spans="4:17" s="75" customFormat="1" x14ac:dyDescent="0.2">
      <c r="D377" s="8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</row>
    <row r="378" spans="4:17" s="75" customFormat="1" x14ac:dyDescent="0.2">
      <c r="D378" s="8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</row>
    <row r="379" spans="4:17" s="75" customFormat="1" x14ac:dyDescent="0.2">
      <c r="D379" s="8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</row>
    <row r="380" spans="4:17" s="75" customFormat="1" x14ac:dyDescent="0.2">
      <c r="D380" s="8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</row>
    <row r="381" spans="4:17" s="75" customFormat="1" x14ac:dyDescent="0.2">
      <c r="D381" s="8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</row>
    <row r="382" spans="4:17" s="75" customFormat="1" x14ac:dyDescent="0.2">
      <c r="D382" s="8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</row>
    <row r="383" spans="4:17" s="75" customFormat="1" x14ac:dyDescent="0.2">
      <c r="D383" s="8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</row>
    <row r="384" spans="4:17" s="75" customFormat="1" x14ac:dyDescent="0.2">
      <c r="D384" s="8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</row>
    <row r="385" spans="4:17" s="75" customFormat="1" x14ac:dyDescent="0.2">
      <c r="D385" s="8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</row>
    <row r="386" spans="4:17" s="75" customFormat="1" x14ac:dyDescent="0.2">
      <c r="D386" s="8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</row>
    <row r="387" spans="4:17" s="75" customFormat="1" x14ac:dyDescent="0.2">
      <c r="D387" s="8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</row>
    <row r="388" spans="4:17" s="75" customFormat="1" x14ac:dyDescent="0.2">
      <c r="D388" s="8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</row>
    <row r="389" spans="4:17" s="75" customFormat="1" x14ac:dyDescent="0.2">
      <c r="D389" s="8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</row>
    <row r="390" spans="4:17" s="75" customFormat="1" x14ac:dyDescent="0.2">
      <c r="D390" s="8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</row>
    <row r="391" spans="4:17" s="75" customFormat="1" x14ac:dyDescent="0.2">
      <c r="D391" s="8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</row>
    <row r="392" spans="4:17" s="75" customFormat="1" x14ac:dyDescent="0.2">
      <c r="D392" s="8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</row>
    <row r="393" spans="4:17" s="75" customFormat="1" x14ac:dyDescent="0.2">
      <c r="D393" s="8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</row>
    <row r="394" spans="4:17" s="75" customFormat="1" x14ac:dyDescent="0.2">
      <c r="D394" s="8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</row>
    <row r="395" spans="4:17" s="75" customFormat="1" x14ac:dyDescent="0.2">
      <c r="D395" s="8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</row>
    <row r="396" spans="4:17" s="75" customFormat="1" x14ac:dyDescent="0.2">
      <c r="D396" s="8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</row>
    <row r="397" spans="4:17" s="75" customFormat="1" x14ac:dyDescent="0.2">
      <c r="D397" s="8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</row>
    <row r="398" spans="4:17" s="75" customFormat="1" x14ac:dyDescent="0.2">
      <c r="D398" s="8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</row>
    <row r="399" spans="4:17" s="75" customFormat="1" x14ac:dyDescent="0.2">
      <c r="D399" s="8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</row>
    <row r="400" spans="4:17" s="75" customFormat="1" x14ac:dyDescent="0.2">
      <c r="D400" s="8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</row>
    <row r="401" spans="4:17" s="75" customFormat="1" x14ac:dyDescent="0.2">
      <c r="D401" s="8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</row>
    <row r="402" spans="4:17" s="75" customFormat="1" x14ac:dyDescent="0.2">
      <c r="D402" s="8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</row>
    <row r="403" spans="4:17" s="75" customFormat="1" x14ac:dyDescent="0.2">
      <c r="D403" s="8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</row>
    <row r="404" spans="4:17" s="75" customFormat="1" x14ac:dyDescent="0.2">
      <c r="D404" s="8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</row>
    <row r="405" spans="4:17" s="75" customFormat="1" x14ac:dyDescent="0.2">
      <c r="D405" s="8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</row>
    <row r="406" spans="4:17" s="75" customFormat="1" x14ac:dyDescent="0.2">
      <c r="D406" s="8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</row>
    <row r="407" spans="4:17" s="75" customFormat="1" x14ac:dyDescent="0.2">
      <c r="D407" s="8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</row>
    <row r="408" spans="4:17" s="75" customFormat="1" x14ac:dyDescent="0.2">
      <c r="D408" s="8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</row>
    <row r="409" spans="4:17" s="75" customFormat="1" x14ac:dyDescent="0.2">
      <c r="D409" s="8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</row>
    <row r="410" spans="4:17" s="75" customFormat="1" x14ac:dyDescent="0.2">
      <c r="D410" s="8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</row>
    <row r="411" spans="4:17" s="75" customFormat="1" x14ac:dyDescent="0.2">
      <c r="D411" s="8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</row>
    <row r="412" spans="4:17" s="75" customFormat="1" x14ac:dyDescent="0.2">
      <c r="D412" s="8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</row>
    <row r="413" spans="4:17" s="75" customFormat="1" x14ac:dyDescent="0.2">
      <c r="D413" s="8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</row>
    <row r="414" spans="4:17" s="75" customFormat="1" x14ac:dyDescent="0.2">
      <c r="D414" s="8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</row>
    <row r="415" spans="4:17" s="75" customFormat="1" x14ac:dyDescent="0.2">
      <c r="D415" s="8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</row>
    <row r="416" spans="4:17" s="75" customFormat="1" x14ac:dyDescent="0.2">
      <c r="D416" s="8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</row>
    <row r="417" spans="4:17" s="75" customFormat="1" x14ac:dyDescent="0.2">
      <c r="D417" s="8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</row>
    <row r="418" spans="4:17" s="75" customFormat="1" x14ac:dyDescent="0.2">
      <c r="D418" s="8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</row>
    <row r="419" spans="4:17" s="75" customFormat="1" x14ac:dyDescent="0.2">
      <c r="D419" s="8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</row>
    <row r="420" spans="4:17" s="75" customFormat="1" x14ac:dyDescent="0.2">
      <c r="D420" s="8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</row>
    <row r="421" spans="4:17" s="75" customFormat="1" x14ac:dyDescent="0.2">
      <c r="D421" s="8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</row>
    <row r="422" spans="4:17" s="75" customFormat="1" x14ac:dyDescent="0.2">
      <c r="D422" s="8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</row>
    <row r="423" spans="4:17" s="75" customFormat="1" x14ac:dyDescent="0.2">
      <c r="D423" s="8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</row>
    <row r="424" spans="4:17" s="75" customFormat="1" x14ac:dyDescent="0.2">
      <c r="D424" s="8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</row>
    <row r="425" spans="4:17" s="75" customFormat="1" x14ac:dyDescent="0.2">
      <c r="D425" s="8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</row>
    <row r="426" spans="4:17" s="75" customFormat="1" x14ac:dyDescent="0.2">
      <c r="D426" s="8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</row>
    <row r="427" spans="4:17" s="75" customFormat="1" x14ac:dyDescent="0.2">
      <c r="D427" s="8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</row>
    <row r="428" spans="4:17" s="75" customFormat="1" x14ac:dyDescent="0.2">
      <c r="D428" s="8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</row>
    <row r="429" spans="4:17" s="75" customFormat="1" x14ac:dyDescent="0.2">
      <c r="D429" s="8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</row>
    <row r="430" spans="4:17" s="75" customFormat="1" x14ac:dyDescent="0.2">
      <c r="D430" s="8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</row>
    <row r="431" spans="4:17" s="75" customFormat="1" x14ac:dyDescent="0.2">
      <c r="D431" s="8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</row>
    <row r="432" spans="4:17" s="75" customFormat="1" x14ac:dyDescent="0.2">
      <c r="D432" s="8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</row>
    <row r="433" spans="4:17" s="75" customFormat="1" x14ac:dyDescent="0.2">
      <c r="D433" s="8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</row>
    <row r="434" spans="4:17" s="75" customFormat="1" x14ac:dyDescent="0.2">
      <c r="D434" s="8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</row>
    <row r="435" spans="4:17" s="75" customFormat="1" x14ac:dyDescent="0.2">
      <c r="D435" s="8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</row>
    <row r="436" spans="4:17" s="75" customFormat="1" x14ac:dyDescent="0.2">
      <c r="D436" s="8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</row>
    <row r="437" spans="4:17" s="75" customFormat="1" x14ac:dyDescent="0.2">
      <c r="D437" s="8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</row>
    <row r="438" spans="4:17" s="75" customFormat="1" x14ac:dyDescent="0.2">
      <c r="D438" s="8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</row>
    <row r="439" spans="4:17" s="75" customFormat="1" x14ac:dyDescent="0.2">
      <c r="D439" s="8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</row>
    <row r="440" spans="4:17" s="75" customFormat="1" x14ac:dyDescent="0.2">
      <c r="D440" s="8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</row>
    <row r="441" spans="4:17" s="75" customFormat="1" x14ac:dyDescent="0.2">
      <c r="D441" s="8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</row>
    <row r="442" spans="4:17" s="75" customFormat="1" x14ac:dyDescent="0.2">
      <c r="D442" s="8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</row>
    <row r="443" spans="4:17" s="75" customFormat="1" x14ac:dyDescent="0.2">
      <c r="D443" s="8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</row>
    <row r="444" spans="4:17" s="75" customFormat="1" x14ac:dyDescent="0.2">
      <c r="D444" s="8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</row>
    <row r="445" spans="4:17" s="75" customFormat="1" x14ac:dyDescent="0.2">
      <c r="D445" s="8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</row>
    <row r="446" spans="4:17" s="75" customFormat="1" x14ac:dyDescent="0.2">
      <c r="D446" s="8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</row>
    <row r="447" spans="4:17" s="75" customFormat="1" x14ac:dyDescent="0.2">
      <c r="D447" s="8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</row>
    <row r="448" spans="4:17" s="75" customFormat="1" x14ac:dyDescent="0.2">
      <c r="D448" s="8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</row>
    <row r="449" spans="4:17" s="75" customFormat="1" x14ac:dyDescent="0.2">
      <c r="D449" s="8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</row>
    <row r="450" spans="4:17" s="75" customFormat="1" x14ac:dyDescent="0.2">
      <c r="D450" s="8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</row>
    <row r="451" spans="4:17" s="75" customFormat="1" x14ac:dyDescent="0.2">
      <c r="D451" s="8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</row>
    <row r="452" spans="4:17" s="75" customFormat="1" x14ac:dyDescent="0.2">
      <c r="D452" s="8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</row>
    <row r="453" spans="4:17" s="75" customFormat="1" x14ac:dyDescent="0.2">
      <c r="D453" s="8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</row>
    <row r="454" spans="4:17" s="75" customFormat="1" x14ac:dyDescent="0.2">
      <c r="D454" s="8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</row>
    <row r="455" spans="4:17" s="75" customFormat="1" x14ac:dyDescent="0.2">
      <c r="D455" s="8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</row>
    <row r="456" spans="4:17" s="75" customFormat="1" x14ac:dyDescent="0.2">
      <c r="D456" s="8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</row>
    <row r="457" spans="4:17" s="75" customFormat="1" x14ac:dyDescent="0.2">
      <c r="D457" s="8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</row>
    <row r="458" spans="4:17" s="75" customFormat="1" x14ac:dyDescent="0.2">
      <c r="D458" s="8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</row>
    <row r="459" spans="4:17" s="75" customFormat="1" x14ac:dyDescent="0.2">
      <c r="D459" s="8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</row>
    <row r="460" spans="4:17" s="75" customFormat="1" x14ac:dyDescent="0.2">
      <c r="D460" s="8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</row>
    <row r="461" spans="4:17" s="75" customFormat="1" x14ac:dyDescent="0.2">
      <c r="D461" s="8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</row>
    <row r="462" spans="4:17" s="75" customFormat="1" x14ac:dyDescent="0.2">
      <c r="D462" s="8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</row>
    <row r="463" spans="4:17" s="75" customFormat="1" x14ac:dyDescent="0.2">
      <c r="D463" s="8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</row>
    <row r="464" spans="4:17" s="75" customFormat="1" x14ac:dyDescent="0.2">
      <c r="D464" s="8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</row>
    <row r="465" spans="4:17" s="75" customFormat="1" x14ac:dyDescent="0.2">
      <c r="D465" s="8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</row>
    <row r="466" spans="4:17" s="75" customFormat="1" x14ac:dyDescent="0.2">
      <c r="D466" s="8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</row>
    <row r="467" spans="4:17" s="75" customFormat="1" x14ac:dyDescent="0.2">
      <c r="D467" s="8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</row>
    <row r="468" spans="4:17" s="75" customFormat="1" x14ac:dyDescent="0.2">
      <c r="D468" s="8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</row>
    <row r="469" spans="4:17" s="75" customFormat="1" x14ac:dyDescent="0.2">
      <c r="D469" s="8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</row>
    <row r="470" spans="4:17" s="75" customFormat="1" x14ac:dyDescent="0.2">
      <c r="D470" s="8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</row>
    <row r="471" spans="4:17" s="75" customFormat="1" x14ac:dyDescent="0.2">
      <c r="D471" s="8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</row>
    <row r="472" spans="4:17" s="75" customFormat="1" x14ac:dyDescent="0.2">
      <c r="D472" s="8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</row>
    <row r="473" spans="4:17" s="75" customFormat="1" x14ac:dyDescent="0.2">
      <c r="D473" s="8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</row>
    <row r="474" spans="4:17" s="75" customFormat="1" x14ac:dyDescent="0.2">
      <c r="D474" s="8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</row>
    <row r="475" spans="4:17" s="75" customFormat="1" x14ac:dyDescent="0.2">
      <c r="D475" s="8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</row>
    <row r="476" spans="4:17" s="75" customFormat="1" x14ac:dyDescent="0.2">
      <c r="D476" s="8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</row>
    <row r="477" spans="4:17" s="75" customFormat="1" x14ac:dyDescent="0.2">
      <c r="D477" s="8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</row>
    <row r="478" spans="4:17" s="75" customFormat="1" x14ac:dyDescent="0.2">
      <c r="D478" s="8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</row>
    <row r="479" spans="4:17" s="75" customFormat="1" x14ac:dyDescent="0.2">
      <c r="D479" s="8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</row>
    <row r="480" spans="4:17" s="75" customFormat="1" x14ac:dyDescent="0.2">
      <c r="D480" s="8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</row>
    <row r="481" spans="4:17" s="75" customFormat="1" x14ac:dyDescent="0.2">
      <c r="D481" s="8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</row>
    <row r="482" spans="4:17" s="75" customFormat="1" x14ac:dyDescent="0.2">
      <c r="D482" s="8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</row>
    <row r="483" spans="4:17" s="75" customFormat="1" x14ac:dyDescent="0.2">
      <c r="D483" s="8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</row>
    <row r="484" spans="4:17" s="75" customFormat="1" x14ac:dyDescent="0.2">
      <c r="D484" s="8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</row>
    <row r="485" spans="4:17" s="75" customFormat="1" x14ac:dyDescent="0.2">
      <c r="D485" s="8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</row>
    <row r="486" spans="4:17" s="75" customFormat="1" x14ac:dyDescent="0.2">
      <c r="D486" s="8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</row>
    <row r="487" spans="4:17" s="75" customFormat="1" x14ac:dyDescent="0.2">
      <c r="D487" s="8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</row>
    <row r="488" spans="4:17" s="75" customFormat="1" x14ac:dyDescent="0.2">
      <c r="D488" s="8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</row>
    <row r="489" spans="4:17" s="75" customFormat="1" x14ac:dyDescent="0.2">
      <c r="D489" s="8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</row>
    <row r="490" spans="4:17" s="75" customFormat="1" x14ac:dyDescent="0.2">
      <c r="D490" s="8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</row>
    <row r="491" spans="4:17" s="75" customFormat="1" x14ac:dyDescent="0.2">
      <c r="D491" s="8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</row>
    <row r="492" spans="4:17" s="75" customFormat="1" x14ac:dyDescent="0.2">
      <c r="D492" s="8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</row>
    <row r="493" spans="4:17" s="75" customFormat="1" x14ac:dyDescent="0.2">
      <c r="D493" s="8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</row>
    <row r="494" spans="4:17" s="75" customFormat="1" x14ac:dyDescent="0.2">
      <c r="D494" s="8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</row>
    <row r="495" spans="4:17" s="75" customFormat="1" x14ac:dyDescent="0.2">
      <c r="D495" s="8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</row>
    <row r="496" spans="4:17" s="75" customFormat="1" x14ac:dyDescent="0.2">
      <c r="D496" s="8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</row>
    <row r="497" spans="4:17" s="75" customFormat="1" x14ac:dyDescent="0.2">
      <c r="D497" s="8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</row>
    <row r="498" spans="4:17" s="75" customFormat="1" x14ac:dyDescent="0.2">
      <c r="D498" s="8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</row>
    <row r="499" spans="4:17" s="75" customFormat="1" x14ac:dyDescent="0.2">
      <c r="D499" s="8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</row>
    <row r="500" spans="4:17" s="75" customFormat="1" x14ac:dyDescent="0.2">
      <c r="D500" s="8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</row>
    <row r="501" spans="4:17" s="75" customFormat="1" x14ac:dyDescent="0.2">
      <c r="D501" s="8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</row>
    <row r="502" spans="4:17" s="75" customFormat="1" x14ac:dyDescent="0.2">
      <c r="D502" s="8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</row>
    <row r="503" spans="4:17" s="75" customFormat="1" x14ac:dyDescent="0.2">
      <c r="D503" s="8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</row>
    <row r="504" spans="4:17" s="75" customFormat="1" x14ac:dyDescent="0.2">
      <c r="D504" s="8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</row>
    <row r="505" spans="4:17" s="75" customFormat="1" x14ac:dyDescent="0.2">
      <c r="D505" s="8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</row>
    <row r="506" spans="4:17" s="75" customFormat="1" x14ac:dyDescent="0.2">
      <c r="D506" s="8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</row>
    <row r="507" spans="4:17" s="75" customFormat="1" x14ac:dyDescent="0.2">
      <c r="D507" s="8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</row>
    <row r="508" spans="4:17" s="75" customFormat="1" x14ac:dyDescent="0.2">
      <c r="D508" s="8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</row>
    <row r="509" spans="4:17" s="75" customFormat="1" x14ac:dyDescent="0.2">
      <c r="D509" s="8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</row>
    <row r="510" spans="4:17" s="75" customFormat="1" x14ac:dyDescent="0.2">
      <c r="D510" s="8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</row>
    <row r="511" spans="4:17" s="75" customFormat="1" x14ac:dyDescent="0.2">
      <c r="D511" s="8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</row>
    <row r="512" spans="4:17" s="75" customFormat="1" x14ac:dyDescent="0.2">
      <c r="D512" s="8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</row>
    <row r="513" spans="4:17" s="75" customFormat="1" x14ac:dyDescent="0.2">
      <c r="D513" s="8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</row>
    <row r="514" spans="4:17" s="75" customFormat="1" x14ac:dyDescent="0.2">
      <c r="D514" s="8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</row>
    <row r="515" spans="4:17" s="75" customFormat="1" x14ac:dyDescent="0.2">
      <c r="D515" s="8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</row>
    <row r="516" spans="4:17" s="75" customFormat="1" x14ac:dyDescent="0.2">
      <c r="D516" s="8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</row>
    <row r="517" spans="4:17" s="75" customFormat="1" x14ac:dyDescent="0.2">
      <c r="D517" s="8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</row>
    <row r="518" spans="4:17" s="75" customFormat="1" x14ac:dyDescent="0.2">
      <c r="D518" s="8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</row>
    <row r="519" spans="4:17" s="75" customFormat="1" x14ac:dyDescent="0.2">
      <c r="D519" s="8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</row>
    <row r="520" spans="4:17" s="75" customFormat="1" x14ac:dyDescent="0.2">
      <c r="D520" s="8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</row>
    <row r="521" spans="4:17" s="75" customFormat="1" x14ac:dyDescent="0.2">
      <c r="D521" s="8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</row>
    <row r="522" spans="4:17" s="75" customFormat="1" x14ac:dyDescent="0.2">
      <c r="D522" s="8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</row>
    <row r="523" spans="4:17" s="75" customFormat="1" x14ac:dyDescent="0.2">
      <c r="D523" s="8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</row>
    <row r="524" spans="4:17" s="75" customFormat="1" x14ac:dyDescent="0.2">
      <c r="D524" s="8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</row>
    <row r="525" spans="4:17" s="75" customFormat="1" x14ac:dyDescent="0.2">
      <c r="D525" s="8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</row>
    <row r="526" spans="4:17" s="75" customFormat="1" x14ac:dyDescent="0.2">
      <c r="D526" s="8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</row>
    <row r="527" spans="4:17" s="75" customFormat="1" x14ac:dyDescent="0.2">
      <c r="D527" s="8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</row>
    <row r="528" spans="4:17" s="75" customFormat="1" x14ac:dyDescent="0.2">
      <c r="D528" s="8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</row>
    <row r="529" spans="4:17" s="75" customFormat="1" x14ac:dyDescent="0.2">
      <c r="D529" s="8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</row>
    <row r="530" spans="4:17" s="75" customFormat="1" x14ac:dyDescent="0.2">
      <c r="D530" s="8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</row>
    <row r="531" spans="4:17" s="75" customFormat="1" x14ac:dyDescent="0.2">
      <c r="D531" s="8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</row>
    <row r="532" spans="4:17" s="75" customFormat="1" x14ac:dyDescent="0.2">
      <c r="D532" s="8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</row>
    <row r="533" spans="4:17" s="75" customFormat="1" x14ac:dyDescent="0.2">
      <c r="D533" s="8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</row>
    <row r="534" spans="4:17" s="75" customFormat="1" x14ac:dyDescent="0.2">
      <c r="D534" s="8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</row>
    <row r="535" spans="4:17" s="75" customFormat="1" x14ac:dyDescent="0.2">
      <c r="D535" s="8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</row>
    <row r="536" spans="4:17" s="75" customFormat="1" x14ac:dyDescent="0.2">
      <c r="D536" s="8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</row>
    <row r="537" spans="4:17" s="75" customFormat="1" x14ac:dyDescent="0.2">
      <c r="D537" s="8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</row>
    <row r="538" spans="4:17" s="75" customFormat="1" x14ac:dyDescent="0.2">
      <c r="D538" s="8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</row>
    <row r="539" spans="4:17" s="75" customFormat="1" x14ac:dyDescent="0.2">
      <c r="D539" s="8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</row>
    <row r="540" spans="4:17" s="75" customFormat="1" x14ac:dyDescent="0.2">
      <c r="D540" s="8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</row>
    <row r="541" spans="4:17" s="75" customFormat="1" x14ac:dyDescent="0.2">
      <c r="D541" s="8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</row>
    <row r="542" spans="4:17" s="75" customFormat="1" x14ac:dyDescent="0.2">
      <c r="D542" s="8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</row>
    <row r="543" spans="4:17" s="75" customFormat="1" x14ac:dyDescent="0.2">
      <c r="D543" s="8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</row>
    <row r="544" spans="4:17" s="75" customFormat="1" x14ac:dyDescent="0.2">
      <c r="D544" s="8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</row>
    <row r="545" spans="4:17" s="75" customFormat="1" x14ac:dyDescent="0.2">
      <c r="D545" s="8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</row>
    <row r="546" spans="4:17" s="75" customFormat="1" x14ac:dyDescent="0.2">
      <c r="D546" s="8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</row>
    <row r="547" spans="4:17" s="75" customFormat="1" x14ac:dyDescent="0.2">
      <c r="D547" s="8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</row>
    <row r="548" spans="4:17" s="75" customFormat="1" x14ac:dyDescent="0.2">
      <c r="D548" s="8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</row>
    <row r="549" spans="4:17" s="75" customFormat="1" x14ac:dyDescent="0.2">
      <c r="D549" s="8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</row>
    <row r="550" spans="4:17" s="75" customFormat="1" x14ac:dyDescent="0.2">
      <c r="D550" s="8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</row>
    <row r="551" spans="4:17" s="75" customFormat="1" x14ac:dyDescent="0.2">
      <c r="D551" s="8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</row>
    <row r="552" spans="4:17" s="75" customFormat="1" x14ac:dyDescent="0.2">
      <c r="D552" s="8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</row>
    <row r="553" spans="4:17" s="75" customFormat="1" x14ac:dyDescent="0.2">
      <c r="D553" s="8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</row>
    <row r="554" spans="4:17" s="75" customFormat="1" x14ac:dyDescent="0.2">
      <c r="D554" s="8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</row>
    <row r="555" spans="4:17" s="75" customFormat="1" x14ac:dyDescent="0.2">
      <c r="D555" s="8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</row>
    <row r="556" spans="4:17" s="75" customFormat="1" x14ac:dyDescent="0.2">
      <c r="D556" s="8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</row>
    <row r="557" spans="4:17" s="75" customFormat="1" x14ac:dyDescent="0.2">
      <c r="D557" s="8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</row>
  </sheetData>
  <sheetProtection password="FFFD" sheet="1" objects="1" scenarios="1" selectLockedCells="1"/>
  <mergeCells count="187">
    <mergeCell ref="C86:F86"/>
    <mergeCell ref="H86:I86"/>
    <mergeCell ref="J86:Q86"/>
    <mergeCell ref="E9:F9"/>
    <mergeCell ref="J9:Q9"/>
    <mergeCell ref="E10:F10"/>
    <mergeCell ref="J10:Q10"/>
    <mergeCell ref="H68:I68"/>
    <mergeCell ref="H69:I69"/>
    <mergeCell ref="H70:I70"/>
    <mergeCell ref="H71:I71"/>
    <mergeCell ref="H76:I76"/>
    <mergeCell ref="E11:F11"/>
    <mergeCell ref="J11:Q11"/>
    <mergeCell ref="E12:F13"/>
    <mergeCell ref="J12:Q12"/>
    <mergeCell ref="J13:Q13"/>
    <mergeCell ref="J28:Q28"/>
    <mergeCell ref="J38:Q38"/>
    <mergeCell ref="E46:F46"/>
    <mergeCell ref="J46:Q46"/>
    <mergeCell ref="E48:F49"/>
    <mergeCell ref="J48:Q48"/>
    <mergeCell ref="C58:F58"/>
    <mergeCell ref="H58:I58"/>
    <mergeCell ref="J58:Q58"/>
    <mergeCell ref="C68:F68"/>
    <mergeCell ref="C4:I4"/>
    <mergeCell ref="J4:Q4"/>
    <mergeCell ref="D5:I5"/>
    <mergeCell ref="J5:K5"/>
    <mergeCell ref="L5:Q5"/>
    <mergeCell ref="D6:I6"/>
    <mergeCell ref="J6:K6"/>
    <mergeCell ref="L6:Q6"/>
    <mergeCell ref="D7:I7"/>
    <mergeCell ref="J7:K7"/>
    <mergeCell ref="L7:Q7"/>
    <mergeCell ref="C63:F63"/>
    <mergeCell ref="H63:I63"/>
    <mergeCell ref="J63:Q63"/>
    <mergeCell ref="C64:F64"/>
    <mergeCell ref="H64:I64"/>
    <mergeCell ref="J64:Q64"/>
    <mergeCell ref="C61:F61"/>
    <mergeCell ref="H61:I61"/>
    <mergeCell ref="J61:Q61"/>
    <mergeCell ref="C62:F62"/>
    <mergeCell ref="U17:W17"/>
    <mergeCell ref="E18:F18"/>
    <mergeCell ref="J18:Q18"/>
    <mergeCell ref="U18:W18"/>
    <mergeCell ref="E19:F24"/>
    <mergeCell ref="J19:Q19"/>
    <mergeCell ref="J20:Q20"/>
    <mergeCell ref="U20:W20"/>
    <mergeCell ref="J21:Q21"/>
    <mergeCell ref="U21:W21"/>
    <mergeCell ref="E14:F17"/>
    <mergeCell ref="J14:Q14"/>
    <mergeCell ref="J15:Q15"/>
    <mergeCell ref="J16:Q16"/>
    <mergeCell ref="J17:Q17"/>
    <mergeCell ref="U28:W29"/>
    <mergeCell ref="J29:Q29"/>
    <mergeCell ref="J30:Q30"/>
    <mergeCell ref="U30:W30"/>
    <mergeCell ref="E31:F31"/>
    <mergeCell ref="J31:Q31"/>
    <mergeCell ref="U31:W31"/>
    <mergeCell ref="J22:Q22"/>
    <mergeCell ref="U22:W24"/>
    <mergeCell ref="J23:Q23"/>
    <mergeCell ref="J24:Q24"/>
    <mergeCell ref="E25:F30"/>
    <mergeCell ref="J25:Q25"/>
    <mergeCell ref="U25:W26"/>
    <mergeCell ref="J26:Q26"/>
    <mergeCell ref="J27:Q27"/>
    <mergeCell ref="U27:W27"/>
    <mergeCell ref="U38:W39"/>
    <mergeCell ref="J39:Q39"/>
    <mergeCell ref="J40:Q40"/>
    <mergeCell ref="U40:W41"/>
    <mergeCell ref="J41:Q41"/>
    <mergeCell ref="E32:F43"/>
    <mergeCell ref="J32:Q32"/>
    <mergeCell ref="U32:W33"/>
    <mergeCell ref="J33:Q33"/>
    <mergeCell ref="J34:Q34"/>
    <mergeCell ref="U34:W35"/>
    <mergeCell ref="J35:Q35"/>
    <mergeCell ref="J36:Q36"/>
    <mergeCell ref="U36:W37"/>
    <mergeCell ref="J37:Q37"/>
    <mergeCell ref="U55:W55"/>
    <mergeCell ref="P56:R56"/>
    <mergeCell ref="B56:C56"/>
    <mergeCell ref="U46:W46"/>
    <mergeCell ref="E47:F47"/>
    <mergeCell ref="J47:Q47"/>
    <mergeCell ref="U47:W47"/>
    <mergeCell ref="J42:Q42"/>
    <mergeCell ref="U42:W43"/>
    <mergeCell ref="J43:Q43"/>
    <mergeCell ref="E44:F45"/>
    <mergeCell ref="J44:Q44"/>
    <mergeCell ref="J45:Q45"/>
    <mergeCell ref="U45:W45"/>
    <mergeCell ref="U58:W58"/>
    <mergeCell ref="C59:F59"/>
    <mergeCell ref="H59:I59"/>
    <mergeCell ref="J59:Q59"/>
    <mergeCell ref="C60:F60"/>
    <mergeCell ref="H60:I60"/>
    <mergeCell ref="J60:Q60"/>
    <mergeCell ref="U48:W48"/>
    <mergeCell ref="J49:Q49"/>
    <mergeCell ref="U49:W50"/>
    <mergeCell ref="E50:F52"/>
    <mergeCell ref="J50:Q50"/>
    <mergeCell ref="J51:Q51"/>
    <mergeCell ref="U51:W52"/>
    <mergeCell ref="J52:Q52"/>
    <mergeCell ref="C57:F57"/>
    <mergeCell ref="H57:I57"/>
    <mergeCell ref="J57:Q57"/>
    <mergeCell ref="E53:F55"/>
    <mergeCell ref="J53:Q53"/>
    <mergeCell ref="U53:W53"/>
    <mergeCell ref="J54:Q54"/>
    <mergeCell ref="U54:W54"/>
    <mergeCell ref="J55:Q55"/>
    <mergeCell ref="H62:I62"/>
    <mergeCell ref="J62:Q62"/>
    <mergeCell ref="C67:F67"/>
    <mergeCell ref="H67:I67"/>
    <mergeCell ref="J67:Q67"/>
    <mergeCell ref="J68:Q68"/>
    <mergeCell ref="J69:Q69"/>
    <mergeCell ref="C65:F65"/>
    <mergeCell ref="H65:I65"/>
    <mergeCell ref="J65:Q65"/>
    <mergeCell ref="C66:F66"/>
    <mergeCell ref="H66:I66"/>
    <mergeCell ref="J66:Q66"/>
    <mergeCell ref="H73:I73"/>
    <mergeCell ref="J73:Q73"/>
    <mergeCell ref="H74:I74"/>
    <mergeCell ref="J74:Q74"/>
    <mergeCell ref="H75:I75"/>
    <mergeCell ref="J75:Q75"/>
    <mergeCell ref="C70:F70"/>
    <mergeCell ref="J70:Q70"/>
    <mergeCell ref="C71:F71"/>
    <mergeCell ref="J71:Q71"/>
    <mergeCell ref="C72:F72"/>
    <mergeCell ref="H72:I72"/>
    <mergeCell ref="J72:Q72"/>
    <mergeCell ref="C73:F73"/>
    <mergeCell ref="C84:F84"/>
    <mergeCell ref="H84:I84"/>
    <mergeCell ref="J84:Q84"/>
    <mergeCell ref="C85:F85"/>
    <mergeCell ref="H85:I85"/>
    <mergeCell ref="J85:Q85"/>
    <mergeCell ref="C82:F82"/>
    <mergeCell ref="H82:I82"/>
    <mergeCell ref="J82:Q82"/>
    <mergeCell ref="C83:F83"/>
    <mergeCell ref="H83:I83"/>
    <mergeCell ref="J83:Q83"/>
    <mergeCell ref="C79:F79"/>
    <mergeCell ref="H79:I79"/>
    <mergeCell ref="J79:Q79"/>
    <mergeCell ref="C80:F80"/>
    <mergeCell ref="J80:Q80"/>
    <mergeCell ref="C81:F81"/>
    <mergeCell ref="H81:I81"/>
    <mergeCell ref="J81:Q81"/>
    <mergeCell ref="J76:Q76"/>
    <mergeCell ref="H77:I77"/>
    <mergeCell ref="J77:Q77"/>
    <mergeCell ref="C78:F78"/>
    <mergeCell ref="H78:I78"/>
    <mergeCell ref="J78:Q78"/>
    <mergeCell ref="H80:I80"/>
  </mergeCells>
  <conditionalFormatting sqref="I10">
    <cfRule type="cellIs" dxfId="23" priority="8" stopIfTrue="1" operator="notBetween">
      <formula>0</formula>
      <formula>999999999</formula>
    </cfRule>
  </conditionalFormatting>
  <conditionalFormatting sqref="I12:I17">
    <cfRule type="cellIs" dxfId="22" priority="30" stopIfTrue="1" operator="notBetween">
      <formula>0</formula>
      <formula>999999999</formula>
    </cfRule>
  </conditionalFormatting>
  <conditionalFormatting sqref="I19:J30">
    <cfRule type="cellIs" dxfId="21" priority="23" stopIfTrue="1" operator="notBetween">
      <formula>0</formula>
      <formula>999999999</formula>
    </cfRule>
  </conditionalFormatting>
  <conditionalFormatting sqref="J10:J17">
    <cfRule type="cellIs" dxfId="20" priority="27" stopIfTrue="1" operator="notBetween">
      <formula>0</formula>
      <formula>999999999</formula>
    </cfRule>
  </conditionalFormatting>
  <conditionalFormatting sqref="J32:J45">
    <cfRule type="cellIs" dxfId="19" priority="19" stopIfTrue="1" operator="notBetween">
      <formula>0</formula>
      <formula>999999999</formula>
    </cfRule>
  </conditionalFormatting>
  <conditionalFormatting sqref="J47:J55">
    <cfRule type="cellIs" dxfId="18" priority="14" stopIfTrue="1" operator="notBetween">
      <formula>0</formula>
      <formula>999999999</formula>
    </cfRule>
  </conditionalFormatting>
  <conditionalFormatting sqref="J58:J78">
    <cfRule type="cellIs" dxfId="17" priority="1" stopIfTrue="1" operator="notBetween">
      <formula>0</formula>
      <formula>999999999</formula>
    </cfRule>
  </conditionalFormatting>
  <conditionalFormatting sqref="J80:J86">
    <cfRule type="cellIs" dxfId="16" priority="2" stopIfTrue="1" operator="notBetween">
      <formula>0</formula>
      <formula>999999999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557"/>
  <sheetViews>
    <sheetView topLeftCell="A38" zoomScale="80" zoomScaleNormal="80" workbookViewId="0">
      <selection activeCell="H14" sqref="H14"/>
    </sheetView>
  </sheetViews>
  <sheetFormatPr baseColWidth="10" defaultColWidth="11.42578125" defaultRowHeight="12.75" x14ac:dyDescent="0.2"/>
  <cols>
    <col min="1" max="2" width="3.7109375" style="71" customWidth="1"/>
    <col min="3" max="3" width="58.7109375" style="71" customWidth="1"/>
    <col min="4" max="4" width="14" style="72" customWidth="1"/>
    <col min="5" max="5" width="7.28515625" style="73" customWidth="1"/>
    <col min="6" max="6" width="17.5703125" style="73" customWidth="1"/>
    <col min="7" max="7" width="3.5703125" style="85" customWidth="1"/>
    <col min="8" max="8" width="11.42578125" style="73" customWidth="1"/>
    <col min="9" max="9" width="6.5703125" style="73" customWidth="1"/>
    <col min="10" max="10" width="21.5703125" style="85" customWidth="1"/>
    <col min="11" max="11" width="6.42578125" style="73" customWidth="1"/>
    <col min="12" max="12" width="2.28515625" style="85" customWidth="1"/>
    <col min="13" max="13" width="11.28515625" style="73" customWidth="1"/>
    <col min="14" max="14" width="7.28515625" style="73" customWidth="1"/>
    <col min="15" max="15" width="1.42578125" style="85" customWidth="1"/>
    <col min="16" max="16" width="11.5703125" style="73" customWidth="1"/>
    <col min="17" max="17" width="6.7109375" style="73" customWidth="1"/>
    <col min="18" max="18" width="3.7109375" style="71" customWidth="1"/>
    <col min="19" max="19" width="1.7109375" style="71" customWidth="1"/>
    <col min="20" max="20" width="3.7109375" style="75" customWidth="1"/>
    <col min="21" max="22" width="40.7109375" style="75" customWidth="1"/>
    <col min="23" max="23" width="48.28515625" style="75" customWidth="1"/>
    <col min="24" max="24" width="3.7109375" style="75" customWidth="1"/>
    <col min="25" max="16384" width="11.42578125" style="71"/>
  </cols>
  <sheetData>
    <row r="1" spans="1:24" ht="13.15" hidden="1" customHeight="1" x14ac:dyDescent="0.2">
      <c r="G1" s="74"/>
      <c r="J1" s="74"/>
      <c r="L1" s="74"/>
      <c r="O1" s="74"/>
    </row>
    <row r="2" spans="1:24" x14ac:dyDescent="0.2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76"/>
    </row>
    <row r="3" spans="1:24" ht="13.15" customHeight="1" x14ac:dyDescent="0.2">
      <c r="B3" s="86"/>
      <c r="C3" s="123"/>
      <c r="D3" s="124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/>
    </row>
    <row r="4" spans="1:24" ht="13.15" customHeight="1" x14ac:dyDescent="0.2">
      <c r="B4" s="87"/>
      <c r="C4" s="286" t="s">
        <v>109</v>
      </c>
      <c r="D4" s="286"/>
      <c r="E4" s="286"/>
      <c r="F4" s="286"/>
      <c r="G4" s="286"/>
      <c r="H4" s="286"/>
      <c r="I4" s="286"/>
      <c r="J4" s="286" t="s">
        <v>119</v>
      </c>
      <c r="K4" s="286"/>
      <c r="L4" s="286"/>
      <c r="M4" s="286"/>
      <c r="N4" s="286"/>
      <c r="O4" s="286"/>
      <c r="P4" s="286"/>
      <c r="Q4" s="286"/>
      <c r="R4" s="138"/>
    </row>
    <row r="5" spans="1:24" s="120" customFormat="1" ht="23.25" customHeight="1" x14ac:dyDescent="0.2">
      <c r="B5" s="87"/>
      <c r="C5" s="142" t="s">
        <v>110</v>
      </c>
      <c r="D5" s="266">
        <v>44562</v>
      </c>
      <c r="E5" s="266"/>
      <c r="F5" s="266"/>
      <c r="G5" s="266"/>
      <c r="H5" s="266"/>
      <c r="I5" s="266"/>
      <c r="J5" s="292" t="s">
        <v>17</v>
      </c>
      <c r="K5" s="292"/>
      <c r="L5" s="293">
        <f>IF('Overview IB'!D11="","",'Overview IB'!D11)</f>
        <v>44562</v>
      </c>
      <c r="M5" s="293"/>
      <c r="N5" s="293"/>
      <c r="O5" s="293"/>
      <c r="P5" s="293"/>
      <c r="Q5" s="293"/>
      <c r="R5" s="122"/>
    </row>
    <row r="6" spans="1:24" s="120" customFormat="1" ht="18.75" customHeight="1" x14ac:dyDescent="0.2">
      <c r="B6" s="87"/>
      <c r="C6" s="142" t="s">
        <v>111</v>
      </c>
      <c r="D6" s="266">
        <v>45107</v>
      </c>
      <c r="E6" s="266"/>
      <c r="F6" s="266"/>
      <c r="G6" s="266"/>
      <c r="H6" s="266"/>
      <c r="I6" s="266"/>
      <c r="J6" s="292" t="s">
        <v>18</v>
      </c>
      <c r="K6" s="292"/>
      <c r="L6" s="293">
        <f>IF('Overview IB'!D12="","",'Overview IB'!D12)</f>
        <v>45291</v>
      </c>
      <c r="M6" s="293"/>
      <c r="N6" s="293"/>
      <c r="O6" s="293"/>
      <c r="P6" s="293"/>
      <c r="Q6" s="293"/>
      <c r="R6" s="122"/>
    </row>
    <row r="7" spans="1:24" s="120" customFormat="1" ht="18.75" customHeight="1" x14ac:dyDescent="0.2">
      <c r="B7" s="87"/>
      <c r="C7" s="143" t="s">
        <v>36</v>
      </c>
      <c r="D7" s="295">
        <f>IF(OR(D5="",L7="befüllt sich automatisch"),0,((D6-D5)/30)/L7)</f>
        <v>0.74759945130315508</v>
      </c>
      <c r="E7" s="295"/>
      <c r="F7" s="295"/>
      <c r="G7" s="295"/>
      <c r="H7" s="295"/>
      <c r="I7" s="295"/>
      <c r="J7" s="292" t="s">
        <v>72</v>
      </c>
      <c r="K7" s="292"/>
      <c r="L7" s="294">
        <f>IF(IF(OR(L6="",L5=""),"",(L6-L5)/30)="","befüllt sich automatisch",IF(OR(L6="",L5=""),"",(L6-L5)/30))</f>
        <v>24.3</v>
      </c>
      <c r="M7" s="294"/>
      <c r="N7" s="294"/>
      <c r="O7" s="294"/>
      <c r="P7" s="294"/>
      <c r="Q7" s="294"/>
      <c r="R7" s="122"/>
    </row>
    <row r="8" spans="1:24" x14ac:dyDescent="0.2">
      <c r="A8" s="76"/>
      <c r="B8" s="87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9"/>
      <c r="S8" s="76"/>
      <c r="T8" s="76"/>
      <c r="U8" s="76"/>
    </row>
    <row r="9" spans="1:24" s="76" customFormat="1" ht="37.15" customHeight="1" x14ac:dyDescent="0.2">
      <c r="B9" s="87"/>
      <c r="C9" s="109" t="s">
        <v>42</v>
      </c>
      <c r="D9" s="93" t="s">
        <v>86</v>
      </c>
      <c r="E9" s="260"/>
      <c r="F9" s="261"/>
      <c r="G9" s="37"/>
      <c r="H9" s="118" t="s">
        <v>37</v>
      </c>
      <c r="I9" s="39" t="s">
        <v>11</v>
      </c>
      <c r="J9" s="302" t="s">
        <v>74</v>
      </c>
      <c r="K9" s="302"/>
      <c r="L9" s="302"/>
      <c r="M9" s="302"/>
      <c r="N9" s="302"/>
      <c r="O9" s="302"/>
      <c r="P9" s="302"/>
      <c r="Q9" s="302"/>
      <c r="R9" s="90"/>
      <c r="T9" s="77"/>
      <c r="U9" s="78"/>
      <c r="V9" s="78"/>
      <c r="W9" s="78"/>
      <c r="X9" s="77"/>
    </row>
    <row r="10" spans="1:24" s="76" customFormat="1" ht="13.15" customHeight="1" x14ac:dyDescent="0.2">
      <c r="B10" s="87"/>
      <c r="C10" s="94" t="s">
        <v>121</v>
      </c>
      <c r="D10" s="153">
        <f>'Overview IB'!D16</f>
        <v>941</v>
      </c>
      <c r="E10" s="274" t="str">
        <f>IF('Overview IB'!E16 &gt; 0, 'Overview IB'!E16, "")</f>
        <v/>
      </c>
      <c r="F10" s="312"/>
      <c r="G10" s="40"/>
      <c r="H10" s="107">
        <v>905</v>
      </c>
      <c r="I10" s="141">
        <f>IF(H10=0,0,H10/D10)</f>
        <v>0.96174282678002121</v>
      </c>
      <c r="J10" s="267"/>
      <c r="K10" s="267"/>
      <c r="L10" s="267"/>
      <c r="M10" s="267"/>
      <c r="N10" s="267"/>
      <c r="O10" s="267"/>
      <c r="P10" s="267"/>
      <c r="Q10" s="267"/>
      <c r="R10" s="90"/>
      <c r="T10" s="77"/>
      <c r="U10" s="78"/>
      <c r="V10" s="78"/>
      <c r="W10" s="78"/>
      <c r="X10" s="77"/>
    </row>
    <row r="11" spans="1:24" s="76" customFormat="1" ht="28.5" customHeight="1" x14ac:dyDescent="0.2">
      <c r="B11" s="87"/>
      <c r="C11" s="8" t="s">
        <v>87</v>
      </c>
      <c r="D11" s="93" t="s">
        <v>86</v>
      </c>
      <c r="E11" s="216" t="s">
        <v>91</v>
      </c>
      <c r="F11" s="217"/>
      <c r="G11" s="37"/>
      <c r="H11" s="38"/>
      <c r="I11" s="39"/>
      <c r="J11" s="319"/>
      <c r="K11" s="319"/>
      <c r="L11" s="319"/>
      <c r="M11" s="319"/>
      <c r="N11" s="319"/>
      <c r="O11" s="319"/>
      <c r="P11" s="319"/>
      <c r="Q11" s="319"/>
      <c r="R11" s="90"/>
      <c r="T11" s="77"/>
      <c r="U11" s="78"/>
      <c r="V11" s="78"/>
      <c r="W11" s="78"/>
      <c r="X11" s="77"/>
    </row>
    <row r="12" spans="1:24" ht="15" x14ac:dyDescent="0.2">
      <c r="B12" s="36"/>
      <c r="C12" s="95" t="s">
        <v>67</v>
      </c>
      <c r="D12" s="153">
        <f>'Overview IB'!D18</f>
        <v>96</v>
      </c>
      <c r="E12" s="271" t="str">
        <f>IF('Overview IB'!E18 &gt; 0, 'Overview IB'!E18, "")</f>
        <v>z.B. ganzheitliches Lernen, Sommerprogramm, Corona-spezifische Maßnahmen zur Bekämpfung der Folgend der Pandemie</v>
      </c>
      <c r="F12" s="309"/>
      <c r="G12" s="40"/>
      <c r="H12" s="107">
        <v>93</v>
      </c>
      <c r="I12" s="181">
        <f>IF(H12=0,0,H12/D12)</f>
        <v>0.96875</v>
      </c>
      <c r="J12" s="267"/>
      <c r="K12" s="267"/>
      <c r="L12" s="267"/>
      <c r="M12" s="267"/>
      <c r="N12" s="267"/>
      <c r="O12" s="267"/>
      <c r="P12" s="267"/>
      <c r="Q12" s="267"/>
      <c r="R12" s="91"/>
      <c r="U12" s="110"/>
      <c r="V12" s="110"/>
      <c r="W12" s="110"/>
    </row>
    <row r="13" spans="1:24" ht="20.65" customHeight="1" x14ac:dyDescent="0.2">
      <c r="B13" s="36"/>
      <c r="C13" s="96" t="s">
        <v>122</v>
      </c>
      <c r="D13" s="153">
        <f>'Overview IB'!D19</f>
        <v>0</v>
      </c>
      <c r="E13" s="272"/>
      <c r="F13" s="311"/>
      <c r="G13" s="40"/>
      <c r="H13" s="107"/>
      <c r="I13" s="182">
        <f t="shared" ref="I13:I17" si="0">IF(H13=0,0,H13/D13)</f>
        <v>0</v>
      </c>
      <c r="J13" s="267"/>
      <c r="K13" s="267"/>
      <c r="L13" s="267"/>
      <c r="M13" s="267"/>
      <c r="N13" s="267"/>
      <c r="O13" s="267"/>
      <c r="P13" s="267"/>
      <c r="Q13" s="267"/>
      <c r="R13" s="91"/>
      <c r="U13" s="110"/>
      <c r="V13" s="110"/>
      <c r="W13" s="110"/>
    </row>
    <row r="14" spans="1:24" ht="15" x14ac:dyDescent="0.2">
      <c r="B14" s="36"/>
      <c r="C14" s="95" t="s">
        <v>68</v>
      </c>
      <c r="D14" s="153">
        <f>'Overview IB'!D20</f>
        <v>96</v>
      </c>
      <c r="E14" s="271" t="str">
        <f>IF('Overview IB'!E20 &gt; 0, 'Overview IB'!E20, "")</f>
        <v>z.B. ganzheitliches Lernen, Sommerprogramm, Elternarbeit, Digitalisierung</v>
      </c>
      <c r="F14" s="309"/>
      <c r="G14" s="40"/>
      <c r="H14" s="107">
        <v>72</v>
      </c>
      <c r="I14" s="181">
        <f t="shared" si="0"/>
        <v>0.75</v>
      </c>
      <c r="J14" s="267"/>
      <c r="K14" s="267"/>
      <c r="L14" s="267"/>
      <c r="M14" s="267"/>
      <c r="N14" s="267"/>
      <c r="O14" s="267"/>
      <c r="P14" s="267"/>
      <c r="Q14" s="267"/>
      <c r="R14" s="91"/>
      <c r="U14" s="110"/>
      <c r="V14" s="110"/>
      <c r="W14" s="110"/>
    </row>
    <row r="15" spans="1:24" ht="15" x14ac:dyDescent="0.2">
      <c r="B15" s="36"/>
      <c r="C15" s="97" t="s">
        <v>65</v>
      </c>
      <c r="D15" s="153">
        <f>'Overview IB'!D21</f>
        <v>0</v>
      </c>
      <c r="E15" s="272"/>
      <c r="F15" s="310"/>
      <c r="G15" s="40"/>
      <c r="H15" s="107"/>
      <c r="I15" s="182">
        <f t="shared" si="0"/>
        <v>0</v>
      </c>
      <c r="J15" s="267"/>
      <c r="K15" s="267"/>
      <c r="L15" s="267"/>
      <c r="M15" s="267"/>
      <c r="N15" s="267"/>
      <c r="O15" s="267"/>
      <c r="P15" s="267"/>
      <c r="Q15" s="267"/>
      <c r="R15" s="91"/>
      <c r="U15" s="110"/>
      <c r="V15" s="110"/>
      <c r="W15" s="110"/>
    </row>
    <row r="16" spans="1:24" ht="15" x14ac:dyDescent="0.2">
      <c r="B16" s="36"/>
      <c r="C16" s="97" t="s">
        <v>66</v>
      </c>
      <c r="D16" s="153">
        <f>'Overview IB'!D22</f>
        <v>0</v>
      </c>
      <c r="E16" s="272"/>
      <c r="F16" s="310"/>
      <c r="G16" s="40"/>
      <c r="H16" s="107"/>
      <c r="I16" s="182">
        <f t="shared" si="0"/>
        <v>0</v>
      </c>
      <c r="J16" s="267"/>
      <c r="K16" s="267"/>
      <c r="L16" s="267"/>
      <c r="M16" s="267"/>
      <c r="N16" s="267"/>
      <c r="O16" s="267"/>
      <c r="P16" s="267"/>
      <c r="Q16" s="267"/>
      <c r="R16" s="91"/>
      <c r="U16" s="110"/>
      <c r="V16" s="110"/>
      <c r="W16" s="110"/>
    </row>
    <row r="17" spans="2:23" ht="15" x14ac:dyDescent="0.2">
      <c r="B17" s="36"/>
      <c r="C17" s="97" t="s">
        <v>70</v>
      </c>
      <c r="D17" s="153">
        <f>'Overview IB'!D23</f>
        <v>0</v>
      </c>
      <c r="E17" s="273"/>
      <c r="F17" s="311"/>
      <c r="G17" s="40"/>
      <c r="H17" s="107"/>
      <c r="I17" s="182">
        <f t="shared" si="0"/>
        <v>0</v>
      </c>
      <c r="J17" s="267"/>
      <c r="K17" s="267"/>
      <c r="L17" s="267"/>
      <c r="M17" s="267"/>
      <c r="N17" s="267"/>
      <c r="O17" s="267"/>
      <c r="P17" s="267"/>
      <c r="Q17" s="267"/>
      <c r="R17" s="91"/>
      <c r="U17" s="297"/>
      <c r="V17" s="297"/>
      <c r="W17" s="297"/>
    </row>
    <row r="18" spans="2:23" ht="26.1" customHeight="1" x14ac:dyDescent="0.2">
      <c r="B18" s="36"/>
      <c r="C18" s="8" t="s">
        <v>55</v>
      </c>
      <c r="D18" s="93" t="s">
        <v>86</v>
      </c>
      <c r="E18" s="216" t="s">
        <v>91</v>
      </c>
      <c r="F18" s="217"/>
      <c r="G18" s="42"/>
      <c r="H18" s="118" t="s">
        <v>37</v>
      </c>
      <c r="I18" s="114" t="s">
        <v>11</v>
      </c>
      <c r="J18" s="302" t="s">
        <v>74</v>
      </c>
      <c r="K18" s="302"/>
      <c r="L18" s="302"/>
      <c r="M18" s="302"/>
      <c r="N18" s="302"/>
      <c r="O18" s="302"/>
      <c r="P18" s="302"/>
      <c r="Q18" s="302"/>
      <c r="R18" s="91"/>
      <c r="U18" s="301"/>
      <c r="V18" s="301"/>
      <c r="W18" s="301"/>
    </row>
    <row r="19" spans="2:23" ht="15" x14ac:dyDescent="0.2">
      <c r="B19" s="36"/>
      <c r="C19" s="95" t="s">
        <v>83</v>
      </c>
      <c r="D19" s="153">
        <f>'Overview IB'!D25</f>
        <v>0</v>
      </c>
      <c r="E19" s="271" t="str">
        <f>IF('Overview IB'!E25 &gt; 0, 'Overview IB'!E25, "")</f>
        <v/>
      </c>
      <c r="F19" s="309"/>
      <c r="G19" s="43"/>
      <c r="H19" s="116"/>
      <c r="I19" s="181">
        <f>IF(H19=0,0,H19/D19)</f>
        <v>0</v>
      </c>
      <c r="J19" s="267"/>
      <c r="K19" s="267"/>
      <c r="L19" s="267"/>
      <c r="M19" s="267"/>
      <c r="N19" s="267"/>
      <c r="O19" s="267"/>
      <c r="P19" s="267"/>
      <c r="Q19" s="267"/>
      <c r="R19" s="91"/>
      <c r="U19" s="113"/>
      <c r="V19" s="113"/>
      <c r="W19" s="113"/>
    </row>
    <row r="20" spans="2:23" ht="30" x14ac:dyDescent="0.2">
      <c r="B20" s="36"/>
      <c r="C20" s="96" t="s">
        <v>57</v>
      </c>
      <c r="D20" s="153">
        <f>'Overview IB'!D26</f>
        <v>0</v>
      </c>
      <c r="E20" s="272"/>
      <c r="F20" s="310"/>
      <c r="G20" s="43"/>
      <c r="H20" s="116"/>
      <c r="I20" s="182">
        <f t="shared" ref="I20:I30" si="1">IF(H20=0,0,H20/D20)</f>
        <v>0</v>
      </c>
      <c r="J20" s="267"/>
      <c r="K20" s="267"/>
      <c r="L20" s="267"/>
      <c r="M20" s="267"/>
      <c r="N20" s="267"/>
      <c r="O20" s="267"/>
      <c r="P20" s="267"/>
      <c r="Q20" s="267"/>
      <c r="R20" s="91"/>
      <c r="U20" s="301"/>
      <c r="V20" s="301"/>
      <c r="W20" s="301"/>
    </row>
    <row r="21" spans="2:23" ht="15" x14ac:dyDescent="0.2">
      <c r="B21" s="36"/>
      <c r="C21" s="97" t="s">
        <v>71</v>
      </c>
      <c r="D21" s="153">
        <f>'Overview IB'!D27</f>
        <v>0</v>
      </c>
      <c r="E21" s="272"/>
      <c r="F21" s="310"/>
      <c r="G21" s="43"/>
      <c r="H21" s="116"/>
      <c r="I21" s="182">
        <f t="shared" si="1"/>
        <v>0</v>
      </c>
      <c r="J21" s="267"/>
      <c r="K21" s="267"/>
      <c r="L21" s="267"/>
      <c r="M21" s="267"/>
      <c r="N21" s="267"/>
      <c r="O21" s="267"/>
      <c r="P21" s="267"/>
      <c r="Q21" s="267"/>
      <c r="R21" s="91"/>
      <c r="U21" s="301"/>
      <c r="V21" s="301"/>
      <c r="W21" s="301"/>
    </row>
    <row r="22" spans="2:23" ht="30" x14ac:dyDescent="0.2">
      <c r="B22" s="36"/>
      <c r="C22" s="95" t="s">
        <v>84</v>
      </c>
      <c r="D22" s="153">
        <f>'Overview IB'!D28</f>
        <v>0</v>
      </c>
      <c r="E22" s="272"/>
      <c r="F22" s="310"/>
      <c r="G22" s="43"/>
      <c r="H22" s="116"/>
      <c r="I22" s="181">
        <f t="shared" si="1"/>
        <v>0</v>
      </c>
      <c r="J22" s="267"/>
      <c r="K22" s="267"/>
      <c r="L22" s="267"/>
      <c r="M22" s="267"/>
      <c r="N22" s="267"/>
      <c r="O22" s="267"/>
      <c r="P22" s="267"/>
      <c r="Q22" s="267"/>
      <c r="R22" s="91"/>
      <c r="U22" s="301"/>
      <c r="V22" s="301"/>
      <c r="W22" s="301"/>
    </row>
    <row r="23" spans="2:23" ht="30" x14ac:dyDescent="0.2">
      <c r="B23" s="36"/>
      <c r="C23" s="97" t="s">
        <v>58</v>
      </c>
      <c r="D23" s="153">
        <f>'Overview IB'!D29</f>
        <v>0</v>
      </c>
      <c r="E23" s="272"/>
      <c r="F23" s="310"/>
      <c r="G23" s="43"/>
      <c r="H23" s="116"/>
      <c r="I23" s="182">
        <f t="shared" si="1"/>
        <v>0</v>
      </c>
      <c r="J23" s="267"/>
      <c r="K23" s="267"/>
      <c r="L23" s="267"/>
      <c r="M23" s="267"/>
      <c r="N23" s="267"/>
      <c r="O23" s="267"/>
      <c r="P23" s="267"/>
      <c r="Q23" s="267"/>
      <c r="R23" s="91"/>
      <c r="U23" s="301"/>
      <c r="V23" s="301"/>
      <c r="W23" s="301"/>
    </row>
    <row r="24" spans="2:23" ht="15" x14ac:dyDescent="0.2">
      <c r="B24" s="36"/>
      <c r="C24" s="97" t="s">
        <v>56</v>
      </c>
      <c r="D24" s="153">
        <f>'Overview IB'!D30</f>
        <v>0</v>
      </c>
      <c r="E24" s="273"/>
      <c r="F24" s="311"/>
      <c r="G24" s="40"/>
      <c r="H24" s="47"/>
      <c r="I24" s="182">
        <f t="shared" si="1"/>
        <v>0</v>
      </c>
      <c r="J24" s="267"/>
      <c r="K24" s="267"/>
      <c r="L24" s="267"/>
      <c r="M24" s="267"/>
      <c r="N24" s="267"/>
      <c r="O24" s="267"/>
      <c r="P24" s="267"/>
      <c r="Q24" s="267"/>
      <c r="R24" s="91"/>
      <c r="U24" s="301"/>
      <c r="V24" s="301"/>
      <c r="W24" s="301"/>
    </row>
    <row r="25" spans="2:23" ht="17.649999999999999" customHeight="1" x14ac:dyDescent="0.2">
      <c r="B25" s="36"/>
      <c r="C25" s="95" t="s">
        <v>59</v>
      </c>
      <c r="D25" s="153">
        <f>'Overview IB'!D31</f>
        <v>0</v>
      </c>
      <c r="E25" s="287" t="str">
        <f>IF('Overview IB'!E31 &gt; 0, 'Overview IB'!E31, "")</f>
        <v/>
      </c>
      <c r="F25" s="313"/>
      <c r="G25" s="43"/>
      <c r="H25" s="116"/>
      <c r="I25" s="181">
        <f t="shared" si="1"/>
        <v>0</v>
      </c>
      <c r="J25" s="267"/>
      <c r="K25" s="267"/>
      <c r="L25" s="267"/>
      <c r="M25" s="267"/>
      <c r="N25" s="267"/>
      <c r="O25" s="267"/>
      <c r="P25" s="267"/>
      <c r="Q25" s="267"/>
      <c r="R25" s="91"/>
      <c r="U25" s="301"/>
      <c r="V25" s="301"/>
      <c r="W25" s="301"/>
    </row>
    <row r="26" spans="2:23" ht="15" x14ac:dyDescent="0.2">
      <c r="B26" s="36"/>
      <c r="C26" s="96" t="s">
        <v>61</v>
      </c>
      <c r="D26" s="153">
        <f>'Overview IB'!D32</f>
        <v>0</v>
      </c>
      <c r="E26" s="288"/>
      <c r="F26" s="314"/>
      <c r="G26" s="40"/>
      <c r="H26" s="47"/>
      <c r="I26" s="182">
        <f t="shared" si="1"/>
        <v>0</v>
      </c>
      <c r="J26" s="267"/>
      <c r="K26" s="267"/>
      <c r="L26" s="267"/>
      <c r="M26" s="267"/>
      <c r="N26" s="267"/>
      <c r="O26" s="267"/>
      <c r="P26" s="267"/>
      <c r="Q26" s="267"/>
      <c r="R26" s="91"/>
      <c r="U26" s="301"/>
      <c r="V26" s="301"/>
      <c r="W26" s="301"/>
    </row>
    <row r="27" spans="2:23" ht="15" x14ac:dyDescent="0.2">
      <c r="B27" s="36"/>
      <c r="C27" s="96" t="s">
        <v>60</v>
      </c>
      <c r="D27" s="153">
        <f>'Overview IB'!D33</f>
        <v>0</v>
      </c>
      <c r="E27" s="288"/>
      <c r="F27" s="314"/>
      <c r="G27" s="43"/>
      <c r="H27" s="180"/>
      <c r="I27" s="182">
        <f t="shared" si="1"/>
        <v>0</v>
      </c>
      <c r="J27" s="267"/>
      <c r="K27" s="267"/>
      <c r="L27" s="267"/>
      <c r="M27" s="267"/>
      <c r="N27" s="267"/>
      <c r="O27" s="267"/>
      <c r="P27" s="267"/>
      <c r="Q27" s="267"/>
      <c r="R27" s="91"/>
      <c r="U27" s="301"/>
      <c r="V27" s="301"/>
      <c r="W27" s="301"/>
    </row>
    <row r="28" spans="2:23" ht="15" x14ac:dyDescent="0.2">
      <c r="B28" s="36"/>
      <c r="C28" s="98" t="s">
        <v>14</v>
      </c>
      <c r="D28" s="153">
        <f>'Overview IB'!D34</f>
        <v>0</v>
      </c>
      <c r="E28" s="288"/>
      <c r="F28" s="314"/>
      <c r="G28" s="43"/>
      <c r="H28" s="116"/>
      <c r="I28" s="182">
        <f t="shared" si="1"/>
        <v>0</v>
      </c>
      <c r="J28" s="267"/>
      <c r="K28" s="267"/>
      <c r="L28" s="267"/>
      <c r="M28" s="267"/>
      <c r="N28" s="267"/>
      <c r="O28" s="267"/>
      <c r="P28" s="267"/>
      <c r="Q28" s="267"/>
      <c r="R28" s="91"/>
      <c r="U28" s="301"/>
      <c r="V28" s="301"/>
      <c r="W28" s="301"/>
    </row>
    <row r="29" spans="2:23" ht="15" x14ac:dyDescent="0.2">
      <c r="B29" s="36"/>
      <c r="C29" s="97" t="s">
        <v>75</v>
      </c>
      <c r="D29" s="153">
        <f>'Overview IB'!D35</f>
        <v>0</v>
      </c>
      <c r="E29" s="288"/>
      <c r="F29" s="314"/>
      <c r="G29" s="40"/>
      <c r="H29" s="47"/>
      <c r="I29" s="182">
        <f t="shared" si="1"/>
        <v>0</v>
      </c>
      <c r="J29" s="267"/>
      <c r="K29" s="267"/>
      <c r="L29" s="267"/>
      <c r="M29" s="267"/>
      <c r="N29" s="267"/>
      <c r="O29" s="267"/>
      <c r="P29" s="267"/>
      <c r="Q29" s="267"/>
      <c r="R29" s="91"/>
      <c r="U29" s="301"/>
      <c r="V29" s="301"/>
      <c r="W29" s="301"/>
    </row>
    <row r="30" spans="2:23" ht="15" x14ac:dyDescent="0.2">
      <c r="B30" s="36"/>
      <c r="C30" s="97" t="s">
        <v>76</v>
      </c>
      <c r="D30" s="153">
        <f>'Overview IB'!D36</f>
        <v>0</v>
      </c>
      <c r="E30" s="289"/>
      <c r="F30" s="315"/>
      <c r="G30" s="43"/>
      <c r="H30" s="180"/>
      <c r="I30" s="182">
        <f t="shared" si="1"/>
        <v>0</v>
      </c>
      <c r="J30" s="267"/>
      <c r="K30" s="267"/>
      <c r="L30" s="267"/>
      <c r="M30" s="267"/>
      <c r="N30" s="267"/>
      <c r="O30" s="267"/>
      <c r="P30" s="267"/>
      <c r="Q30" s="267"/>
      <c r="R30" s="91"/>
      <c r="U30" s="301"/>
      <c r="V30" s="301"/>
      <c r="W30" s="301"/>
    </row>
    <row r="31" spans="2:23" ht="26.1" customHeight="1" x14ac:dyDescent="0.2">
      <c r="B31" s="36"/>
      <c r="C31" s="8" t="s">
        <v>62</v>
      </c>
      <c r="D31" s="93" t="s">
        <v>86</v>
      </c>
      <c r="E31" s="216" t="s">
        <v>91</v>
      </c>
      <c r="F31" s="217"/>
      <c r="G31" s="42"/>
      <c r="H31" s="118" t="s">
        <v>37</v>
      </c>
      <c r="I31" s="114" t="s">
        <v>11</v>
      </c>
      <c r="J31" s="302" t="s">
        <v>74</v>
      </c>
      <c r="K31" s="302"/>
      <c r="L31" s="302"/>
      <c r="M31" s="302"/>
      <c r="N31" s="302"/>
      <c r="O31" s="302"/>
      <c r="P31" s="302"/>
      <c r="Q31" s="302"/>
      <c r="R31" s="91"/>
      <c r="U31" s="303"/>
      <c r="V31" s="303"/>
      <c r="W31" s="303"/>
    </row>
    <row r="32" spans="2:23" ht="13.15" customHeight="1" x14ac:dyDescent="0.2">
      <c r="B32" s="36"/>
      <c r="C32" s="95" t="s">
        <v>79</v>
      </c>
      <c r="D32" s="153">
        <f>'Overview IB'!D38</f>
        <v>0</v>
      </c>
      <c r="E32" s="271" t="str">
        <f>IF('Overview IB'!E38 &gt; 0, 'Overview IB'!E38, "")</f>
        <v/>
      </c>
      <c r="F32" s="309"/>
      <c r="G32" s="44"/>
      <c r="H32" s="45">
        <f>SUM(H33:H37)</f>
        <v>0</v>
      </c>
      <c r="I32" s="46">
        <f>IF(H32=0,0,H32/D32)</f>
        <v>0</v>
      </c>
      <c r="J32" s="267"/>
      <c r="K32" s="267"/>
      <c r="L32" s="267"/>
      <c r="M32" s="267"/>
      <c r="N32" s="267"/>
      <c r="O32" s="267"/>
      <c r="P32" s="267"/>
      <c r="Q32" s="267"/>
      <c r="R32" s="91"/>
      <c r="U32" s="297"/>
      <c r="V32" s="297"/>
      <c r="W32" s="297"/>
    </row>
    <row r="33" spans="2:23" ht="15" x14ac:dyDescent="0.2">
      <c r="B33" s="36"/>
      <c r="C33" s="97" t="s">
        <v>47</v>
      </c>
      <c r="D33" s="153">
        <f>'Overview IB'!D39</f>
        <v>0</v>
      </c>
      <c r="E33" s="272"/>
      <c r="F33" s="310"/>
      <c r="G33" s="44"/>
      <c r="H33" s="116"/>
      <c r="I33" s="48">
        <f t="shared" ref="I33:I45" si="2">IF(H33=0,0,H33/D33)</f>
        <v>0</v>
      </c>
      <c r="J33" s="267"/>
      <c r="K33" s="267"/>
      <c r="L33" s="267"/>
      <c r="M33" s="267"/>
      <c r="N33" s="267"/>
      <c r="O33" s="267"/>
      <c r="P33" s="267"/>
      <c r="Q33" s="267"/>
      <c r="R33" s="91"/>
      <c r="U33" s="297"/>
      <c r="V33" s="297"/>
      <c r="W33" s="297"/>
    </row>
    <row r="34" spans="2:23" ht="15" x14ac:dyDescent="0.2">
      <c r="B34" s="36"/>
      <c r="C34" s="97" t="s">
        <v>48</v>
      </c>
      <c r="D34" s="153">
        <f>'Overview IB'!D40</f>
        <v>0</v>
      </c>
      <c r="E34" s="272"/>
      <c r="F34" s="310"/>
      <c r="G34" s="41"/>
      <c r="H34" s="47"/>
      <c r="I34" s="48">
        <f t="shared" si="2"/>
        <v>0</v>
      </c>
      <c r="J34" s="267"/>
      <c r="K34" s="267"/>
      <c r="L34" s="267"/>
      <c r="M34" s="267"/>
      <c r="N34" s="267"/>
      <c r="O34" s="267"/>
      <c r="P34" s="267"/>
      <c r="Q34" s="267"/>
      <c r="R34" s="91"/>
      <c r="U34" s="297"/>
      <c r="V34" s="297"/>
      <c r="W34" s="297"/>
    </row>
    <row r="35" spans="2:23" ht="15" x14ac:dyDescent="0.2">
      <c r="B35" s="36"/>
      <c r="C35" s="97" t="s">
        <v>49</v>
      </c>
      <c r="D35" s="153">
        <f>'Overview IB'!D41</f>
        <v>0</v>
      </c>
      <c r="E35" s="272"/>
      <c r="F35" s="310"/>
      <c r="G35" s="41"/>
      <c r="H35" s="47"/>
      <c r="I35" s="48">
        <f t="shared" si="2"/>
        <v>0</v>
      </c>
      <c r="J35" s="267"/>
      <c r="K35" s="267"/>
      <c r="L35" s="267"/>
      <c r="M35" s="267"/>
      <c r="N35" s="267"/>
      <c r="O35" s="267"/>
      <c r="P35" s="267"/>
      <c r="Q35" s="267"/>
      <c r="R35" s="91"/>
      <c r="U35" s="297"/>
      <c r="V35" s="297"/>
      <c r="W35" s="297"/>
    </row>
    <row r="36" spans="2:23" ht="15" x14ac:dyDescent="0.2">
      <c r="B36" s="36"/>
      <c r="C36" s="97" t="s">
        <v>50</v>
      </c>
      <c r="D36" s="153">
        <f>'Overview IB'!D42</f>
        <v>0</v>
      </c>
      <c r="E36" s="272"/>
      <c r="F36" s="310"/>
      <c r="G36" s="41"/>
      <c r="H36" s="47"/>
      <c r="I36" s="48">
        <f t="shared" si="2"/>
        <v>0</v>
      </c>
      <c r="J36" s="267"/>
      <c r="K36" s="267"/>
      <c r="L36" s="267"/>
      <c r="M36" s="267"/>
      <c r="N36" s="267"/>
      <c r="O36" s="267"/>
      <c r="P36" s="267"/>
      <c r="Q36" s="267"/>
      <c r="R36" s="91"/>
      <c r="U36" s="297"/>
      <c r="V36" s="297"/>
      <c r="W36" s="297"/>
    </row>
    <row r="37" spans="2:23" ht="15" x14ac:dyDescent="0.2">
      <c r="B37" s="36"/>
      <c r="C37" s="97" t="s">
        <v>51</v>
      </c>
      <c r="D37" s="153">
        <f>'Overview IB'!D43</f>
        <v>0</v>
      </c>
      <c r="E37" s="272"/>
      <c r="F37" s="310"/>
      <c r="G37" s="41"/>
      <c r="H37" s="47"/>
      <c r="I37" s="48">
        <f t="shared" si="2"/>
        <v>0</v>
      </c>
      <c r="J37" s="267"/>
      <c r="K37" s="267"/>
      <c r="L37" s="267"/>
      <c r="M37" s="267"/>
      <c r="N37" s="267"/>
      <c r="O37" s="267"/>
      <c r="P37" s="267"/>
      <c r="Q37" s="267"/>
      <c r="R37" s="91"/>
      <c r="U37" s="297"/>
      <c r="V37" s="297"/>
      <c r="W37" s="297"/>
    </row>
    <row r="38" spans="2:23" ht="15" x14ac:dyDescent="0.2">
      <c r="B38" s="36"/>
      <c r="C38" s="95" t="s">
        <v>80</v>
      </c>
      <c r="D38" s="153">
        <f>'Overview IB'!D44</f>
        <v>0</v>
      </c>
      <c r="E38" s="272"/>
      <c r="F38" s="310"/>
      <c r="G38" s="41"/>
      <c r="H38" s="47"/>
      <c r="I38" s="46">
        <f t="shared" si="2"/>
        <v>0</v>
      </c>
      <c r="J38" s="267"/>
      <c r="K38" s="267"/>
      <c r="L38" s="267"/>
      <c r="M38" s="267"/>
      <c r="N38" s="267"/>
      <c r="O38" s="267"/>
      <c r="P38" s="267"/>
      <c r="Q38" s="267"/>
      <c r="R38" s="91"/>
      <c r="U38" s="297"/>
      <c r="V38" s="297"/>
      <c r="W38" s="297"/>
    </row>
    <row r="39" spans="2:23" ht="15" x14ac:dyDescent="0.2">
      <c r="B39" s="36"/>
      <c r="C39" s="95" t="s">
        <v>81</v>
      </c>
      <c r="D39" s="153">
        <f>'Overview IB'!D45</f>
        <v>0</v>
      </c>
      <c r="E39" s="272"/>
      <c r="F39" s="310"/>
      <c r="G39" s="41"/>
      <c r="H39" s="47"/>
      <c r="I39" s="46">
        <f t="shared" si="2"/>
        <v>0</v>
      </c>
      <c r="J39" s="267"/>
      <c r="K39" s="267"/>
      <c r="L39" s="267"/>
      <c r="M39" s="267"/>
      <c r="N39" s="267"/>
      <c r="O39" s="267"/>
      <c r="P39" s="267"/>
      <c r="Q39" s="267"/>
      <c r="R39" s="91"/>
      <c r="U39" s="297"/>
      <c r="V39" s="297"/>
      <c r="W39" s="297"/>
    </row>
    <row r="40" spans="2:23" ht="15" x14ac:dyDescent="0.2">
      <c r="B40" s="36"/>
      <c r="C40" s="95" t="s">
        <v>30</v>
      </c>
      <c r="D40" s="153">
        <f>'Overview IB'!D46</f>
        <v>0</v>
      </c>
      <c r="E40" s="272"/>
      <c r="F40" s="310"/>
      <c r="G40" s="41"/>
      <c r="H40" s="47"/>
      <c r="I40" s="46">
        <f t="shared" si="2"/>
        <v>0</v>
      </c>
      <c r="J40" s="267"/>
      <c r="K40" s="267"/>
      <c r="L40" s="267"/>
      <c r="M40" s="267"/>
      <c r="N40" s="267"/>
      <c r="O40" s="267"/>
      <c r="P40" s="267"/>
      <c r="Q40" s="267"/>
      <c r="R40" s="91"/>
      <c r="U40" s="297"/>
      <c r="V40" s="297"/>
      <c r="W40" s="297"/>
    </row>
    <row r="41" spans="2:23" ht="30" x14ac:dyDescent="0.2">
      <c r="B41" s="36"/>
      <c r="C41" s="95" t="s">
        <v>126</v>
      </c>
      <c r="D41" s="153">
        <f>'Overview IB'!D47</f>
        <v>0</v>
      </c>
      <c r="E41" s="272"/>
      <c r="F41" s="310"/>
      <c r="G41" s="41"/>
      <c r="H41" s="47"/>
      <c r="I41" s="46">
        <f t="shared" si="2"/>
        <v>0</v>
      </c>
      <c r="J41" s="267"/>
      <c r="K41" s="267"/>
      <c r="L41" s="267"/>
      <c r="M41" s="267"/>
      <c r="N41" s="267"/>
      <c r="O41" s="267"/>
      <c r="P41" s="267"/>
      <c r="Q41" s="267"/>
      <c r="R41" s="91"/>
      <c r="U41" s="297"/>
      <c r="V41" s="297"/>
      <c r="W41" s="297"/>
    </row>
    <row r="42" spans="2:23" ht="30" x14ac:dyDescent="0.2">
      <c r="B42" s="36"/>
      <c r="C42" s="97" t="s">
        <v>52</v>
      </c>
      <c r="D42" s="153">
        <f>'Overview IB'!D48</f>
        <v>0</v>
      </c>
      <c r="E42" s="272"/>
      <c r="F42" s="310"/>
      <c r="G42" s="41"/>
      <c r="H42" s="47"/>
      <c r="I42" s="48">
        <f t="shared" si="2"/>
        <v>0</v>
      </c>
      <c r="J42" s="267"/>
      <c r="K42" s="267"/>
      <c r="L42" s="267"/>
      <c r="M42" s="267"/>
      <c r="N42" s="267"/>
      <c r="O42" s="267"/>
      <c r="P42" s="267"/>
      <c r="Q42" s="267"/>
      <c r="R42" s="91"/>
      <c r="U42" s="297"/>
      <c r="V42" s="297"/>
      <c r="W42" s="297"/>
    </row>
    <row r="43" spans="2:23" ht="15" x14ac:dyDescent="0.2">
      <c r="B43" s="36"/>
      <c r="C43" s="97" t="s">
        <v>69</v>
      </c>
      <c r="D43" s="153">
        <f>'Overview IB'!D49</f>
        <v>0</v>
      </c>
      <c r="E43" s="273"/>
      <c r="F43" s="311"/>
      <c r="G43" s="41"/>
      <c r="H43" s="47"/>
      <c r="I43" s="48">
        <f t="shared" si="2"/>
        <v>0</v>
      </c>
      <c r="J43" s="267"/>
      <c r="K43" s="267"/>
      <c r="L43" s="267"/>
      <c r="M43" s="267"/>
      <c r="N43" s="267"/>
      <c r="O43" s="267"/>
      <c r="P43" s="267"/>
      <c r="Q43" s="267"/>
      <c r="R43" s="91"/>
      <c r="U43" s="297"/>
      <c r="V43" s="297"/>
      <c r="W43" s="297"/>
    </row>
    <row r="44" spans="2:23" ht="15" x14ac:dyDescent="0.2">
      <c r="B44" s="36"/>
      <c r="C44" s="95" t="s">
        <v>53</v>
      </c>
      <c r="D44" s="153">
        <f>'Overview IB'!D50</f>
        <v>0</v>
      </c>
      <c r="E44" s="271" t="str">
        <f>IF('Overview IB'!E50 &gt; 0, 'Overview IB'!E50, "")</f>
        <v/>
      </c>
      <c r="F44" s="309"/>
      <c r="G44" s="41"/>
      <c r="H44" s="47"/>
      <c r="I44" s="46">
        <f t="shared" si="2"/>
        <v>0</v>
      </c>
      <c r="J44" s="267"/>
      <c r="K44" s="267"/>
      <c r="L44" s="267"/>
      <c r="M44" s="267"/>
      <c r="N44" s="267"/>
      <c r="O44" s="267"/>
      <c r="P44" s="267"/>
      <c r="Q44" s="267"/>
      <c r="R44" s="91"/>
      <c r="U44" s="110"/>
      <c r="V44" s="110"/>
      <c r="W44" s="110"/>
    </row>
    <row r="45" spans="2:23" ht="19.149999999999999" customHeight="1" x14ac:dyDescent="0.2">
      <c r="B45" s="36"/>
      <c r="C45" s="97" t="s">
        <v>97</v>
      </c>
      <c r="D45" s="153">
        <f>'Overview IB'!D51</f>
        <v>0</v>
      </c>
      <c r="E45" s="272"/>
      <c r="F45" s="311"/>
      <c r="G45" s="41"/>
      <c r="H45" s="47"/>
      <c r="I45" s="48">
        <f t="shared" si="2"/>
        <v>0</v>
      </c>
      <c r="J45" s="267"/>
      <c r="K45" s="267"/>
      <c r="L45" s="267"/>
      <c r="M45" s="267"/>
      <c r="N45" s="267"/>
      <c r="O45" s="267"/>
      <c r="P45" s="267"/>
      <c r="Q45" s="267"/>
      <c r="R45" s="91"/>
      <c r="U45" s="297"/>
      <c r="V45" s="297"/>
      <c r="W45" s="297"/>
    </row>
    <row r="46" spans="2:23" ht="26.1" customHeight="1" x14ac:dyDescent="0.2">
      <c r="B46" s="36"/>
      <c r="C46" s="8" t="s">
        <v>64</v>
      </c>
      <c r="D46" s="93" t="s">
        <v>86</v>
      </c>
      <c r="E46" s="216" t="s">
        <v>91</v>
      </c>
      <c r="F46" s="217"/>
      <c r="G46" s="42"/>
      <c r="H46" s="118" t="s">
        <v>37</v>
      </c>
      <c r="I46" s="114" t="s">
        <v>11</v>
      </c>
      <c r="J46" s="290" t="s">
        <v>74</v>
      </c>
      <c r="K46" s="291"/>
      <c r="L46" s="291"/>
      <c r="M46" s="291"/>
      <c r="N46" s="291"/>
      <c r="O46" s="291"/>
      <c r="P46" s="291"/>
      <c r="Q46" s="291"/>
      <c r="R46" s="91"/>
      <c r="U46" s="301"/>
      <c r="V46" s="301"/>
      <c r="W46" s="301"/>
    </row>
    <row r="47" spans="2:23" ht="14.65" customHeight="1" x14ac:dyDescent="0.2">
      <c r="B47" s="36"/>
      <c r="C47" s="95" t="s">
        <v>54</v>
      </c>
      <c r="D47" s="153">
        <f>'Overview IB'!D53</f>
        <v>0</v>
      </c>
      <c r="E47" s="274" t="str">
        <f>IF('Overview IB'!E53 &gt; 0, 'Overview IB'!E53, "")</f>
        <v/>
      </c>
      <c r="F47" s="312"/>
      <c r="G47" s="43"/>
      <c r="H47" s="116"/>
      <c r="I47" s="46">
        <f>IF(H47=0,0,H47/D47)</f>
        <v>0</v>
      </c>
      <c r="J47" s="298"/>
      <c r="K47" s="299"/>
      <c r="L47" s="299"/>
      <c r="M47" s="299"/>
      <c r="N47" s="299"/>
      <c r="O47" s="299"/>
      <c r="P47" s="299"/>
      <c r="Q47" s="299"/>
      <c r="R47" s="91"/>
      <c r="U47" s="301"/>
      <c r="V47" s="301"/>
      <c r="W47" s="301"/>
    </row>
    <row r="48" spans="2:23" ht="15" x14ac:dyDescent="0.2">
      <c r="B48" s="36"/>
      <c r="C48" s="94" t="s">
        <v>82</v>
      </c>
      <c r="D48" s="153">
        <f>'Overview IB'!D54</f>
        <v>444</v>
      </c>
      <c r="E48" s="271" t="str">
        <f>IF('Overview IB'!E54 &gt; 0, 'Overview IB'!E54, "")</f>
        <v>z.B. Freiwilligenmanagement</v>
      </c>
      <c r="F48" s="309"/>
      <c r="G48" s="43"/>
      <c r="H48" s="47">
        <v>527</v>
      </c>
      <c r="I48" s="46">
        <f t="shared" ref="I48:I55" si="3">IF(H48=0,0,H48/D48)</f>
        <v>1.1869369369369369</v>
      </c>
      <c r="J48" s="267"/>
      <c r="K48" s="267"/>
      <c r="L48" s="267"/>
      <c r="M48" s="267"/>
      <c r="N48" s="267"/>
      <c r="O48" s="267"/>
      <c r="P48" s="267"/>
      <c r="Q48" s="267"/>
      <c r="R48" s="91"/>
      <c r="U48" s="301"/>
      <c r="V48" s="301"/>
      <c r="W48" s="301"/>
    </row>
    <row r="49" spans="2:23" ht="13.15" customHeight="1" x14ac:dyDescent="0.2">
      <c r="B49" s="36"/>
      <c r="C49" s="97" t="s">
        <v>77</v>
      </c>
      <c r="D49" s="153">
        <f>'Overview IB'!D55</f>
        <v>0</v>
      </c>
      <c r="E49" s="273"/>
      <c r="F49" s="311"/>
      <c r="G49" s="43"/>
      <c r="H49" s="47"/>
      <c r="I49" s="48">
        <f t="shared" si="3"/>
        <v>0</v>
      </c>
      <c r="J49" s="267"/>
      <c r="K49" s="267"/>
      <c r="L49" s="267"/>
      <c r="M49" s="267"/>
      <c r="N49" s="267"/>
      <c r="O49" s="267"/>
      <c r="P49" s="267"/>
      <c r="Q49" s="267"/>
      <c r="R49" s="91"/>
      <c r="U49" s="297"/>
      <c r="V49" s="297"/>
      <c r="W49" s="297"/>
    </row>
    <row r="50" spans="2:23" ht="14.65" customHeight="1" x14ac:dyDescent="0.2">
      <c r="B50" s="36"/>
      <c r="C50" s="94" t="s">
        <v>63</v>
      </c>
      <c r="D50" s="153">
        <f>'Overview IB'!D56</f>
        <v>0</v>
      </c>
      <c r="E50" s="271" t="str">
        <f>IF('Overview IB'!E56 &gt; 0, 'Overview IB'!E56, "")</f>
        <v/>
      </c>
      <c r="F50" s="309"/>
      <c r="G50" s="43"/>
      <c r="H50" s="47"/>
      <c r="I50" s="46">
        <f t="shared" si="3"/>
        <v>0</v>
      </c>
      <c r="J50" s="267"/>
      <c r="K50" s="267"/>
      <c r="L50" s="267"/>
      <c r="M50" s="267"/>
      <c r="N50" s="267"/>
      <c r="O50" s="267"/>
      <c r="P50" s="267"/>
      <c r="Q50" s="267"/>
      <c r="R50" s="91"/>
      <c r="U50" s="297"/>
      <c r="V50" s="297"/>
      <c r="W50" s="297"/>
    </row>
    <row r="51" spans="2:23" ht="13.15" customHeight="1" x14ac:dyDescent="0.2">
      <c r="B51" s="36"/>
      <c r="C51" s="97" t="s">
        <v>123</v>
      </c>
      <c r="D51" s="153">
        <f>'Overview IB'!D57</f>
        <v>0</v>
      </c>
      <c r="E51" s="272"/>
      <c r="F51" s="310"/>
      <c r="G51" s="43"/>
      <c r="H51" s="47"/>
      <c r="I51" s="48">
        <f t="shared" si="3"/>
        <v>0</v>
      </c>
      <c r="J51" s="267"/>
      <c r="K51" s="267"/>
      <c r="L51" s="267"/>
      <c r="M51" s="267"/>
      <c r="N51" s="267"/>
      <c r="O51" s="267"/>
      <c r="P51" s="267"/>
      <c r="Q51" s="267"/>
      <c r="R51" s="91"/>
      <c r="U51" s="297"/>
      <c r="V51" s="297"/>
      <c r="W51" s="297"/>
    </row>
    <row r="52" spans="2:23" ht="14.65" customHeight="1" x14ac:dyDescent="0.2">
      <c r="B52" s="36"/>
      <c r="C52" s="97" t="s">
        <v>78</v>
      </c>
      <c r="D52" s="153">
        <f>'Overview IB'!D58</f>
        <v>0</v>
      </c>
      <c r="E52" s="273"/>
      <c r="F52" s="311"/>
      <c r="G52" s="43"/>
      <c r="H52" s="47"/>
      <c r="I52" s="48">
        <f t="shared" si="3"/>
        <v>0</v>
      </c>
      <c r="J52" s="267"/>
      <c r="K52" s="267"/>
      <c r="L52" s="267"/>
      <c r="M52" s="267"/>
      <c r="N52" s="267"/>
      <c r="O52" s="267"/>
      <c r="P52" s="267"/>
      <c r="Q52" s="267"/>
      <c r="R52" s="91"/>
      <c r="U52" s="297"/>
      <c r="V52" s="297"/>
      <c r="W52" s="297"/>
    </row>
    <row r="53" spans="2:23" ht="13.15" customHeight="1" x14ac:dyDescent="0.2">
      <c r="B53" s="36"/>
      <c r="C53" s="99" t="s">
        <v>88</v>
      </c>
      <c r="D53" s="153">
        <f>'Overview IB'!D59</f>
        <v>0</v>
      </c>
      <c r="E53" s="271" t="str">
        <f>IF('Overview IB'!E59 &gt; 0, 'Overview IB'!E59, "")</f>
        <v/>
      </c>
      <c r="F53" s="309"/>
      <c r="G53" s="43"/>
      <c r="H53" s="47"/>
      <c r="I53" s="46">
        <f t="shared" si="3"/>
        <v>0</v>
      </c>
      <c r="J53" s="267"/>
      <c r="K53" s="267"/>
      <c r="L53" s="267"/>
      <c r="M53" s="267"/>
      <c r="N53" s="267"/>
      <c r="O53" s="267"/>
      <c r="P53" s="267"/>
      <c r="Q53" s="267"/>
      <c r="R53" s="91"/>
      <c r="U53" s="297"/>
      <c r="V53" s="297"/>
      <c r="W53" s="297"/>
    </row>
    <row r="54" spans="2:23" ht="15" x14ac:dyDescent="0.2">
      <c r="B54" s="36"/>
      <c r="C54" s="108" t="s">
        <v>89</v>
      </c>
      <c r="D54" s="153">
        <f>'Overview IB'!D60</f>
        <v>0</v>
      </c>
      <c r="E54" s="272"/>
      <c r="F54" s="310"/>
      <c r="G54" s="43"/>
      <c r="H54" s="47"/>
      <c r="I54" s="48">
        <f t="shared" si="3"/>
        <v>0</v>
      </c>
      <c r="J54" s="267"/>
      <c r="K54" s="267"/>
      <c r="L54" s="267"/>
      <c r="M54" s="267"/>
      <c r="N54" s="267"/>
      <c r="O54" s="267"/>
      <c r="P54" s="267"/>
      <c r="Q54" s="267"/>
      <c r="R54" s="91"/>
      <c r="U54" s="297"/>
      <c r="V54" s="297"/>
      <c r="W54" s="297"/>
    </row>
    <row r="55" spans="2:23" ht="15" x14ac:dyDescent="0.2">
      <c r="B55" s="36"/>
      <c r="C55" s="108" t="s">
        <v>90</v>
      </c>
      <c r="D55" s="153">
        <f>'Overview IB'!D61</f>
        <v>0</v>
      </c>
      <c r="E55" s="273"/>
      <c r="F55" s="311"/>
      <c r="G55" s="43"/>
      <c r="H55" s="47"/>
      <c r="I55" s="48">
        <f t="shared" si="3"/>
        <v>0</v>
      </c>
      <c r="J55" s="267"/>
      <c r="K55" s="267"/>
      <c r="L55" s="267"/>
      <c r="M55" s="267"/>
      <c r="N55" s="267"/>
      <c r="O55" s="267"/>
      <c r="P55" s="267"/>
      <c r="Q55" s="267"/>
      <c r="R55" s="91"/>
      <c r="U55" s="300"/>
      <c r="V55" s="300"/>
      <c r="W55" s="300"/>
    </row>
    <row r="56" spans="2:23" x14ac:dyDescent="0.2">
      <c r="B56" s="36"/>
      <c r="C56" s="316"/>
      <c r="D56" s="316"/>
      <c r="E56" s="49"/>
      <c r="F56" s="50"/>
      <c r="G56" s="50"/>
      <c r="H56" s="66"/>
      <c r="I56" s="51"/>
      <c r="J56" s="52"/>
      <c r="K56" s="52"/>
      <c r="L56" s="52"/>
      <c r="M56" s="111"/>
      <c r="N56" s="52"/>
      <c r="O56" s="52"/>
      <c r="P56" s="111"/>
      <c r="Q56" s="317"/>
      <c r="R56" s="318"/>
      <c r="U56" s="110"/>
      <c r="V56" s="110"/>
      <c r="W56" s="110"/>
    </row>
    <row r="57" spans="2:23" ht="27.6" customHeight="1" x14ac:dyDescent="0.2">
      <c r="B57" s="36"/>
      <c r="C57" s="205" t="s">
        <v>38</v>
      </c>
      <c r="D57" s="206"/>
      <c r="E57" s="206"/>
      <c r="F57" s="206"/>
      <c r="G57" s="37"/>
      <c r="H57" s="282" t="s">
        <v>37</v>
      </c>
      <c r="I57" s="283"/>
      <c r="J57" s="290" t="s">
        <v>74</v>
      </c>
      <c r="K57" s="291"/>
      <c r="L57" s="291"/>
      <c r="M57" s="291"/>
      <c r="N57" s="291"/>
      <c r="O57" s="291"/>
      <c r="P57" s="291"/>
      <c r="Q57" s="291"/>
      <c r="R57" s="91"/>
      <c r="U57" s="110"/>
      <c r="V57" s="110"/>
      <c r="W57" s="110"/>
    </row>
    <row r="58" spans="2:23" ht="13.15" customHeight="1" x14ac:dyDescent="0.2">
      <c r="B58" s="36"/>
      <c r="C58" s="202" t="s">
        <v>125</v>
      </c>
      <c r="D58" s="203"/>
      <c r="E58" s="203"/>
      <c r="F58" s="203"/>
      <c r="G58" s="37"/>
      <c r="H58" s="268"/>
      <c r="I58" s="269"/>
      <c r="J58" s="298"/>
      <c r="K58" s="299"/>
      <c r="L58" s="299"/>
      <c r="M58" s="299"/>
      <c r="N58" s="299"/>
      <c r="O58" s="299"/>
      <c r="P58" s="299"/>
      <c r="Q58" s="299"/>
      <c r="R58" s="91"/>
      <c r="U58" s="297"/>
      <c r="V58" s="297"/>
      <c r="W58" s="297"/>
    </row>
    <row r="59" spans="2:23" ht="15" x14ac:dyDescent="0.2">
      <c r="B59" s="36"/>
      <c r="C59" s="211" t="s">
        <v>44</v>
      </c>
      <c r="D59" s="212"/>
      <c r="E59" s="212"/>
      <c r="F59" s="212"/>
      <c r="G59" s="37"/>
      <c r="H59" s="268"/>
      <c r="I59" s="269"/>
      <c r="J59" s="267"/>
      <c r="K59" s="267"/>
      <c r="L59" s="267"/>
      <c r="M59" s="267"/>
      <c r="N59" s="267"/>
      <c r="O59" s="267"/>
      <c r="P59" s="267"/>
      <c r="Q59" s="267"/>
      <c r="R59" s="91"/>
      <c r="U59" s="110"/>
      <c r="V59" s="110"/>
      <c r="W59" s="110"/>
    </row>
    <row r="60" spans="2:23" ht="15" x14ac:dyDescent="0.2">
      <c r="B60" s="36"/>
      <c r="C60" s="211" t="s">
        <v>43</v>
      </c>
      <c r="D60" s="212"/>
      <c r="E60" s="212"/>
      <c r="F60" s="212"/>
      <c r="G60" s="37"/>
      <c r="H60" s="268">
        <v>364</v>
      </c>
      <c r="I60" s="269"/>
      <c r="J60" s="267"/>
      <c r="K60" s="267"/>
      <c r="L60" s="267"/>
      <c r="M60" s="267"/>
      <c r="N60" s="267"/>
      <c r="O60" s="267"/>
      <c r="P60" s="267"/>
      <c r="Q60" s="267"/>
      <c r="R60" s="91"/>
      <c r="U60" s="110"/>
      <c r="V60" s="110"/>
      <c r="W60" s="110"/>
    </row>
    <row r="61" spans="2:23" ht="15" x14ac:dyDescent="0.2">
      <c r="B61" s="36"/>
      <c r="C61" s="211" t="s">
        <v>128</v>
      </c>
      <c r="D61" s="212"/>
      <c r="E61" s="212"/>
      <c r="F61" s="212"/>
      <c r="G61" s="37"/>
      <c r="H61" s="280"/>
      <c r="I61" s="269"/>
      <c r="J61" s="277"/>
      <c r="K61" s="278"/>
      <c r="L61" s="278"/>
      <c r="M61" s="278"/>
      <c r="N61" s="278"/>
      <c r="O61" s="278"/>
      <c r="P61" s="278"/>
      <c r="Q61" s="279"/>
      <c r="R61" s="91"/>
      <c r="U61" s="110"/>
      <c r="V61" s="110"/>
      <c r="W61" s="110"/>
    </row>
    <row r="62" spans="2:23" ht="13.15" customHeight="1" x14ac:dyDescent="0.2">
      <c r="B62" s="36"/>
      <c r="C62" s="211" t="s">
        <v>108</v>
      </c>
      <c r="D62" s="212"/>
      <c r="E62" s="212"/>
      <c r="F62" s="212"/>
      <c r="G62" s="37"/>
      <c r="H62" s="268"/>
      <c r="I62" s="269"/>
      <c r="J62" s="267"/>
      <c r="K62" s="267"/>
      <c r="L62" s="267"/>
      <c r="M62" s="267"/>
      <c r="N62" s="267"/>
      <c r="O62" s="267"/>
      <c r="P62" s="267"/>
      <c r="Q62" s="267"/>
      <c r="R62" s="91"/>
      <c r="U62" s="110"/>
      <c r="V62" s="110"/>
      <c r="W62" s="110"/>
    </row>
    <row r="63" spans="2:23" ht="15" x14ac:dyDescent="0.2">
      <c r="B63" s="36"/>
      <c r="C63" s="211" t="s">
        <v>107</v>
      </c>
      <c r="D63" s="212"/>
      <c r="E63" s="212"/>
      <c r="F63" s="212"/>
      <c r="G63" s="37"/>
      <c r="H63" s="268"/>
      <c r="I63" s="269"/>
      <c r="J63" s="267"/>
      <c r="K63" s="267"/>
      <c r="L63" s="267"/>
      <c r="M63" s="267"/>
      <c r="N63" s="267"/>
      <c r="O63" s="267"/>
      <c r="P63" s="267"/>
      <c r="Q63" s="267"/>
      <c r="R63" s="91"/>
      <c r="U63" s="110"/>
      <c r="V63" s="110"/>
      <c r="W63" s="110"/>
    </row>
    <row r="64" spans="2:23" ht="15" x14ac:dyDescent="0.2">
      <c r="B64" s="36"/>
      <c r="C64" s="211" t="s">
        <v>45</v>
      </c>
      <c r="D64" s="212"/>
      <c r="E64" s="212"/>
      <c r="F64" s="212"/>
      <c r="G64" s="37"/>
      <c r="H64" s="268"/>
      <c r="I64" s="269"/>
      <c r="J64" s="267"/>
      <c r="K64" s="267"/>
      <c r="L64" s="267"/>
      <c r="M64" s="267"/>
      <c r="N64" s="267"/>
      <c r="O64" s="267"/>
      <c r="P64" s="267"/>
      <c r="Q64" s="267"/>
      <c r="R64" s="91"/>
      <c r="U64" s="110"/>
      <c r="V64" s="110"/>
      <c r="W64" s="110"/>
    </row>
    <row r="65" spans="2:23" ht="14.65" customHeight="1" x14ac:dyDescent="0.2">
      <c r="B65" s="36"/>
      <c r="C65" s="211" t="s">
        <v>73</v>
      </c>
      <c r="D65" s="212"/>
      <c r="E65" s="212"/>
      <c r="F65" s="212"/>
      <c r="G65" s="37"/>
      <c r="H65" s="268"/>
      <c r="I65" s="269"/>
      <c r="J65" s="267"/>
      <c r="K65" s="267"/>
      <c r="L65" s="267"/>
      <c r="M65" s="267"/>
      <c r="N65" s="267"/>
      <c r="O65" s="267"/>
      <c r="P65" s="267"/>
      <c r="Q65" s="267"/>
      <c r="R65" s="91"/>
      <c r="U65" s="110"/>
      <c r="V65" s="110"/>
      <c r="W65" s="110"/>
    </row>
    <row r="66" spans="2:23" ht="15" x14ac:dyDescent="0.2">
      <c r="B66" s="36"/>
      <c r="C66" s="202" t="s">
        <v>117</v>
      </c>
      <c r="D66" s="203"/>
      <c r="E66" s="203"/>
      <c r="F66" s="203"/>
      <c r="G66" s="37"/>
      <c r="H66" s="268"/>
      <c r="I66" s="269"/>
      <c r="J66" s="267"/>
      <c r="K66" s="267"/>
      <c r="L66" s="267"/>
      <c r="M66" s="267"/>
      <c r="N66" s="267"/>
      <c r="O66" s="267"/>
      <c r="P66" s="267"/>
      <c r="Q66" s="267"/>
      <c r="R66" s="91"/>
      <c r="U66" s="110"/>
      <c r="V66" s="110"/>
      <c r="W66" s="110"/>
    </row>
    <row r="67" spans="2:23" ht="15" x14ac:dyDescent="0.2">
      <c r="B67" s="36"/>
      <c r="C67" s="208" t="s">
        <v>103</v>
      </c>
      <c r="D67" s="209"/>
      <c r="E67" s="209"/>
      <c r="F67" s="209"/>
      <c r="G67" s="37"/>
      <c r="H67" s="268"/>
      <c r="I67" s="269"/>
      <c r="J67" s="267"/>
      <c r="K67" s="267"/>
      <c r="L67" s="267"/>
      <c r="M67" s="267"/>
      <c r="N67" s="267"/>
      <c r="O67" s="267"/>
      <c r="P67" s="267"/>
      <c r="Q67" s="267"/>
      <c r="R67" s="91"/>
      <c r="U67" s="110"/>
      <c r="V67" s="110"/>
      <c r="W67" s="110"/>
    </row>
    <row r="68" spans="2:23" ht="13.15" customHeight="1" x14ac:dyDescent="0.2">
      <c r="B68" s="36"/>
      <c r="C68" s="208" t="s">
        <v>104</v>
      </c>
      <c r="D68" s="209"/>
      <c r="E68" s="209"/>
      <c r="F68" s="209"/>
      <c r="G68" s="37"/>
      <c r="H68" s="268"/>
      <c r="I68" s="269"/>
      <c r="J68" s="267"/>
      <c r="K68" s="267"/>
      <c r="L68" s="267"/>
      <c r="M68" s="267"/>
      <c r="N68" s="267"/>
      <c r="O68" s="267"/>
      <c r="P68" s="267"/>
      <c r="Q68" s="267"/>
      <c r="R68" s="91"/>
      <c r="U68" s="110"/>
      <c r="V68" s="110"/>
      <c r="W68" s="110"/>
    </row>
    <row r="69" spans="2:23" ht="15" x14ac:dyDescent="0.2">
      <c r="B69" s="36"/>
      <c r="C69" s="183" t="s">
        <v>105</v>
      </c>
      <c r="D69" s="184"/>
      <c r="E69" s="184"/>
      <c r="F69" s="184"/>
      <c r="G69" s="37"/>
      <c r="H69" s="280"/>
      <c r="I69" s="269"/>
      <c r="J69" s="267"/>
      <c r="K69" s="267"/>
      <c r="L69" s="267"/>
      <c r="M69" s="267"/>
      <c r="N69" s="267"/>
      <c r="O69" s="267"/>
      <c r="P69" s="267"/>
      <c r="Q69" s="267"/>
      <c r="R69" s="91"/>
      <c r="U69" s="110"/>
      <c r="V69" s="110"/>
      <c r="W69" s="110"/>
    </row>
    <row r="70" spans="2:23" ht="15" x14ac:dyDescent="0.2">
      <c r="B70" s="36"/>
      <c r="C70" s="208" t="s">
        <v>98</v>
      </c>
      <c r="D70" s="209"/>
      <c r="E70" s="209"/>
      <c r="F70" s="209"/>
      <c r="G70" s="37"/>
      <c r="H70" s="280"/>
      <c r="I70" s="269"/>
      <c r="J70" s="267"/>
      <c r="K70" s="267"/>
      <c r="L70" s="267"/>
      <c r="M70" s="267"/>
      <c r="N70" s="267"/>
      <c r="O70" s="267"/>
      <c r="P70" s="267"/>
      <c r="Q70" s="267"/>
      <c r="R70" s="91"/>
      <c r="U70" s="110"/>
      <c r="V70" s="110"/>
      <c r="W70" s="110"/>
    </row>
    <row r="71" spans="2:23" ht="15" x14ac:dyDescent="0.2">
      <c r="B71" s="36"/>
      <c r="C71" s="202" t="s">
        <v>118</v>
      </c>
      <c r="D71" s="203"/>
      <c r="E71" s="203"/>
      <c r="F71" s="203"/>
      <c r="G71" s="37"/>
      <c r="H71" s="280"/>
      <c r="I71" s="269"/>
      <c r="J71" s="267"/>
      <c r="K71" s="267"/>
      <c r="L71" s="267"/>
      <c r="M71" s="267"/>
      <c r="N71" s="267"/>
      <c r="O71" s="267"/>
      <c r="P71" s="267"/>
      <c r="Q71" s="267"/>
      <c r="R71" s="91"/>
      <c r="U71" s="110"/>
      <c r="V71" s="110"/>
      <c r="W71" s="110"/>
    </row>
    <row r="72" spans="2:23" ht="15" x14ac:dyDescent="0.2">
      <c r="B72" s="36"/>
      <c r="C72" s="208" t="s">
        <v>40</v>
      </c>
      <c r="D72" s="209"/>
      <c r="E72" s="209"/>
      <c r="F72" s="209"/>
      <c r="G72" s="37"/>
      <c r="H72" s="280">
        <v>484</v>
      </c>
      <c r="I72" s="269"/>
      <c r="J72" s="267" t="s">
        <v>138</v>
      </c>
      <c r="K72" s="267"/>
      <c r="L72" s="267"/>
      <c r="M72" s="267"/>
      <c r="N72" s="267"/>
      <c r="O72" s="267"/>
      <c r="P72" s="267"/>
      <c r="Q72" s="267"/>
      <c r="R72" s="91"/>
      <c r="U72" s="110"/>
      <c r="V72" s="110"/>
      <c r="W72" s="110"/>
    </row>
    <row r="73" spans="2:23" ht="14.65" customHeight="1" x14ac:dyDescent="0.2">
      <c r="B73" s="36"/>
      <c r="C73" s="208" t="s">
        <v>41</v>
      </c>
      <c r="D73" s="209"/>
      <c r="E73" s="209"/>
      <c r="F73" s="209"/>
      <c r="G73" s="37"/>
      <c r="H73" s="268">
        <v>421</v>
      </c>
      <c r="I73" s="269"/>
      <c r="J73" s="267" t="s">
        <v>139</v>
      </c>
      <c r="K73" s="267"/>
      <c r="L73" s="267"/>
      <c r="M73" s="267"/>
      <c r="N73" s="267"/>
      <c r="O73" s="267"/>
      <c r="P73" s="267"/>
      <c r="Q73" s="267"/>
      <c r="R73" s="91"/>
      <c r="U73" s="110"/>
      <c r="V73" s="110"/>
      <c r="W73" s="110"/>
    </row>
    <row r="74" spans="2:23" ht="13.15" customHeight="1" x14ac:dyDescent="0.2">
      <c r="B74" s="36"/>
      <c r="C74" s="183" t="s">
        <v>99</v>
      </c>
      <c r="D74" s="184"/>
      <c r="E74" s="184"/>
      <c r="F74" s="184"/>
      <c r="G74" s="37"/>
      <c r="H74" s="268"/>
      <c r="I74" s="269"/>
      <c r="J74" s="267"/>
      <c r="K74" s="267"/>
      <c r="L74" s="267"/>
      <c r="M74" s="267"/>
      <c r="N74" s="267"/>
      <c r="O74" s="267"/>
      <c r="P74" s="267"/>
      <c r="Q74" s="267"/>
      <c r="R74" s="91"/>
      <c r="U74" s="110"/>
      <c r="V74" s="110"/>
      <c r="W74" s="110"/>
    </row>
    <row r="75" spans="2:23" ht="15" x14ac:dyDescent="0.2">
      <c r="B75" s="36"/>
      <c r="C75" s="183" t="s">
        <v>100</v>
      </c>
      <c r="D75" s="184"/>
      <c r="E75" s="184"/>
      <c r="F75" s="184"/>
      <c r="G75" s="37"/>
      <c r="H75" s="268"/>
      <c r="I75" s="269"/>
      <c r="J75" s="267"/>
      <c r="K75" s="267"/>
      <c r="L75" s="267"/>
      <c r="M75" s="267"/>
      <c r="N75" s="267"/>
      <c r="O75" s="267"/>
      <c r="P75" s="267"/>
      <c r="Q75" s="267"/>
      <c r="R75" s="91"/>
      <c r="U75" s="110"/>
      <c r="V75" s="110"/>
      <c r="W75" s="110"/>
    </row>
    <row r="76" spans="2:23" ht="13.15" customHeight="1" x14ac:dyDescent="0.2">
      <c r="B76" s="36"/>
      <c r="C76" s="183" t="s">
        <v>101</v>
      </c>
      <c r="D76" s="184"/>
      <c r="E76" s="184"/>
      <c r="F76" s="184"/>
      <c r="G76" s="37"/>
      <c r="H76" s="268"/>
      <c r="I76" s="269"/>
      <c r="J76" s="267"/>
      <c r="K76" s="267"/>
      <c r="L76" s="267"/>
      <c r="M76" s="267"/>
      <c r="N76" s="267"/>
      <c r="O76" s="267"/>
      <c r="P76" s="267"/>
      <c r="Q76" s="267"/>
      <c r="R76" s="91"/>
      <c r="U76" s="110"/>
      <c r="V76" s="110"/>
      <c r="W76" s="110"/>
    </row>
    <row r="77" spans="2:23" ht="15" x14ac:dyDescent="0.2">
      <c r="B77" s="36"/>
      <c r="C77" s="183" t="s">
        <v>102</v>
      </c>
      <c r="D77" s="184"/>
      <c r="E77" s="184"/>
      <c r="F77" s="184"/>
      <c r="G77" s="37"/>
      <c r="H77" s="280"/>
      <c r="I77" s="269"/>
      <c r="J77" s="267"/>
      <c r="K77" s="267"/>
      <c r="L77" s="267"/>
      <c r="M77" s="267"/>
      <c r="N77" s="267"/>
      <c r="O77" s="267"/>
      <c r="P77" s="267"/>
      <c r="Q77" s="267"/>
      <c r="R77" s="91"/>
      <c r="U77" s="110"/>
      <c r="V77" s="110"/>
      <c r="W77" s="110"/>
    </row>
    <row r="78" spans="2:23" ht="26.1" customHeight="1" x14ac:dyDescent="0.2">
      <c r="B78" s="36"/>
      <c r="C78" s="202" t="s">
        <v>39</v>
      </c>
      <c r="D78" s="203"/>
      <c r="E78" s="203"/>
      <c r="F78" s="203"/>
      <c r="G78" s="37"/>
      <c r="H78" s="268"/>
      <c r="I78" s="269"/>
      <c r="J78" s="267"/>
      <c r="K78" s="267"/>
      <c r="L78" s="267"/>
      <c r="M78" s="267"/>
      <c r="N78" s="267"/>
      <c r="O78" s="267"/>
      <c r="P78" s="267"/>
      <c r="Q78" s="267"/>
      <c r="R78" s="91"/>
      <c r="U78" s="110"/>
      <c r="V78" s="110"/>
      <c r="W78" s="110"/>
    </row>
    <row r="79" spans="2:23" ht="14.45" customHeight="1" x14ac:dyDescent="0.2">
      <c r="B79" s="36"/>
      <c r="C79" s="205" t="s">
        <v>46</v>
      </c>
      <c r="D79" s="206"/>
      <c r="E79" s="206"/>
      <c r="F79" s="206"/>
      <c r="G79" s="37"/>
      <c r="H79" s="282" t="s">
        <v>37</v>
      </c>
      <c r="I79" s="283"/>
      <c r="J79" s="290" t="s">
        <v>74</v>
      </c>
      <c r="K79" s="291"/>
      <c r="L79" s="291"/>
      <c r="M79" s="291"/>
      <c r="N79" s="291"/>
      <c r="O79" s="291"/>
      <c r="P79" s="291"/>
      <c r="Q79" s="291"/>
      <c r="R79" s="91"/>
      <c r="U79" s="110"/>
      <c r="V79" s="110"/>
      <c r="W79" s="110"/>
    </row>
    <row r="80" spans="2:23" ht="14.45" customHeight="1" x14ac:dyDescent="0.2">
      <c r="B80" s="36"/>
      <c r="C80" s="202" t="s">
        <v>106</v>
      </c>
      <c r="D80" s="203"/>
      <c r="E80" s="203"/>
      <c r="F80" s="203"/>
      <c r="G80" s="37"/>
      <c r="H80" s="268"/>
      <c r="I80" s="269"/>
      <c r="J80" s="267"/>
      <c r="K80" s="267"/>
      <c r="L80" s="267"/>
      <c r="M80" s="267"/>
      <c r="N80" s="267"/>
      <c r="O80" s="267"/>
      <c r="P80" s="267"/>
      <c r="Q80" s="267"/>
      <c r="R80" s="91"/>
      <c r="U80" s="110"/>
      <c r="V80" s="110"/>
      <c r="W80" s="110"/>
    </row>
    <row r="81" spans="2:24" ht="27.6" customHeight="1" x14ac:dyDescent="0.2">
      <c r="B81" s="36"/>
      <c r="C81" s="202" t="s">
        <v>96</v>
      </c>
      <c r="D81" s="203"/>
      <c r="E81" s="203" t="s">
        <v>85</v>
      </c>
      <c r="F81" s="203" t="s">
        <v>85</v>
      </c>
      <c r="G81" s="37"/>
      <c r="H81" s="280"/>
      <c r="I81" s="269"/>
      <c r="J81" s="267"/>
      <c r="K81" s="267"/>
      <c r="L81" s="267"/>
      <c r="M81" s="267"/>
      <c r="N81" s="267"/>
      <c r="O81" s="267"/>
      <c r="P81" s="267"/>
      <c r="Q81" s="267"/>
      <c r="R81" s="91"/>
      <c r="U81" s="110"/>
      <c r="V81" s="110"/>
      <c r="W81" s="110"/>
    </row>
    <row r="82" spans="2:24" ht="14.45" customHeight="1" x14ac:dyDescent="0.2">
      <c r="B82" s="36"/>
      <c r="C82" s="202" t="s">
        <v>93</v>
      </c>
      <c r="D82" s="203"/>
      <c r="E82" s="203" t="s">
        <v>85</v>
      </c>
      <c r="F82" s="203" t="s">
        <v>85</v>
      </c>
      <c r="G82" s="37"/>
      <c r="H82" s="268"/>
      <c r="I82" s="269"/>
      <c r="J82" s="267"/>
      <c r="K82" s="267"/>
      <c r="L82" s="267"/>
      <c r="M82" s="267"/>
      <c r="N82" s="267"/>
      <c r="O82" s="267"/>
      <c r="P82" s="267"/>
      <c r="Q82" s="267"/>
      <c r="R82" s="91"/>
      <c r="U82" s="110"/>
      <c r="V82" s="110"/>
      <c r="W82" s="110"/>
    </row>
    <row r="83" spans="2:24" s="79" customFormat="1" ht="14.65" customHeight="1" x14ac:dyDescent="0.2">
      <c r="B83" s="36"/>
      <c r="C83" s="202" t="s">
        <v>92</v>
      </c>
      <c r="D83" s="203"/>
      <c r="E83" s="203"/>
      <c r="F83" s="203"/>
      <c r="G83" s="37"/>
      <c r="H83" s="268"/>
      <c r="I83" s="269"/>
      <c r="J83" s="267"/>
      <c r="K83" s="267"/>
      <c r="L83" s="267"/>
      <c r="M83" s="267"/>
      <c r="N83" s="267"/>
      <c r="O83" s="267"/>
      <c r="P83" s="267"/>
      <c r="Q83" s="267"/>
      <c r="R83" s="91"/>
      <c r="S83" s="81"/>
      <c r="T83" s="81"/>
      <c r="U83" s="81"/>
      <c r="V83" s="81"/>
      <c r="W83" s="81"/>
      <c r="X83" s="81"/>
    </row>
    <row r="84" spans="2:24" s="81" customFormat="1" ht="14.65" customHeight="1" x14ac:dyDescent="0.2">
      <c r="B84" s="36"/>
      <c r="C84" s="202" t="s">
        <v>127</v>
      </c>
      <c r="D84" s="203"/>
      <c r="E84" s="203"/>
      <c r="F84" s="203"/>
      <c r="G84" s="37"/>
      <c r="H84" s="268"/>
      <c r="I84" s="269"/>
      <c r="J84" s="267"/>
      <c r="K84" s="267"/>
      <c r="L84" s="267"/>
      <c r="M84" s="267"/>
      <c r="N84" s="267"/>
      <c r="O84" s="267"/>
      <c r="P84" s="267"/>
      <c r="Q84" s="267"/>
      <c r="R84" s="90"/>
      <c r="S84" s="75"/>
      <c r="T84" s="75"/>
      <c r="U84" s="112"/>
    </row>
    <row r="85" spans="2:24" s="81" customFormat="1" ht="14.65" customHeight="1" x14ac:dyDescent="0.2">
      <c r="B85" s="36"/>
      <c r="C85" s="202" t="s">
        <v>95</v>
      </c>
      <c r="D85" s="203"/>
      <c r="E85" s="203" t="s">
        <v>85</v>
      </c>
      <c r="F85" s="203" t="s">
        <v>85</v>
      </c>
      <c r="G85" s="37"/>
      <c r="H85" s="268"/>
      <c r="I85" s="269"/>
      <c r="J85" s="267"/>
      <c r="K85" s="267"/>
      <c r="L85" s="267"/>
      <c r="M85" s="267"/>
      <c r="N85" s="267"/>
      <c r="O85" s="267"/>
      <c r="P85" s="267"/>
      <c r="Q85" s="267"/>
      <c r="R85" s="91"/>
      <c r="S85" s="112"/>
      <c r="T85" s="112"/>
      <c r="U85" s="112"/>
    </row>
    <row r="86" spans="2:24" s="81" customFormat="1" ht="15" x14ac:dyDescent="0.2">
      <c r="B86" s="36"/>
      <c r="C86" s="202" t="s">
        <v>94</v>
      </c>
      <c r="D86" s="203"/>
      <c r="E86" s="203" t="s">
        <v>85</v>
      </c>
      <c r="F86" s="203" t="s">
        <v>85</v>
      </c>
      <c r="G86" s="37"/>
      <c r="H86" s="268"/>
      <c r="I86" s="269"/>
      <c r="J86" s="267"/>
      <c r="K86" s="267"/>
      <c r="L86" s="267"/>
      <c r="M86" s="267"/>
      <c r="N86" s="267"/>
      <c r="O86" s="267"/>
      <c r="P86" s="267"/>
      <c r="Q86" s="267"/>
      <c r="R86" s="91"/>
      <c r="S86" s="112"/>
      <c r="T86" s="112"/>
      <c r="U86" s="112"/>
    </row>
    <row r="87" spans="2:24" s="81" customFormat="1" x14ac:dyDescent="0.2">
      <c r="B87" s="106"/>
      <c r="C87" s="53"/>
      <c r="D87" s="54"/>
      <c r="E87" s="55"/>
      <c r="F87" s="53"/>
      <c r="G87" s="53"/>
      <c r="H87" s="53"/>
      <c r="I87" s="53"/>
      <c r="J87" s="53"/>
      <c r="K87" s="54"/>
      <c r="L87" s="54"/>
      <c r="M87" s="54"/>
      <c r="N87" s="54"/>
      <c r="O87" s="54"/>
      <c r="P87" s="54"/>
      <c r="Q87" s="54"/>
      <c r="R87" s="92"/>
      <c r="S87" s="112"/>
      <c r="T87" s="112"/>
      <c r="U87" s="112"/>
    </row>
    <row r="88" spans="2:24" s="81" customFormat="1" x14ac:dyDescent="0.2">
      <c r="D88" s="112"/>
      <c r="E88" s="80"/>
      <c r="F88" s="80"/>
      <c r="G88" s="80"/>
      <c r="H88" s="80"/>
      <c r="I88" s="80"/>
      <c r="J88" s="80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</row>
    <row r="89" spans="2:24" s="81" customFormat="1" x14ac:dyDescent="0.2">
      <c r="D89" s="112"/>
      <c r="E89" s="82"/>
      <c r="F89" s="82"/>
      <c r="G89" s="82"/>
      <c r="H89" s="8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</row>
    <row r="90" spans="2:24" s="81" customFormat="1" x14ac:dyDescent="0.2">
      <c r="D90" s="112"/>
      <c r="E90" s="83"/>
      <c r="F90" s="83"/>
      <c r="G90" s="83"/>
      <c r="H90" s="83"/>
      <c r="I90" s="112"/>
      <c r="J90" s="112"/>
      <c r="K90" s="112"/>
      <c r="L90" s="112"/>
      <c r="M90" s="112"/>
      <c r="N90" s="112"/>
      <c r="O90" s="112"/>
      <c r="P90" s="112"/>
      <c r="R90" s="112"/>
      <c r="S90" s="112"/>
      <c r="T90" s="112"/>
      <c r="U90" s="112"/>
    </row>
    <row r="91" spans="2:24" s="81" customFormat="1" x14ac:dyDescent="0.2">
      <c r="D91" s="112"/>
      <c r="E91" s="83"/>
      <c r="F91" s="83"/>
      <c r="G91" s="83"/>
      <c r="H91" s="83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</row>
    <row r="92" spans="2:24" s="81" customFormat="1" x14ac:dyDescent="0.2">
      <c r="D92" s="112"/>
      <c r="E92" s="83"/>
      <c r="F92" s="83"/>
      <c r="G92" s="83"/>
      <c r="H92" s="83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</row>
    <row r="93" spans="2:24" s="75" customFormat="1" x14ac:dyDescent="0.2">
      <c r="C93" s="81"/>
      <c r="D93" s="112"/>
      <c r="E93" s="80"/>
      <c r="F93" s="80"/>
      <c r="G93" s="80"/>
      <c r="H93" s="80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</row>
    <row r="94" spans="2:24" s="75" customFormat="1" x14ac:dyDescent="0.2">
      <c r="D94" s="84"/>
      <c r="E94" s="74"/>
      <c r="F94" s="74"/>
      <c r="G94" s="74"/>
      <c r="H94" s="74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</row>
    <row r="95" spans="2:24" s="75" customFormat="1" x14ac:dyDescent="0.2">
      <c r="D95" s="84"/>
      <c r="E95" s="74"/>
      <c r="F95" s="74"/>
      <c r="G95" s="74"/>
      <c r="H95" s="74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</row>
    <row r="96" spans="2:24" s="75" customFormat="1" x14ac:dyDescent="0.2">
      <c r="D96" s="84"/>
      <c r="E96" s="74"/>
      <c r="F96" s="74"/>
      <c r="G96" s="74"/>
      <c r="H96" s="74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</row>
    <row r="97" spans="4:21" s="75" customFormat="1" x14ac:dyDescent="0.2">
      <c r="D97" s="84"/>
      <c r="E97" s="74"/>
      <c r="F97" s="74"/>
      <c r="G97" s="74"/>
      <c r="H97" s="74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</row>
    <row r="98" spans="4:21" s="75" customFormat="1" x14ac:dyDescent="0.2">
      <c r="D98" s="84"/>
      <c r="E98" s="74"/>
      <c r="F98" s="74"/>
      <c r="G98" s="74"/>
      <c r="H98" s="74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</row>
    <row r="99" spans="4:21" s="75" customFormat="1" x14ac:dyDescent="0.2">
      <c r="D99" s="84"/>
      <c r="E99" s="74"/>
      <c r="F99" s="74"/>
      <c r="G99" s="74"/>
      <c r="H99" s="74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</row>
    <row r="100" spans="4:21" s="75" customFormat="1" x14ac:dyDescent="0.2">
      <c r="D100" s="84"/>
      <c r="E100" s="74"/>
      <c r="F100" s="74"/>
      <c r="G100" s="74"/>
      <c r="H100" s="74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</row>
    <row r="101" spans="4:21" s="75" customFormat="1" x14ac:dyDescent="0.2">
      <c r="D101" s="84"/>
      <c r="E101" s="74"/>
      <c r="F101" s="74"/>
      <c r="G101" s="74"/>
      <c r="H101" s="74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</row>
    <row r="102" spans="4:21" s="75" customFormat="1" x14ac:dyDescent="0.2">
      <c r="D102" s="84"/>
      <c r="E102" s="74"/>
      <c r="F102" s="74"/>
      <c r="G102" s="74"/>
      <c r="H102" s="74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</row>
    <row r="103" spans="4:21" s="75" customFormat="1" x14ac:dyDescent="0.2">
      <c r="D103" s="84"/>
      <c r="E103" s="74"/>
      <c r="F103" s="74"/>
      <c r="G103" s="74"/>
      <c r="H103" s="74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</row>
    <row r="104" spans="4:21" s="75" customFormat="1" x14ac:dyDescent="0.2">
      <c r="D104" s="84"/>
      <c r="E104" s="74"/>
      <c r="F104" s="74"/>
      <c r="G104" s="74"/>
      <c r="H104" s="74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</row>
    <row r="105" spans="4:21" s="75" customFormat="1" x14ac:dyDescent="0.2">
      <c r="D105" s="8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</row>
    <row r="106" spans="4:21" s="75" customFormat="1" x14ac:dyDescent="0.2">
      <c r="D106" s="8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</row>
    <row r="107" spans="4:21" s="75" customFormat="1" x14ac:dyDescent="0.2">
      <c r="D107" s="8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</row>
    <row r="108" spans="4:21" s="75" customFormat="1" x14ac:dyDescent="0.2">
      <c r="D108" s="8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</row>
    <row r="109" spans="4:21" s="75" customFormat="1" x14ac:dyDescent="0.2">
      <c r="D109" s="8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</row>
    <row r="110" spans="4:21" s="75" customFormat="1" x14ac:dyDescent="0.2">
      <c r="D110" s="8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</row>
    <row r="111" spans="4:21" s="75" customFormat="1" x14ac:dyDescent="0.2">
      <c r="D111" s="8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</row>
    <row r="112" spans="4:21" s="75" customFormat="1" x14ac:dyDescent="0.2">
      <c r="D112" s="8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</row>
    <row r="113" spans="4:17" s="75" customFormat="1" x14ac:dyDescent="0.2">
      <c r="D113" s="8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</row>
    <row r="114" spans="4:17" s="75" customFormat="1" x14ac:dyDescent="0.2">
      <c r="D114" s="8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</row>
    <row r="115" spans="4:17" s="75" customFormat="1" x14ac:dyDescent="0.2">
      <c r="D115" s="8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</row>
    <row r="116" spans="4:17" s="75" customFormat="1" x14ac:dyDescent="0.2">
      <c r="D116" s="8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</row>
    <row r="117" spans="4:17" s="75" customFormat="1" x14ac:dyDescent="0.2">
      <c r="D117" s="8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</row>
    <row r="118" spans="4:17" s="75" customFormat="1" x14ac:dyDescent="0.2">
      <c r="D118" s="8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</row>
    <row r="119" spans="4:17" s="75" customFormat="1" x14ac:dyDescent="0.2">
      <c r="D119" s="8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</row>
    <row r="120" spans="4:17" s="75" customFormat="1" x14ac:dyDescent="0.2">
      <c r="D120" s="8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</row>
    <row r="121" spans="4:17" s="75" customFormat="1" x14ac:dyDescent="0.2">
      <c r="D121" s="8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</row>
    <row r="122" spans="4:17" s="75" customFormat="1" x14ac:dyDescent="0.2">
      <c r="D122" s="8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</row>
    <row r="123" spans="4:17" s="75" customFormat="1" x14ac:dyDescent="0.2">
      <c r="D123" s="8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</row>
    <row r="124" spans="4:17" s="75" customFormat="1" x14ac:dyDescent="0.2">
      <c r="D124" s="8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</row>
    <row r="125" spans="4:17" s="75" customFormat="1" x14ac:dyDescent="0.2">
      <c r="D125" s="8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</row>
    <row r="126" spans="4:17" s="75" customFormat="1" x14ac:dyDescent="0.2">
      <c r="D126" s="8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</row>
    <row r="127" spans="4:17" s="75" customFormat="1" x14ac:dyDescent="0.2">
      <c r="D127" s="8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</row>
    <row r="128" spans="4:17" s="75" customFormat="1" x14ac:dyDescent="0.2">
      <c r="D128" s="8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</row>
    <row r="129" spans="4:17" s="75" customFormat="1" x14ac:dyDescent="0.2">
      <c r="D129" s="8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</row>
    <row r="130" spans="4:17" s="75" customFormat="1" x14ac:dyDescent="0.2">
      <c r="D130" s="8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</row>
    <row r="131" spans="4:17" s="75" customFormat="1" x14ac:dyDescent="0.2">
      <c r="D131" s="8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</row>
    <row r="132" spans="4:17" s="75" customFormat="1" x14ac:dyDescent="0.2">
      <c r="D132" s="8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</row>
    <row r="133" spans="4:17" s="75" customFormat="1" x14ac:dyDescent="0.2">
      <c r="D133" s="8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</row>
    <row r="134" spans="4:17" s="75" customFormat="1" x14ac:dyDescent="0.2">
      <c r="D134" s="8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</row>
    <row r="135" spans="4:17" s="75" customFormat="1" x14ac:dyDescent="0.2">
      <c r="D135" s="8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</row>
    <row r="136" spans="4:17" s="75" customFormat="1" x14ac:dyDescent="0.2">
      <c r="D136" s="8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</row>
    <row r="137" spans="4:17" s="75" customFormat="1" x14ac:dyDescent="0.2">
      <c r="D137" s="8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</row>
    <row r="138" spans="4:17" s="75" customFormat="1" x14ac:dyDescent="0.2">
      <c r="D138" s="8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</row>
    <row r="139" spans="4:17" s="75" customFormat="1" x14ac:dyDescent="0.2">
      <c r="D139" s="8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</row>
    <row r="140" spans="4:17" s="75" customFormat="1" x14ac:dyDescent="0.2">
      <c r="D140" s="8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</row>
    <row r="141" spans="4:17" s="75" customFormat="1" x14ac:dyDescent="0.2">
      <c r="D141" s="8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</row>
    <row r="142" spans="4:17" s="75" customFormat="1" x14ac:dyDescent="0.2">
      <c r="D142" s="8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</row>
    <row r="143" spans="4:17" s="75" customFormat="1" x14ac:dyDescent="0.2">
      <c r="D143" s="8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</row>
    <row r="144" spans="4:17" s="75" customFormat="1" x14ac:dyDescent="0.2">
      <c r="D144" s="8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</row>
    <row r="145" spans="4:17" s="75" customFormat="1" x14ac:dyDescent="0.2">
      <c r="D145" s="8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</row>
    <row r="146" spans="4:17" s="75" customFormat="1" x14ac:dyDescent="0.2">
      <c r="D146" s="8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</row>
    <row r="147" spans="4:17" s="75" customFormat="1" x14ac:dyDescent="0.2">
      <c r="D147" s="8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</row>
    <row r="148" spans="4:17" s="75" customFormat="1" x14ac:dyDescent="0.2">
      <c r="D148" s="8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</row>
    <row r="149" spans="4:17" s="75" customFormat="1" x14ac:dyDescent="0.2">
      <c r="D149" s="8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</row>
    <row r="150" spans="4:17" s="75" customFormat="1" x14ac:dyDescent="0.2">
      <c r="D150" s="8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</row>
    <row r="151" spans="4:17" s="75" customFormat="1" x14ac:dyDescent="0.2">
      <c r="D151" s="8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</row>
    <row r="152" spans="4:17" s="75" customFormat="1" x14ac:dyDescent="0.2">
      <c r="D152" s="8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</row>
    <row r="153" spans="4:17" s="75" customFormat="1" x14ac:dyDescent="0.2">
      <c r="D153" s="8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</row>
    <row r="154" spans="4:17" s="75" customFormat="1" x14ac:dyDescent="0.2">
      <c r="D154" s="8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</row>
    <row r="155" spans="4:17" s="75" customFormat="1" x14ac:dyDescent="0.2">
      <c r="D155" s="8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</row>
    <row r="156" spans="4:17" s="75" customFormat="1" x14ac:dyDescent="0.2">
      <c r="D156" s="8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</row>
    <row r="157" spans="4:17" s="75" customFormat="1" x14ac:dyDescent="0.2">
      <c r="D157" s="8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</row>
    <row r="158" spans="4:17" s="75" customFormat="1" x14ac:dyDescent="0.2">
      <c r="D158" s="8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</row>
    <row r="159" spans="4:17" s="75" customFormat="1" x14ac:dyDescent="0.2">
      <c r="D159" s="8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</row>
    <row r="160" spans="4:17" s="75" customFormat="1" x14ac:dyDescent="0.2">
      <c r="D160" s="8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</row>
    <row r="161" spans="4:17" s="75" customFormat="1" x14ac:dyDescent="0.2">
      <c r="D161" s="8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</row>
    <row r="162" spans="4:17" s="75" customFormat="1" x14ac:dyDescent="0.2">
      <c r="D162" s="8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</row>
    <row r="163" spans="4:17" s="75" customFormat="1" x14ac:dyDescent="0.2">
      <c r="D163" s="8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</row>
    <row r="164" spans="4:17" s="75" customFormat="1" x14ac:dyDescent="0.2">
      <c r="D164" s="8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</row>
    <row r="165" spans="4:17" s="75" customFormat="1" x14ac:dyDescent="0.2">
      <c r="D165" s="8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</row>
    <row r="166" spans="4:17" s="75" customFormat="1" x14ac:dyDescent="0.2">
      <c r="D166" s="8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</row>
    <row r="167" spans="4:17" s="75" customFormat="1" x14ac:dyDescent="0.2">
      <c r="D167" s="8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</row>
    <row r="168" spans="4:17" s="75" customFormat="1" x14ac:dyDescent="0.2">
      <c r="D168" s="8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</row>
    <row r="169" spans="4:17" s="75" customFormat="1" x14ac:dyDescent="0.2">
      <c r="D169" s="8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</row>
    <row r="170" spans="4:17" s="75" customFormat="1" x14ac:dyDescent="0.2">
      <c r="D170" s="8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</row>
    <row r="171" spans="4:17" s="75" customFormat="1" x14ac:dyDescent="0.2">
      <c r="D171" s="8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</row>
    <row r="172" spans="4:17" s="75" customFormat="1" x14ac:dyDescent="0.2">
      <c r="D172" s="8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</row>
    <row r="173" spans="4:17" s="75" customFormat="1" x14ac:dyDescent="0.2">
      <c r="D173" s="8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</row>
    <row r="174" spans="4:17" s="75" customFormat="1" x14ac:dyDescent="0.2">
      <c r="D174" s="8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</row>
    <row r="175" spans="4:17" s="75" customFormat="1" x14ac:dyDescent="0.2">
      <c r="D175" s="8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</row>
    <row r="176" spans="4:17" s="75" customFormat="1" x14ac:dyDescent="0.2">
      <c r="D176" s="8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</row>
    <row r="177" spans="4:17" s="75" customFormat="1" x14ac:dyDescent="0.2">
      <c r="D177" s="8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</row>
    <row r="178" spans="4:17" s="75" customFormat="1" x14ac:dyDescent="0.2">
      <c r="D178" s="8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</row>
    <row r="179" spans="4:17" s="75" customFormat="1" x14ac:dyDescent="0.2">
      <c r="D179" s="8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</row>
    <row r="180" spans="4:17" s="75" customFormat="1" x14ac:dyDescent="0.2">
      <c r="D180" s="8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</row>
    <row r="181" spans="4:17" s="75" customFormat="1" x14ac:dyDescent="0.2">
      <c r="D181" s="8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</row>
    <row r="182" spans="4:17" s="75" customFormat="1" x14ac:dyDescent="0.2">
      <c r="D182" s="8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</row>
    <row r="183" spans="4:17" s="75" customFormat="1" x14ac:dyDescent="0.2">
      <c r="D183" s="8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</row>
    <row r="184" spans="4:17" s="75" customFormat="1" x14ac:dyDescent="0.2">
      <c r="D184" s="8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</row>
    <row r="185" spans="4:17" s="75" customFormat="1" x14ac:dyDescent="0.2">
      <c r="D185" s="8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</row>
    <row r="186" spans="4:17" s="75" customFormat="1" x14ac:dyDescent="0.2">
      <c r="D186" s="8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</row>
    <row r="187" spans="4:17" s="75" customFormat="1" x14ac:dyDescent="0.2">
      <c r="D187" s="8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</row>
    <row r="188" spans="4:17" s="75" customFormat="1" x14ac:dyDescent="0.2">
      <c r="D188" s="8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</row>
    <row r="189" spans="4:17" s="75" customFormat="1" x14ac:dyDescent="0.2">
      <c r="D189" s="8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</row>
    <row r="190" spans="4:17" s="75" customFormat="1" x14ac:dyDescent="0.2">
      <c r="D190" s="8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</row>
    <row r="191" spans="4:17" s="75" customFormat="1" x14ac:dyDescent="0.2">
      <c r="D191" s="8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</row>
    <row r="192" spans="4:17" s="75" customFormat="1" x14ac:dyDescent="0.2">
      <c r="D192" s="8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</row>
    <row r="193" spans="4:17" s="75" customFormat="1" x14ac:dyDescent="0.2">
      <c r="D193" s="8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</row>
    <row r="194" spans="4:17" s="75" customFormat="1" x14ac:dyDescent="0.2">
      <c r="D194" s="8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</row>
    <row r="195" spans="4:17" s="75" customFormat="1" x14ac:dyDescent="0.2">
      <c r="D195" s="8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</row>
    <row r="196" spans="4:17" s="75" customFormat="1" x14ac:dyDescent="0.2">
      <c r="D196" s="8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</row>
    <row r="197" spans="4:17" s="75" customFormat="1" x14ac:dyDescent="0.2">
      <c r="D197" s="8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</row>
    <row r="198" spans="4:17" s="75" customFormat="1" x14ac:dyDescent="0.2">
      <c r="D198" s="8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</row>
    <row r="199" spans="4:17" s="75" customFormat="1" x14ac:dyDescent="0.2">
      <c r="D199" s="8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</row>
    <row r="200" spans="4:17" s="75" customFormat="1" x14ac:dyDescent="0.2">
      <c r="D200" s="8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</row>
    <row r="201" spans="4:17" s="75" customFormat="1" x14ac:dyDescent="0.2">
      <c r="D201" s="8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</row>
    <row r="202" spans="4:17" s="75" customFormat="1" x14ac:dyDescent="0.2">
      <c r="D202" s="8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</row>
    <row r="203" spans="4:17" s="75" customFormat="1" x14ac:dyDescent="0.2">
      <c r="D203" s="8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</row>
    <row r="204" spans="4:17" s="75" customFormat="1" x14ac:dyDescent="0.2">
      <c r="D204" s="8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</row>
    <row r="205" spans="4:17" s="75" customFormat="1" x14ac:dyDescent="0.2">
      <c r="D205" s="8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</row>
    <row r="206" spans="4:17" s="75" customFormat="1" x14ac:dyDescent="0.2">
      <c r="D206" s="8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</row>
    <row r="207" spans="4:17" s="75" customFormat="1" x14ac:dyDescent="0.2">
      <c r="D207" s="8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</row>
    <row r="208" spans="4:17" s="75" customFormat="1" x14ac:dyDescent="0.2">
      <c r="D208" s="8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</row>
    <row r="209" spans="4:17" s="75" customFormat="1" x14ac:dyDescent="0.2">
      <c r="D209" s="8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</row>
    <row r="210" spans="4:17" s="75" customFormat="1" x14ac:dyDescent="0.2">
      <c r="D210" s="8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</row>
    <row r="211" spans="4:17" s="75" customFormat="1" x14ac:dyDescent="0.2">
      <c r="D211" s="8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</row>
    <row r="212" spans="4:17" s="75" customFormat="1" x14ac:dyDescent="0.2">
      <c r="D212" s="8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</row>
    <row r="213" spans="4:17" s="75" customFormat="1" x14ac:dyDescent="0.2">
      <c r="D213" s="8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</row>
    <row r="214" spans="4:17" s="75" customFormat="1" x14ac:dyDescent="0.2">
      <c r="D214" s="8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</row>
    <row r="215" spans="4:17" s="75" customFormat="1" x14ac:dyDescent="0.2">
      <c r="D215" s="8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</row>
    <row r="216" spans="4:17" s="75" customFormat="1" x14ac:dyDescent="0.2">
      <c r="D216" s="8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</row>
    <row r="217" spans="4:17" s="75" customFormat="1" x14ac:dyDescent="0.2">
      <c r="D217" s="8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</row>
    <row r="218" spans="4:17" s="75" customFormat="1" x14ac:dyDescent="0.2">
      <c r="D218" s="8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</row>
    <row r="219" spans="4:17" s="75" customFormat="1" x14ac:dyDescent="0.2">
      <c r="D219" s="8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</row>
    <row r="220" spans="4:17" s="75" customFormat="1" x14ac:dyDescent="0.2">
      <c r="D220" s="8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</row>
    <row r="221" spans="4:17" s="75" customFormat="1" x14ac:dyDescent="0.2">
      <c r="D221" s="8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</row>
    <row r="222" spans="4:17" s="75" customFormat="1" x14ac:dyDescent="0.2">
      <c r="D222" s="8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</row>
    <row r="223" spans="4:17" s="75" customFormat="1" x14ac:dyDescent="0.2">
      <c r="D223" s="8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</row>
    <row r="224" spans="4:17" s="75" customFormat="1" x14ac:dyDescent="0.2">
      <c r="D224" s="8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</row>
    <row r="225" spans="4:17" s="75" customFormat="1" x14ac:dyDescent="0.2">
      <c r="D225" s="8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</row>
    <row r="226" spans="4:17" s="75" customFormat="1" x14ac:dyDescent="0.2">
      <c r="D226" s="8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</row>
    <row r="227" spans="4:17" s="75" customFormat="1" x14ac:dyDescent="0.2">
      <c r="D227" s="8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</row>
    <row r="228" spans="4:17" s="75" customFormat="1" x14ac:dyDescent="0.2">
      <c r="D228" s="8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</row>
    <row r="229" spans="4:17" s="75" customFormat="1" x14ac:dyDescent="0.2">
      <c r="D229" s="8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</row>
    <row r="230" spans="4:17" s="75" customFormat="1" x14ac:dyDescent="0.2">
      <c r="D230" s="8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</row>
    <row r="231" spans="4:17" s="75" customFormat="1" x14ac:dyDescent="0.2">
      <c r="D231" s="8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</row>
    <row r="232" spans="4:17" s="75" customFormat="1" x14ac:dyDescent="0.2">
      <c r="D232" s="8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</row>
    <row r="233" spans="4:17" s="75" customFormat="1" x14ac:dyDescent="0.2">
      <c r="D233" s="8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</row>
    <row r="234" spans="4:17" s="75" customFormat="1" x14ac:dyDescent="0.2">
      <c r="D234" s="8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</row>
    <row r="235" spans="4:17" s="75" customFormat="1" x14ac:dyDescent="0.2">
      <c r="D235" s="8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</row>
    <row r="236" spans="4:17" s="75" customFormat="1" x14ac:dyDescent="0.2">
      <c r="D236" s="8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</row>
    <row r="237" spans="4:17" s="75" customFormat="1" x14ac:dyDescent="0.2">
      <c r="D237" s="8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</row>
    <row r="238" spans="4:17" s="75" customFormat="1" x14ac:dyDescent="0.2">
      <c r="D238" s="8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</row>
    <row r="239" spans="4:17" s="75" customFormat="1" x14ac:dyDescent="0.2">
      <c r="D239" s="8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</row>
    <row r="240" spans="4:17" s="75" customFormat="1" x14ac:dyDescent="0.2">
      <c r="D240" s="8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</row>
    <row r="241" spans="4:17" s="75" customFormat="1" x14ac:dyDescent="0.2">
      <c r="D241" s="8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</row>
    <row r="242" spans="4:17" s="75" customFormat="1" x14ac:dyDescent="0.2">
      <c r="D242" s="8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</row>
    <row r="243" spans="4:17" s="75" customFormat="1" x14ac:dyDescent="0.2">
      <c r="D243" s="8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</row>
    <row r="244" spans="4:17" s="75" customFormat="1" x14ac:dyDescent="0.2">
      <c r="D244" s="8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</row>
    <row r="245" spans="4:17" s="75" customFormat="1" x14ac:dyDescent="0.2">
      <c r="D245" s="8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</row>
    <row r="246" spans="4:17" s="75" customFormat="1" x14ac:dyDescent="0.2">
      <c r="D246" s="8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</row>
    <row r="247" spans="4:17" s="75" customFormat="1" x14ac:dyDescent="0.2">
      <c r="D247" s="8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</row>
    <row r="248" spans="4:17" s="75" customFormat="1" x14ac:dyDescent="0.2">
      <c r="D248" s="8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</row>
    <row r="249" spans="4:17" s="75" customFormat="1" x14ac:dyDescent="0.2">
      <c r="D249" s="8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</row>
    <row r="250" spans="4:17" s="75" customFormat="1" x14ac:dyDescent="0.2">
      <c r="D250" s="8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</row>
    <row r="251" spans="4:17" s="75" customFormat="1" x14ac:dyDescent="0.2">
      <c r="D251" s="8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</row>
    <row r="252" spans="4:17" s="75" customFormat="1" x14ac:dyDescent="0.2">
      <c r="D252" s="8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</row>
    <row r="253" spans="4:17" s="75" customFormat="1" x14ac:dyDescent="0.2">
      <c r="D253" s="8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</row>
    <row r="254" spans="4:17" s="75" customFormat="1" x14ac:dyDescent="0.2">
      <c r="D254" s="8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</row>
    <row r="255" spans="4:17" s="75" customFormat="1" x14ac:dyDescent="0.2">
      <c r="D255" s="8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</row>
    <row r="256" spans="4:17" s="75" customFormat="1" x14ac:dyDescent="0.2">
      <c r="D256" s="8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</row>
    <row r="257" spans="4:17" s="75" customFormat="1" x14ac:dyDescent="0.2">
      <c r="D257" s="8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</row>
    <row r="258" spans="4:17" s="75" customFormat="1" x14ac:dyDescent="0.2">
      <c r="D258" s="8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</row>
    <row r="259" spans="4:17" s="75" customFormat="1" x14ac:dyDescent="0.2">
      <c r="D259" s="8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</row>
    <row r="260" spans="4:17" s="75" customFormat="1" x14ac:dyDescent="0.2">
      <c r="D260" s="8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</row>
    <row r="261" spans="4:17" s="75" customFormat="1" x14ac:dyDescent="0.2">
      <c r="D261" s="8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</row>
    <row r="262" spans="4:17" s="75" customFormat="1" x14ac:dyDescent="0.2">
      <c r="D262" s="8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</row>
    <row r="263" spans="4:17" s="75" customFormat="1" x14ac:dyDescent="0.2">
      <c r="D263" s="8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</row>
    <row r="264" spans="4:17" s="75" customFormat="1" x14ac:dyDescent="0.2">
      <c r="D264" s="8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</row>
    <row r="265" spans="4:17" s="75" customFormat="1" x14ac:dyDescent="0.2">
      <c r="D265" s="8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</row>
    <row r="266" spans="4:17" s="75" customFormat="1" x14ac:dyDescent="0.2">
      <c r="D266" s="8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</row>
    <row r="267" spans="4:17" s="75" customFormat="1" x14ac:dyDescent="0.2">
      <c r="D267" s="8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</row>
    <row r="268" spans="4:17" s="75" customFormat="1" x14ac:dyDescent="0.2">
      <c r="D268" s="8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</row>
    <row r="269" spans="4:17" s="75" customFormat="1" x14ac:dyDescent="0.2">
      <c r="D269" s="8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</row>
    <row r="270" spans="4:17" s="75" customFormat="1" x14ac:dyDescent="0.2">
      <c r="D270" s="8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</row>
    <row r="271" spans="4:17" s="75" customFormat="1" x14ac:dyDescent="0.2">
      <c r="D271" s="8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</row>
    <row r="272" spans="4:17" s="75" customFormat="1" x14ac:dyDescent="0.2">
      <c r="D272" s="8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</row>
    <row r="273" spans="4:17" s="75" customFormat="1" x14ac:dyDescent="0.2">
      <c r="D273" s="8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</row>
    <row r="274" spans="4:17" s="75" customFormat="1" x14ac:dyDescent="0.2">
      <c r="D274" s="8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</row>
    <row r="275" spans="4:17" s="75" customFormat="1" x14ac:dyDescent="0.2">
      <c r="D275" s="8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</row>
    <row r="276" spans="4:17" s="75" customFormat="1" x14ac:dyDescent="0.2">
      <c r="D276" s="8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</row>
    <row r="277" spans="4:17" s="75" customFormat="1" x14ac:dyDescent="0.2">
      <c r="D277" s="8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</row>
    <row r="278" spans="4:17" s="75" customFormat="1" x14ac:dyDescent="0.2">
      <c r="D278" s="8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</row>
    <row r="279" spans="4:17" s="75" customFormat="1" x14ac:dyDescent="0.2">
      <c r="D279" s="8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</row>
    <row r="280" spans="4:17" s="75" customFormat="1" x14ac:dyDescent="0.2">
      <c r="D280" s="8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</row>
    <row r="281" spans="4:17" s="75" customFormat="1" x14ac:dyDescent="0.2">
      <c r="D281" s="8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</row>
    <row r="282" spans="4:17" s="75" customFormat="1" x14ac:dyDescent="0.2">
      <c r="D282" s="8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</row>
    <row r="283" spans="4:17" s="75" customFormat="1" x14ac:dyDescent="0.2">
      <c r="D283" s="8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</row>
    <row r="284" spans="4:17" s="75" customFormat="1" x14ac:dyDescent="0.2">
      <c r="D284" s="8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</row>
    <row r="285" spans="4:17" s="75" customFormat="1" x14ac:dyDescent="0.2">
      <c r="D285" s="8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</row>
    <row r="286" spans="4:17" s="75" customFormat="1" x14ac:dyDescent="0.2">
      <c r="D286" s="8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</row>
    <row r="287" spans="4:17" s="75" customFormat="1" x14ac:dyDescent="0.2">
      <c r="D287" s="8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</row>
    <row r="288" spans="4:17" s="75" customFormat="1" x14ac:dyDescent="0.2">
      <c r="D288" s="8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</row>
    <row r="289" spans="4:17" s="75" customFormat="1" x14ac:dyDescent="0.2">
      <c r="D289" s="8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</row>
    <row r="290" spans="4:17" s="75" customFormat="1" x14ac:dyDescent="0.2">
      <c r="D290" s="8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</row>
    <row r="291" spans="4:17" s="75" customFormat="1" x14ac:dyDescent="0.2">
      <c r="D291" s="8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</row>
    <row r="292" spans="4:17" s="75" customFormat="1" x14ac:dyDescent="0.2">
      <c r="D292" s="8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</row>
    <row r="293" spans="4:17" s="75" customFormat="1" x14ac:dyDescent="0.2">
      <c r="D293" s="8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</row>
    <row r="294" spans="4:17" s="75" customFormat="1" x14ac:dyDescent="0.2">
      <c r="D294" s="8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</row>
    <row r="295" spans="4:17" s="75" customFormat="1" x14ac:dyDescent="0.2">
      <c r="D295" s="8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</row>
    <row r="296" spans="4:17" s="75" customFormat="1" x14ac:dyDescent="0.2">
      <c r="D296" s="8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</row>
    <row r="297" spans="4:17" s="75" customFormat="1" x14ac:dyDescent="0.2">
      <c r="D297" s="8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</row>
    <row r="298" spans="4:17" s="75" customFormat="1" x14ac:dyDescent="0.2">
      <c r="D298" s="8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</row>
    <row r="299" spans="4:17" s="75" customFormat="1" x14ac:dyDescent="0.2">
      <c r="D299" s="8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</row>
    <row r="300" spans="4:17" s="75" customFormat="1" x14ac:dyDescent="0.2">
      <c r="D300" s="8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</row>
    <row r="301" spans="4:17" s="75" customFormat="1" x14ac:dyDescent="0.2">
      <c r="D301" s="8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</row>
    <row r="302" spans="4:17" s="75" customFormat="1" x14ac:dyDescent="0.2">
      <c r="D302" s="8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</row>
    <row r="303" spans="4:17" s="75" customFormat="1" x14ac:dyDescent="0.2">
      <c r="D303" s="8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</row>
    <row r="304" spans="4:17" s="75" customFormat="1" x14ac:dyDescent="0.2">
      <c r="D304" s="8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</row>
    <row r="305" spans="4:17" s="75" customFormat="1" x14ac:dyDescent="0.2">
      <c r="D305" s="8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</row>
    <row r="306" spans="4:17" s="75" customFormat="1" x14ac:dyDescent="0.2">
      <c r="D306" s="8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</row>
    <row r="307" spans="4:17" s="75" customFormat="1" x14ac:dyDescent="0.2">
      <c r="D307" s="8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</row>
    <row r="308" spans="4:17" s="75" customFormat="1" x14ac:dyDescent="0.2">
      <c r="D308" s="8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</row>
    <row r="309" spans="4:17" s="75" customFormat="1" x14ac:dyDescent="0.2">
      <c r="D309" s="8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</row>
    <row r="310" spans="4:17" s="75" customFormat="1" x14ac:dyDescent="0.2">
      <c r="D310" s="8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</row>
    <row r="311" spans="4:17" s="75" customFormat="1" x14ac:dyDescent="0.2">
      <c r="D311" s="8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</row>
    <row r="312" spans="4:17" s="75" customFormat="1" x14ac:dyDescent="0.2">
      <c r="D312" s="8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</row>
    <row r="313" spans="4:17" s="75" customFormat="1" x14ac:dyDescent="0.2">
      <c r="D313" s="8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</row>
    <row r="314" spans="4:17" s="75" customFormat="1" x14ac:dyDescent="0.2">
      <c r="D314" s="8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</row>
    <row r="315" spans="4:17" s="75" customFormat="1" x14ac:dyDescent="0.2">
      <c r="D315" s="8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</row>
    <row r="316" spans="4:17" s="75" customFormat="1" x14ac:dyDescent="0.2">
      <c r="D316" s="8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</row>
    <row r="317" spans="4:17" s="75" customFormat="1" x14ac:dyDescent="0.2">
      <c r="D317" s="8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</row>
    <row r="318" spans="4:17" s="75" customFormat="1" x14ac:dyDescent="0.2">
      <c r="D318" s="8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</row>
    <row r="319" spans="4:17" s="75" customFormat="1" x14ac:dyDescent="0.2">
      <c r="D319" s="8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</row>
    <row r="320" spans="4:17" s="75" customFormat="1" x14ac:dyDescent="0.2">
      <c r="D320" s="8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</row>
    <row r="321" spans="4:17" s="75" customFormat="1" x14ac:dyDescent="0.2">
      <c r="D321" s="8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</row>
    <row r="322" spans="4:17" s="75" customFormat="1" x14ac:dyDescent="0.2">
      <c r="D322" s="8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</row>
    <row r="323" spans="4:17" s="75" customFormat="1" x14ac:dyDescent="0.2">
      <c r="D323" s="8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</row>
    <row r="324" spans="4:17" s="75" customFormat="1" x14ac:dyDescent="0.2">
      <c r="D324" s="8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</row>
    <row r="325" spans="4:17" s="75" customFormat="1" x14ac:dyDescent="0.2">
      <c r="D325" s="8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</row>
    <row r="326" spans="4:17" s="75" customFormat="1" x14ac:dyDescent="0.2">
      <c r="D326" s="8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</row>
    <row r="327" spans="4:17" s="75" customFormat="1" x14ac:dyDescent="0.2">
      <c r="D327" s="8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</row>
    <row r="328" spans="4:17" s="75" customFormat="1" x14ac:dyDescent="0.2">
      <c r="D328" s="8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</row>
    <row r="329" spans="4:17" s="75" customFormat="1" x14ac:dyDescent="0.2">
      <c r="D329" s="8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</row>
    <row r="330" spans="4:17" s="75" customFormat="1" x14ac:dyDescent="0.2">
      <c r="D330" s="8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</row>
    <row r="331" spans="4:17" s="75" customFormat="1" x14ac:dyDescent="0.2">
      <c r="D331" s="8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</row>
    <row r="332" spans="4:17" s="75" customFormat="1" x14ac:dyDescent="0.2">
      <c r="D332" s="8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</row>
    <row r="333" spans="4:17" s="75" customFormat="1" x14ac:dyDescent="0.2">
      <c r="D333" s="8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</row>
    <row r="334" spans="4:17" s="75" customFormat="1" x14ac:dyDescent="0.2">
      <c r="D334" s="8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</row>
    <row r="335" spans="4:17" s="75" customFormat="1" x14ac:dyDescent="0.2">
      <c r="D335" s="8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</row>
    <row r="336" spans="4:17" s="75" customFormat="1" x14ac:dyDescent="0.2">
      <c r="D336" s="8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</row>
    <row r="337" spans="4:17" s="75" customFormat="1" x14ac:dyDescent="0.2">
      <c r="D337" s="8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</row>
    <row r="338" spans="4:17" s="75" customFormat="1" x14ac:dyDescent="0.2">
      <c r="D338" s="8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</row>
    <row r="339" spans="4:17" s="75" customFormat="1" x14ac:dyDescent="0.2">
      <c r="D339" s="8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</row>
    <row r="340" spans="4:17" s="75" customFormat="1" x14ac:dyDescent="0.2">
      <c r="D340" s="8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</row>
    <row r="341" spans="4:17" s="75" customFormat="1" x14ac:dyDescent="0.2">
      <c r="D341" s="8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</row>
    <row r="342" spans="4:17" s="75" customFormat="1" x14ac:dyDescent="0.2">
      <c r="D342" s="8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</row>
    <row r="343" spans="4:17" s="75" customFormat="1" x14ac:dyDescent="0.2">
      <c r="D343" s="8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</row>
    <row r="344" spans="4:17" s="75" customFormat="1" x14ac:dyDescent="0.2">
      <c r="D344" s="8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</row>
    <row r="345" spans="4:17" s="75" customFormat="1" x14ac:dyDescent="0.2">
      <c r="D345" s="8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</row>
    <row r="346" spans="4:17" s="75" customFormat="1" x14ac:dyDescent="0.2">
      <c r="D346" s="8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</row>
    <row r="347" spans="4:17" s="75" customFormat="1" x14ac:dyDescent="0.2">
      <c r="D347" s="8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</row>
    <row r="348" spans="4:17" s="75" customFormat="1" x14ac:dyDescent="0.2">
      <c r="D348" s="8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</row>
    <row r="349" spans="4:17" s="75" customFormat="1" x14ac:dyDescent="0.2">
      <c r="D349" s="8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</row>
    <row r="350" spans="4:17" s="75" customFormat="1" x14ac:dyDescent="0.2">
      <c r="D350" s="8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</row>
    <row r="351" spans="4:17" s="75" customFormat="1" x14ac:dyDescent="0.2">
      <c r="D351" s="8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</row>
    <row r="352" spans="4:17" s="75" customFormat="1" x14ac:dyDescent="0.2">
      <c r="D352" s="8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</row>
    <row r="353" spans="4:17" s="75" customFormat="1" x14ac:dyDescent="0.2">
      <c r="D353" s="8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</row>
    <row r="354" spans="4:17" s="75" customFormat="1" x14ac:dyDescent="0.2">
      <c r="D354" s="8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</row>
    <row r="355" spans="4:17" s="75" customFormat="1" x14ac:dyDescent="0.2">
      <c r="D355" s="8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</row>
    <row r="356" spans="4:17" s="75" customFormat="1" x14ac:dyDescent="0.2">
      <c r="D356" s="8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</row>
    <row r="357" spans="4:17" s="75" customFormat="1" x14ac:dyDescent="0.2">
      <c r="D357" s="8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</row>
    <row r="358" spans="4:17" s="75" customFormat="1" x14ac:dyDescent="0.2">
      <c r="D358" s="8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</row>
    <row r="359" spans="4:17" s="75" customFormat="1" x14ac:dyDescent="0.2">
      <c r="D359" s="8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</row>
    <row r="360" spans="4:17" s="75" customFormat="1" x14ac:dyDescent="0.2">
      <c r="D360" s="8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</row>
    <row r="361" spans="4:17" s="75" customFormat="1" x14ac:dyDescent="0.2">
      <c r="D361" s="8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</row>
    <row r="362" spans="4:17" s="75" customFormat="1" x14ac:dyDescent="0.2">
      <c r="D362" s="8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</row>
    <row r="363" spans="4:17" s="75" customFormat="1" x14ac:dyDescent="0.2">
      <c r="D363" s="8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</row>
    <row r="364" spans="4:17" s="75" customFormat="1" x14ac:dyDescent="0.2">
      <c r="D364" s="8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</row>
    <row r="365" spans="4:17" s="75" customFormat="1" x14ac:dyDescent="0.2">
      <c r="D365" s="8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</row>
    <row r="366" spans="4:17" s="75" customFormat="1" x14ac:dyDescent="0.2">
      <c r="D366" s="8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</row>
    <row r="367" spans="4:17" s="75" customFormat="1" x14ac:dyDescent="0.2">
      <c r="D367" s="8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</row>
    <row r="368" spans="4:17" s="75" customFormat="1" x14ac:dyDescent="0.2">
      <c r="D368" s="8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</row>
    <row r="369" spans="4:17" s="75" customFormat="1" x14ac:dyDescent="0.2">
      <c r="D369" s="8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</row>
    <row r="370" spans="4:17" s="75" customFormat="1" x14ac:dyDescent="0.2">
      <c r="D370" s="8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</row>
    <row r="371" spans="4:17" s="75" customFormat="1" x14ac:dyDescent="0.2">
      <c r="D371" s="8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</row>
    <row r="372" spans="4:17" s="75" customFormat="1" x14ac:dyDescent="0.2">
      <c r="D372" s="8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</row>
    <row r="373" spans="4:17" s="75" customFormat="1" x14ac:dyDescent="0.2">
      <c r="D373" s="8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</row>
    <row r="374" spans="4:17" s="75" customFormat="1" x14ac:dyDescent="0.2">
      <c r="D374" s="8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</row>
    <row r="375" spans="4:17" s="75" customFormat="1" x14ac:dyDescent="0.2">
      <c r="D375" s="8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</row>
    <row r="376" spans="4:17" s="75" customFormat="1" x14ac:dyDescent="0.2">
      <c r="D376" s="8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</row>
    <row r="377" spans="4:17" s="75" customFormat="1" x14ac:dyDescent="0.2">
      <c r="D377" s="8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</row>
    <row r="378" spans="4:17" s="75" customFormat="1" x14ac:dyDescent="0.2">
      <c r="D378" s="8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</row>
    <row r="379" spans="4:17" s="75" customFormat="1" x14ac:dyDescent="0.2">
      <c r="D379" s="8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</row>
    <row r="380" spans="4:17" s="75" customFormat="1" x14ac:dyDescent="0.2">
      <c r="D380" s="8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</row>
    <row r="381" spans="4:17" s="75" customFormat="1" x14ac:dyDescent="0.2">
      <c r="D381" s="8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</row>
    <row r="382" spans="4:17" s="75" customFormat="1" x14ac:dyDescent="0.2">
      <c r="D382" s="8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</row>
    <row r="383" spans="4:17" s="75" customFormat="1" x14ac:dyDescent="0.2">
      <c r="D383" s="8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</row>
    <row r="384" spans="4:17" s="75" customFormat="1" x14ac:dyDescent="0.2">
      <c r="D384" s="8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</row>
    <row r="385" spans="4:17" s="75" customFormat="1" x14ac:dyDescent="0.2">
      <c r="D385" s="8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</row>
    <row r="386" spans="4:17" s="75" customFormat="1" x14ac:dyDescent="0.2">
      <c r="D386" s="8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</row>
    <row r="387" spans="4:17" s="75" customFormat="1" x14ac:dyDescent="0.2">
      <c r="D387" s="8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</row>
    <row r="388" spans="4:17" s="75" customFormat="1" x14ac:dyDescent="0.2">
      <c r="D388" s="8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</row>
    <row r="389" spans="4:17" s="75" customFormat="1" x14ac:dyDescent="0.2">
      <c r="D389" s="8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</row>
    <row r="390" spans="4:17" s="75" customFormat="1" x14ac:dyDescent="0.2">
      <c r="D390" s="8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</row>
    <row r="391" spans="4:17" s="75" customFormat="1" x14ac:dyDescent="0.2">
      <c r="D391" s="8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</row>
    <row r="392" spans="4:17" s="75" customFormat="1" x14ac:dyDescent="0.2">
      <c r="D392" s="8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</row>
    <row r="393" spans="4:17" s="75" customFormat="1" x14ac:dyDescent="0.2">
      <c r="D393" s="8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</row>
    <row r="394" spans="4:17" s="75" customFormat="1" x14ac:dyDescent="0.2">
      <c r="D394" s="8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</row>
    <row r="395" spans="4:17" s="75" customFormat="1" x14ac:dyDescent="0.2">
      <c r="D395" s="8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</row>
    <row r="396" spans="4:17" s="75" customFormat="1" x14ac:dyDescent="0.2">
      <c r="D396" s="8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</row>
    <row r="397" spans="4:17" s="75" customFormat="1" x14ac:dyDescent="0.2">
      <c r="D397" s="8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</row>
    <row r="398" spans="4:17" s="75" customFormat="1" x14ac:dyDescent="0.2">
      <c r="D398" s="8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</row>
    <row r="399" spans="4:17" s="75" customFormat="1" x14ac:dyDescent="0.2">
      <c r="D399" s="8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</row>
    <row r="400" spans="4:17" s="75" customFormat="1" x14ac:dyDescent="0.2">
      <c r="D400" s="8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</row>
    <row r="401" spans="4:17" s="75" customFormat="1" x14ac:dyDescent="0.2">
      <c r="D401" s="8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</row>
    <row r="402" spans="4:17" s="75" customFormat="1" x14ac:dyDescent="0.2">
      <c r="D402" s="8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</row>
    <row r="403" spans="4:17" s="75" customFormat="1" x14ac:dyDescent="0.2">
      <c r="D403" s="8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</row>
    <row r="404" spans="4:17" s="75" customFormat="1" x14ac:dyDescent="0.2">
      <c r="D404" s="8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</row>
    <row r="405" spans="4:17" s="75" customFormat="1" x14ac:dyDescent="0.2">
      <c r="D405" s="8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</row>
    <row r="406" spans="4:17" s="75" customFormat="1" x14ac:dyDescent="0.2">
      <c r="D406" s="8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</row>
    <row r="407" spans="4:17" s="75" customFormat="1" x14ac:dyDescent="0.2">
      <c r="D407" s="8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</row>
    <row r="408" spans="4:17" s="75" customFormat="1" x14ac:dyDescent="0.2">
      <c r="D408" s="8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</row>
    <row r="409" spans="4:17" s="75" customFormat="1" x14ac:dyDescent="0.2">
      <c r="D409" s="8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</row>
    <row r="410" spans="4:17" s="75" customFormat="1" x14ac:dyDescent="0.2">
      <c r="D410" s="8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</row>
    <row r="411" spans="4:17" s="75" customFormat="1" x14ac:dyDescent="0.2">
      <c r="D411" s="8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</row>
    <row r="412" spans="4:17" s="75" customFormat="1" x14ac:dyDescent="0.2">
      <c r="D412" s="8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</row>
    <row r="413" spans="4:17" s="75" customFormat="1" x14ac:dyDescent="0.2">
      <c r="D413" s="8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</row>
    <row r="414" spans="4:17" s="75" customFormat="1" x14ac:dyDescent="0.2">
      <c r="D414" s="8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</row>
    <row r="415" spans="4:17" s="75" customFormat="1" x14ac:dyDescent="0.2">
      <c r="D415" s="8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</row>
    <row r="416" spans="4:17" s="75" customFormat="1" x14ac:dyDescent="0.2">
      <c r="D416" s="8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</row>
    <row r="417" spans="4:17" s="75" customFormat="1" x14ac:dyDescent="0.2">
      <c r="D417" s="8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</row>
    <row r="418" spans="4:17" s="75" customFormat="1" x14ac:dyDescent="0.2">
      <c r="D418" s="8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</row>
    <row r="419" spans="4:17" s="75" customFormat="1" x14ac:dyDescent="0.2">
      <c r="D419" s="8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</row>
    <row r="420" spans="4:17" s="75" customFormat="1" x14ac:dyDescent="0.2">
      <c r="D420" s="8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</row>
    <row r="421" spans="4:17" s="75" customFormat="1" x14ac:dyDescent="0.2">
      <c r="D421" s="8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</row>
    <row r="422" spans="4:17" s="75" customFormat="1" x14ac:dyDescent="0.2">
      <c r="D422" s="8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</row>
    <row r="423" spans="4:17" s="75" customFormat="1" x14ac:dyDescent="0.2">
      <c r="D423" s="8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</row>
    <row r="424" spans="4:17" s="75" customFormat="1" x14ac:dyDescent="0.2">
      <c r="D424" s="8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</row>
    <row r="425" spans="4:17" s="75" customFormat="1" x14ac:dyDescent="0.2">
      <c r="D425" s="8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</row>
    <row r="426" spans="4:17" s="75" customFormat="1" x14ac:dyDescent="0.2">
      <c r="D426" s="8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</row>
    <row r="427" spans="4:17" s="75" customFormat="1" x14ac:dyDescent="0.2">
      <c r="D427" s="8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</row>
    <row r="428" spans="4:17" s="75" customFormat="1" x14ac:dyDescent="0.2">
      <c r="D428" s="8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</row>
    <row r="429" spans="4:17" s="75" customFormat="1" x14ac:dyDescent="0.2">
      <c r="D429" s="8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</row>
    <row r="430" spans="4:17" s="75" customFormat="1" x14ac:dyDescent="0.2">
      <c r="D430" s="8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</row>
    <row r="431" spans="4:17" s="75" customFormat="1" x14ac:dyDescent="0.2">
      <c r="D431" s="8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</row>
    <row r="432" spans="4:17" s="75" customFormat="1" x14ac:dyDescent="0.2">
      <c r="D432" s="8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</row>
    <row r="433" spans="4:17" s="75" customFormat="1" x14ac:dyDescent="0.2">
      <c r="D433" s="8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</row>
    <row r="434" spans="4:17" s="75" customFormat="1" x14ac:dyDescent="0.2">
      <c r="D434" s="8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</row>
    <row r="435" spans="4:17" s="75" customFormat="1" x14ac:dyDescent="0.2">
      <c r="D435" s="8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</row>
    <row r="436" spans="4:17" s="75" customFormat="1" x14ac:dyDescent="0.2">
      <c r="D436" s="8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</row>
    <row r="437" spans="4:17" s="75" customFormat="1" x14ac:dyDescent="0.2">
      <c r="D437" s="8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</row>
    <row r="438" spans="4:17" s="75" customFormat="1" x14ac:dyDescent="0.2">
      <c r="D438" s="8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</row>
    <row r="439" spans="4:17" s="75" customFormat="1" x14ac:dyDescent="0.2">
      <c r="D439" s="8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</row>
    <row r="440" spans="4:17" s="75" customFormat="1" x14ac:dyDescent="0.2">
      <c r="D440" s="8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</row>
    <row r="441" spans="4:17" s="75" customFormat="1" x14ac:dyDescent="0.2">
      <c r="D441" s="8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</row>
    <row r="442" spans="4:17" s="75" customFormat="1" x14ac:dyDescent="0.2">
      <c r="D442" s="8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</row>
    <row r="443" spans="4:17" s="75" customFormat="1" x14ac:dyDescent="0.2">
      <c r="D443" s="8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</row>
    <row r="444" spans="4:17" s="75" customFormat="1" x14ac:dyDescent="0.2">
      <c r="D444" s="8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</row>
    <row r="445" spans="4:17" s="75" customFormat="1" x14ac:dyDescent="0.2">
      <c r="D445" s="8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</row>
    <row r="446" spans="4:17" s="75" customFormat="1" x14ac:dyDescent="0.2">
      <c r="D446" s="8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</row>
    <row r="447" spans="4:17" s="75" customFormat="1" x14ac:dyDescent="0.2">
      <c r="D447" s="8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</row>
    <row r="448" spans="4:17" s="75" customFormat="1" x14ac:dyDescent="0.2">
      <c r="D448" s="8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</row>
    <row r="449" spans="4:17" s="75" customFormat="1" x14ac:dyDescent="0.2">
      <c r="D449" s="8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</row>
    <row r="450" spans="4:17" s="75" customFormat="1" x14ac:dyDescent="0.2">
      <c r="D450" s="8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</row>
    <row r="451" spans="4:17" s="75" customFormat="1" x14ac:dyDescent="0.2">
      <c r="D451" s="8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</row>
    <row r="452" spans="4:17" s="75" customFormat="1" x14ac:dyDescent="0.2">
      <c r="D452" s="8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</row>
    <row r="453" spans="4:17" s="75" customFormat="1" x14ac:dyDescent="0.2">
      <c r="D453" s="8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</row>
    <row r="454" spans="4:17" s="75" customFormat="1" x14ac:dyDescent="0.2">
      <c r="D454" s="8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</row>
    <row r="455" spans="4:17" s="75" customFormat="1" x14ac:dyDescent="0.2">
      <c r="D455" s="8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</row>
    <row r="456" spans="4:17" s="75" customFormat="1" x14ac:dyDescent="0.2">
      <c r="D456" s="8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</row>
    <row r="457" spans="4:17" s="75" customFormat="1" x14ac:dyDescent="0.2">
      <c r="D457" s="8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</row>
    <row r="458" spans="4:17" s="75" customFormat="1" x14ac:dyDescent="0.2">
      <c r="D458" s="8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</row>
    <row r="459" spans="4:17" s="75" customFormat="1" x14ac:dyDescent="0.2">
      <c r="D459" s="8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</row>
    <row r="460" spans="4:17" s="75" customFormat="1" x14ac:dyDescent="0.2">
      <c r="D460" s="8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</row>
    <row r="461" spans="4:17" s="75" customFormat="1" x14ac:dyDescent="0.2">
      <c r="D461" s="8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</row>
    <row r="462" spans="4:17" s="75" customFormat="1" x14ac:dyDescent="0.2">
      <c r="D462" s="8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</row>
    <row r="463" spans="4:17" s="75" customFormat="1" x14ac:dyDescent="0.2">
      <c r="D463" s="8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</row>
    <row r="464" spans="4:17" s="75" customFormat="1" x14ac:dyDescent="0.2">
      <c r="D464" s="8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</row>
    <row r="465" spans="4:17" s="75" customFormat="1" x14ac:dyDescent="0.2">
      <c r="D465" s="8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</row>
    <row r="466" spans="4:17" s="75" customFormat="1" x14ac:dyDescent="0.2">
      <c r="D466" s="8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</row>
    <row r="467" spans="4:17" s="75" customFormat="1" x14ac:dyDescent="0.2">
      <c r="D467" s="8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</row>
    <row r="468" spans="4:17" s="75" customFormat="1" x14ac:dyDescent="0.2">
      <c r="D468" s="8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</row>
    <row r="469" spans="4:17" s="75" customFormat="1" x14ac:dyDescent="0.2">
      <c r="D469" s="8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</row>
    <row r="470" spans="4:17" s="75" customFormat="1" x14ac:dyDescent="0.2">
      <c r="D470" s="8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</row>
    <row r="471" spans="4:17" s="75" customFormat="1" x14ac:dyDescent="0.2">
      <c r="D471" s="8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</row>
    <row r="472" spans="4:17" s="75" customFormat="1" x14ac:dyDescent="0.2">
      <c r="D472" s="8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</row>
    <row r="473" spans="4:17" s="75" customFormat="1" x14ac:dyDescent="0.2">
      <c r="D473" s="8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</row>
    <row r="474" spans="4:17" s="75" customFormat="1" x14ac:dyDescent="0.2">
      <c r="D474" s="8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</row>
    <row r="475" spans="4:17" s="75" customFormat="1" x14ac:dyDescent="0.2">
      <c r="D475" s="8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</row>
    <row r="476" spans="4:17" s="75" customFormat="1" x14ac:dyDescent="0.2">
      <c r="D476" s="8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</row>
    <row r="477" spans="4:17" s="75" customFormat="1" x14ac:dyDescent="0.2">
      <c r="D477" s="8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</row>
    <row r="478" spans="4:17" s="75" customFormat="1" x14ac:dyDescent="0.2">
      <c r="D478" s="8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</row>
    <row r="479" spans="4:17" s="75" customFormat="1" x14ac:dyDescent="0.2">
      <c r="D479" s="8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</row>
    <row r="480" spans="4:17" s="75" customFormat="1" x14ac:dyDescent="0.2">
      <c r="D480" s="8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</row>
    <row r="481" spans="4:17" s="75" customFormat="1" x14ac:dyDescent="0.2">
      <c r="D481" s="8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</row>
    <row r="482" spans="4:17" s="75" customFormat="1" x14ac:dyDescent="0.2">
      <c r="D482" s="8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</row>
    <row r="483" spans="4:17" s="75" customFormat="1" x14ac:dyDescent="0.2">
      <c r="D483" s="8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</row>
    <row r="484" spans="4:17" s="75" customFormat="1" x14ac:dyDescent="0.2">
      <c r="D484" s="8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</row>
    <row r="485" spans="4:17" s="75" customFormat="1" x14ac:dyDescent="0.2">
      <c r="D485" s="8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</row>
    <row r="486" spans="4:17" s="75" customFormat="1" x14ac:dyDescent="0.2">
      <c r="D486" s="8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</row>
    <row r="487" spans="4:17" s="75" customFormat="1" x14ac:dyDescent="0.2">
      <c r="D487" s="8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</row>
    <row r="488" spans="4:17" s="75" customFormat="1" x14ac:dyDescent="0.2">
      <c r="D488" s="8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</row>
    <row r="489" spans="4:17" s="75" customFormat="1" x14ac:dyDescent="0.2">
      <c r="D489" s="8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</row>
    <row r="490" spans="4:17" s="75" customFormat="1" x14ac:dyDescent="0.2">
      <c r="D490" s="8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</row>
    <row r="491" spans="4:17" s="75" customFormat="1" x14ac:dyDescent="0.2">
      <c r="D491" s="8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</row>
    <row r="492" spans="4:17" s="75" customFormat="1" x14ac:dyDescent="0.2">
      <c r="D492" s="8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</row>
    <row r="493" spans="4:17" s="75" customFormat="1" x14ac:dyDescent="0.2">
      <c r="D493" s="8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</row>
    <row r="494" spans="4:17" s="75" customFormat="1" x14ac:dyDescent="0.2">
      <c r="D494" s="8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</row>
    <row r="495" spans="4:17" s="75" customFormat="1" x14ac:dyDescent="0.2">
      <c r="D495" s="8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</row>
    <row r="496" spans="4:17" s="75" customFormat="1" x14ac:dyDescent="0.2">
      <c r="D496" s="8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</row>
    <row r="497" spans="4:17" s="75" customFormat="1" x14ac:dyDescent="0.2">
      <c r="D497" s="8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</row>
    <row r="498" spans="4:17" s="75" customFormat="1" x14ac:dyDescent="0.2">
      <c r="D498" s="8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</row>
    <row r="499" spans="4:17" s="75" customFormat="1" x14ac:dyDescent="0.2">
      <c r="D499" s="8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</row>
    <row r="500" spans="4:17" s="75" customFormat="1" x14ac:dyDescent="0.2">
      <c r="D500" s="8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</row>
    <row r="501" spans="4:17" s="75" customFormat="1" x14ac:dyDescent="0.2">
      <c r="D501" s="8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</row>
    <row r="502" spans="4:17" s="75" customFormat="1" x14ac:dyDescent="0.2">
      <c r="D502" s="8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</row>
    <row r="503" spans="4:17" s="75" customFormat="1" x14ac:dyDescent="0.2">
      <c r="D503" s="8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</row>
    <row r="504" spans="4:17" s="75" customFormat="1" x14ac:dyDescent="0.2">
      <c r="D504" s="8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</row>
    <row r="505" spans="4:17" s="75" customFormat="1" x14ac:dyDescent="0.2">
      <c r="D505" s="8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</row>
    <row r="506" spans="4:17" s="75" customFormat="1" x14ac:dyDescent="0.2">
      <c r="D506" s="8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</row>
    <row r="507" spans="4:17" s="75" customFormat="1" x14ac:dyDescent="0.2">
      <c r="D507" s="8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</row>
    <row r="508" spans="4:17" s="75" customFormat="1" x14ac:dyDescent="0.2">
      <c r="D508" s="8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</row>
    <row r="509" spans="4:17" s="75" customFormat="1" x14ac:dyDescent="0.2">
      <c r="D509" s="8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</row>
    <row r="510" spans="4:17" s="75" customFormat="1" x14ac:dyDescent="0.2">
      <c r="D510" s="8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</row>
    <row r="511" spans="4:17" s="75" customFormat="1" x14ac:dyDescent="0.2">
      <c r="D511" s="8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</row>
    <row r="512" spans="4:17" s="75" customFormat="1" x14ac:dyDescent="0.2">
      <c r="D512" s="8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</row>
    <row r="513" spans="4:17" s="75" customFormat="1" x14ac:dyDescent="0.2">
      <c r="D513" s="8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</row>
    <row r="514" spans="4:17" s="75" customFormat="1" x14ac:dyDescent="0.2">
      <c r="D514" s="8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</row>
    <row r="515" spans="4:17" s="75" customFormat="1" x14ac:dyDescent="0.2">
      <c r="D515" s="8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</row>
    <row r="516" spans="4:17" s="75" customFormat="1" x14ac:dyDescent="0.2">
      <c r="D516" s="8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</row>
    <row r="517" spans="4:17" s="75" customFormat="1" x14ac:dyDescent="0.2">
      <c r="D517" s="8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</row>
    <row r="518" spans="4:17" s="75" customFormat="1" x14ac:dyDescent="0.2">
      <c r="D518" s="8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</row>
    <row r="519" spans="4:17" s="75" customFormat="1" x14ac:dyDescent="0.2">
      <c r="D519" s="8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</row>
    <row r="520" spans="4:17" s="75" customFormat="1" x14ac:dyDescent="0.2">
      <c r="D520" s="8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</row>
    <row r="521" spans="4:17" s="75" customFormat="1" x14ac:dyDescent="0.2">
      <c r="D521" s="8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</row>
    <row r="522" spans="4:17" s="75" customFormat="1" x14ac:dyDescent="0.2">
      <c r="D522" s="8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</row>
    <row r="523" spans="4:17" s="75" customFormat="1" x14ac:dyDescent="0.2">
      <c r="D523" s="8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</row>
    <row r="524" spans="4:17" s="75" customFormat="1" x14ac:dyDescent="0.2">
      <c r="D524" s="8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</row>
    <row r="525" spans="4:17" s="75" customFormat="1" x14ac:dyDescent="0.2">
      <c r="D525" s="8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</row>
    <row r="526" spans="4:17" s="75" customFormat="1" x14ac:dyDescent="0.2">
      <c r="D526" s="8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</row>
    <row r="527" spans="4:17" s="75" customFormat="1" x14ac:dyDescent="0.2">
      <c r="D527" s="8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</row>
    <row r="528" spans="4:17" s="75" customFormat="1" x14ac:dyDescent="0.2">
      <c r="D528" s="8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</row>
    <row r="529" spans="4:17" s="75" customFormat="1" x14ac:dyDescent="0.2">
      <c r="D529" s="8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</row>
    <row r="530" spans="4:17" s="75" customFormat="1" x14ac:dyDescent="0.2">
      <c r="D530" s="8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</row>
    <row r="531" spans="4:17" s="75" customFormat="1" x14ac:dyDescent="0.2">
      <c r="D531" s="8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</row>
    <row r="532" spans="4:17" s="75" customFormat="1" x14ac:dyDescent="0.2">
      <c r="D532" s="8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</row>
    <row r="533" spans="4:17" s="75" customFormat="1" x14ac:dyDescent="0.2">
      <c r="D533" s="8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</row>
    <row r="534" spans="4:17" s="75" customFormat="1" x14ac:dyDescent="0.2">
      <c r="D534" s="8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</row>
    <row r="535" spans="4:17" s="75" customFormat="1" x14ac:dyDescent="0.2">
      <c r="D535" s="8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</row>
    <row r="536" spans="4:17" s="75" customFormat="1" x14ac:dyDescent="0.2">
      <c r="D536" s="8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</row>
    <row r="537" spans="4:17" s="75" customFormat="1" x14ac:dyDescent="0.2">
      <c r="D537" s="8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</row>
    <row r="538" spans="4:17" s="75" customFormat="1" x14ac:dyDescent="0.2">
      <c r="D538" s="8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</row>
    <row r="539" spans="4:17" s="75" customFormat="1" x14ac:dyDescent="0.2">
      <c r="D539" s="8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</row>
    <row r="540" spans="4:17" s="75" customFormat="1" x14ac:dyDescent="0.2">
      <c r="D540" s="8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</row>
    <row r="541" spans="4:17" s="75" customFormat="1" x14ac:dyDescent="0.2">
      <c r="D541" s="8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</row>
    <row r="542" spans="4:17" s="75" customFormat="1" x14ac:dyDescent="0.2">
      <c r="D542" s="8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</row>
    <row r="543" spans="4:17" s="75" customFormat="1" x14ac:dyDescent="0.2">
      <c r="D543" s="8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</row>
    <row r="544" spans="4:17" s="75" customFormat="1" x14ac:dyDescent="0.2">
      <c r="D544" s="8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</row>
    <row r="545" spans="4:17" s="75" customFormat="1" x14ac:dyDescent="0.2">
      <c r="D545" s="8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</row>
    <row r="546" spans="4:17" s="75" customFormat="1" x14ac:dyDescent="0.2">
      <c r="D546" s="8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</row>
    <row r="547" spans="4:17" s="75" customFormat="1" x14ac:dyDescent="0.2">
      <c r="D547" s="8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</row>
    <row r="548" spans="4:17" s="75" customFormat="1" x14ac:dyDescent="0.2">
      <c r="D548" s="8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</row>
    <row r="549" spans="4:17" s="75" customFormat="1" x14ac:dyDescent="0.2">
      <c r="D549" s="8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</row>
    <row r="550" spans="4:17" s="75" customFormat="1" x14ac:dyDescent="0.2">
      <c r="D550" s="8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</row>
    <row r="551" spans="4:17" s="75" customFormat="1" x14ac:dyDescent="0.2">
      <c r="D551" s="8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</row>
    <row r="552" spans="4:17" s="75" customFormat="1" x14ac:dyDescent="0.2">
      <c r="D552" s="8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</row>
    <row r="553" spans="4:17" s="75" customFormat="1" x14ac:dyDescent="0.2">
      <c r="D553" s="8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</row>
    <row r="554" spans="4:17" s="75" customFormat="1" x14ac:dyDescent="0.2">
      <c r="D554" s="8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</row>
    <row r="555" spans="4:17" s="75" customFormat="1" x14ac:dyDescent="0.2">
      <c r="D555" s="8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</row>
    <row r="556" spans="4:17" s="75" customFormat="1" x14ac:dyDescent="0.2">
      <c r="D556" s="8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</row>
    <row r="557" spans="4:17" s="75" customFormat="1" x14ac:dyDescent="0.2">
      <c r="D557" s="8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</row>
  </sheetData>
  <sheetProtection password="FFFD" sheet="1" objects="1" scenarios="1" selectLockedCells="1"/>
  <mergeCells count="187">
    <mergeCell ref="C86:F86"/>
    <mergeCell ref="H86:I86"/>
    <mergeCell ref="J86:Q86"/>
    <mergeCell ref="E9:F9"/>
    <mergeCell ref="J9:Q9"/>
    <mergeCell ref="E10:F10"/>
    <mergeCell ref="J10:Q10"/>
    <mergeCell ref="H68:I68"/>
    <mergeCell ref="H69:I69"/>
    <mergeCell ref="H70:I70"/>
    <mergeCell ref="H71:I71"/>
    <mergeCell ref="H76:I76"/>
    <mergeCell ref="E11:F11"/>
    <mergeCell ref="J11:Q11"/>
    <mergeCell ref="E12:F13"/>
    <mergeCell ref="J12:Q12"/>
    <mergeCell ref="J13:Q13"/>
    <mergeCell ref="J28:Q28"/>
    <mergeCell ref="J38:Q38"/>
    <mergeCell ref="E46:F46"/>
    <mergeCell ref="J46:Q46"/>
    <mergeCell ref="E48:F49"/>
    <mergeCell ref="J48:Q48"/>
    <mergeCell ref="C58:F58"/>
    <mergeCell ref="H58:I58"/>
    <mergeCell ref="J58:Q58"/>
    <mergeCell ref="C68:F68"/>
    <mergeCell ref="C4:I4"/>
    <mergeCell ref="J4:Q4"/>
    <mergeCell ref="D5:I5"/>
    <mergeCell ref="J5:K5"/>
    <mergeCell ref="L5:Q5"/>
    <mergeCell ref="D6:I6"/>
    <mergeCell ref="J6:K6"/>
    <mergeCell ref="L6:Q6"/>
    <mergeCell ref="D7:I7"/>
    <mergeCell ref="J7:K7"/>
    <mergeCell ref="L7:Q7"/>
    <mergeCell ref="C63:F63"/>
    <mergeCell ref="H63:I63"/>
    <mergeCell ref="J63:Q63"/>
    <mergeCell ref="C64:F64"/>
    <mergeCell ref="H64:I64"/>
    <mergeCell ref="J64:Q64"/>
    <mergeCell ref="C61:F61"/>
    <mergeCell ref="H61:I61"/>
    <mergeCell ref="J61:Q61"/>
    <mergeCell ref="C62:F62"/>
    <mergeCell ref="U17:W17"/>
    <mergeCell ref="E18:F18"/>
    <mergeCell ref="J18:Q18"/>
    <mergeCell ref="U18:W18"/>
    <mergeCell ref="E19:F24"/>
    <mergeCell ref="J19:Q19"/>
    <mergeCell ref="J20:Q20"/>
    <mergeCell ref="U20:W20"/>
    <mergeCell ref="J21:Q21"/>
    <mergeCell ref="U21:W21"/>
    <mergeCell ref="E14:F17"/>
    <mergeCell ref="J14:Q14"/>
    <mergeCell ref="J15:Q15"/>
    <mergeCell ref="J16:Q16"/>
    <mergeCell ref="J17:Q17"/>
    <mergeCell ref="U28:W29"/>
    <mergeCell ref="J29:Q29"/>
    <mergeCell ref="J30:Q30"/>
    <mergeCell ref="U30:W30"/>
    <mergeCell ref="E31:F31"/>
    <mergeCell ref="J31:Q31"/>
    <mergeCell ref="U31:W31"/>
    <mergeCell ref="J22:Q22"/>
    <mergeCell ref="U22:W24"/>
    <mergeCell ref="J23:Q23"/>
    <mergeCell ref="J24:Q24"/>
    <mergeCell ref="E25:F30"/>
    <mergeCell ref="J25:Q25"/>
    <mergeCell ref="U25:W26"/>
    <mergeCell ref="J26:Q26"/>
    <mergeCell ref="J27:Q27"/>
    <mergeCell ref="U27:W27"/>
    <mergeCell ref="U38:W39"/>
    <mergeCell ref="J39:Q39"/>
    <mergeCell ref="J40:Q40"/>
    <mergeCell ref="U40:W41"/>
    <mergeCell ref="J41:Q41"/>
    <mergeCell ref="E32:F43"/>
    <mergeCell ref="J32:Q32"/>
    <mergeCell ref="U32:W33"/>
    <mergeCell ref="J33:Q33"/>
    <mergeCell ref="J34:Q34"/>
    <mergeCell ref="U34:W35"/>
    <mergeCell ref="J35:Q35"/>
    <mergeCell ref="J36:Q36"/>
    <mergeCell ref="U36:W37"/>
    <mergeCell ref="J37:Q37"/>
    <mergeCell ref="U55:W55"/>
    <mergeCell ref="C56:D56"/>
    <mergeCell ref="Q56:R56"/>
    <mergeCell ref="U46:W46"/>
    <mergeCell ref="E47:F47"/>
    <mergeCell ref="J47:Q47"/>
    <mergeCell ref="U47:W47"/>
    <mergeCell ref="J42:Q42"/>
    <mergeCell ref="U42:W43"/>
    <mergeCell ref="J43:Q43"/>
    <mergeCell ref="E44:F45"/>
    <mergeCell ref="J44:Q44"/>
    <mergeCell ref="J45:Q45"/>
    <mergeCell ref="U45:W45"/>
    <mergeCell ref="U58:W58"/>
    <mergeCell ref="C59:F59"/>
    <mergeCell ref="H59:I59"/>
    <mergeCell ref="J59:Q59"/>
    <mergeCell ref="C60:F60"/>
    <mergeCell ref="H60:I60"/>
    <mergeCell ref="J60:Q60"/>
    <mergeCell ref="U48:W48"/>
    <mergeCell ref="J49:Q49"/>
    <mergeCell ref="U49:W50"/>
    <mergeCell ref="E50:F52"/>
    <mergeCell ref="J50:Q50"/>
    <mergeCell ref="J51:Q51"/>
    <mergeCell ref="U51:W52"/>
    <mergeCell ref="J52:Q52"/>
    <mergeCell ref="C57:F57"/>
    <mergeCell ref="H57:I57"/>
    <mergeCell ref="J57:Q57"/>
    <mergeCell ref="E53:F55"/>
    <mergeCell ref="J53:Q53"/>
    <mergeCell ref="U53:W53"/>
    <mergeCell ref="J54:Q54"/>
    <mergeCell ref="U54:W54"/>
    <mergeCell ref="J55:Q55"/>
    <mergeCell ref="H62:I62"/>
    <mergeCell ref="J62:Q62"/>
    <mergeCell ref="C67:F67"/>
    <mergeCell ref="H67:I67"/>
    <mergeCell ref="J67:Q67"/>
    <mergeCell ref="J68:Q68"/>
    <mergeCell ref="J69:Q69"/>
    <mergeCell ref="C65:F65"/>
    <mergeCell ref="H65:I65"/>
    <mergeCell ref="J65:Q65"/>
    <mergeCell ref="C66:F66"/>
    <mergeCell ref="H66:I66"/>
    <mergeCell ref="J66:Q66"/>
    <mergeCell ref="H73:I73"/>
    <mergeCell ref="J73:Q73"/>
    <mergeCell ref="H74:I74"/>
    <mergeCell ref="J74:Q74"/>
    <mergeCell ref="H75:I75"/>
    <mergeCell ref="J75:Q75"/>
    <mergeCell ref="C70:F70"/>
    <mergeCell ref="J70:Q70"/>
    <mergeCell ref="C71:F71"/>
    <mergeCell ref="J71:Q71"/>
    <mergeCell ref="C72:F72"/>
    <mergeCell ref="H72:I72"/>
    <mergeCell ref="J72:Q72"/>
    <mergeCell ref="C73:F73"/>
    <mergeCell ref="C84:F84"/>
    <mergeCell ref="H84:I84"/>
    <mergeCell ref="J84:Q84"/>
    <mergeCell ref="C85:F85"/>
    <mergeCell ref="H85:I85"/>
    <mergeCell ref="J85:Q85"/>
    <mergeCell ref="C82:F82"/>
    <mergeCell ref="H82:I82"/>
    <mergeCell ref="J82:Q82"/>
    <mergeCell ref="C83:F83"/>
    <mergeCell ref="H83:I83"/>
    <mergeCell ref="J83:Q83"/>
    <mergeCell ref="C79:F79"/>
    <mergeCell ref="H79:I79"/>
    <mergeCell ref="J79:Q79"/>
    <mergeCell ref="C80:F80"/>
    <mergeCell ref="J80:Q80"/>
    <mergeCell ref="C81:F81"/>
    <mergeCell ref="H81:I81"/>
    <mergeCell ref="J81:Q81"/>
    <mergeCell ref="J76:Q76"/>
    <mergeCell ref="H77:I77"/>
    <mergeCell ref="J77:Q77"/>
    <mergeCell ref="C78:F78"/>
    <mergeCell ref="H78:I78"/>
    <mergeCell ref="J78:Q78"/>
    <mergeCell ref="H80:I80"/>
  </mergeCells>
  <conditionalFormatting sqref="I10">
    <cfRule type="cellIs" dxfId="15" priority="8" stopIfTrue="1" operator="notBetween">
      <formula>0</formula>
      <formula>999999999</formula>
    </cfRule>
  </conditionalFormatting>
  <conditionalFormatting sqref="I12:I17">
    <cfRule type="cellIs" dxfId="14" priority="30" stopIfTrue="1" operator="notBetween">
      <formula>0</formula>
      <formula>999999999</formula>
    </cfRule>
  </conditionalFormatting>
  <conditionalFormatting sqref="I19:J30">
    <cfRule type="cellIs" dxfId="13" priority="23" stopIfTrue="1" operator="notBetween">
      <formula>0</formula>
      <formula>999999999</formula>
    </cfRule>
  </conditionalFormatting>
  <conditionalFormatting sqref="J10:J17">
    <cfRule type="cellIs" dxfId="12" priority="27" stopIfTrue="1" operator="notBetween">
      <formula>0</formula>
      <formula>999999999</formula>
    </cfRule>
  </conditionalFormatting>
  <conditionalFormatting sqref="J32:J45">
    <cfRule type="cellIs" dxfId="11" priority="19" stopIfTrue="1" operator="notBetween">
      <formula>0</formula>
      <formula>999999999</formula>
    </cfRule>
  </conditionalFormatting>
  <conditionalFormatting sqref="J47:J55">
    <cfRule type="cellIs" dxfId="10" priority="14" stopIfTrue="1" operator="notBetween">
      <formula>0</formula>
      <formula>999999999</formula>
    </cfRule>
  </conditionalFormatting>
  <conditionalFormatting sqref="J58:J78">
    <cfRule type="cellIs" dxfId="9" priority="1" stopIfTrue="1" operator="notBetween">
      <formula>0</formula>
      <formula>999999999</formula>
    </cfRule>
  </conditionalFormatting>
  <conditionalFormatting sqref="J80:J86">
    <cfRule type="cellIs" dxfId="8" priority="2" stopIfTrue="1" operator="notBetween">
      <formula>0</formula>
      <formula>999999999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57"/>
  <sheetViews>
    <sheetView topLeftCell="A39" zoomScale="80" zoomScaleNormal="80" workbookViewId="0">
      <selection activeCell="H61" sqref="H61:I61"/>
    </sheetView>
  </sheetViews>
  <sheetFormatPr baseColWidth="10" defaultColWidth="11.42578125" defaultRowHeight="12.75" x14ac:dyDescent="0.2"/>
  <cols>
    <col min="1" max="2" width="3.7109375" style="71" customWidth="1"/>
    <col min="3" max="3" width="58.7109375" style="71" customWidth="1"/>
    <col min="4" max="4" width="14" style="72" customWidth="1"/>
    <col min="5" max="5" width="7.28515625" style="73" customWidth="1"/>
    <col min="6" max="6" width="17.5703125" style="73" customWidth="1"/>
    <col min="7" max="7" width="3.5703125" style="85" customWidth="1"/>
    <col min="8" max="8" width="11.42578125" style="73" customWidth="1"/>
    <col min="9" max="9" width="6.5703125" style="73" customWidth="1"/>
    <col min="10" max="10" width="21.5703125" style="85" customWidth="1"/>
    <col min="11" max="11" width="6.42578125" style="73" customWidth="1"/>
    <col min="12" max="12" width="2.28515625" style="85" customWidth="1"/>
    <col min="13" max="13" width="11.28515625" style="73" customWidth="1"/>
    <col min="14" max="14" width="7.28515625" style="73" customWidth="1"/>
    <col min="15" max="15" width="1.42578125" style="85" customWidth="1"/>
    <col min="16" max="16" width="11.5703125" style="73" customWidth="1"/>
    <col min="17" max="17" width="6.7109375" style="73" customWidth="1"/>
    <col min="18" max="18" width="3.7109375" style="71" customWidth="1"/>
    <col min="19" max="19" width="1.7109375" style="71" customWidth="1"/>
    <col min="20" max="20" width="3.7109375" style="75" customWidth="1"/>
    <col min="21" max="22" width="40.7109375" style="75" customWidth="1"/>
    <col min="23" max="23" width="48.28515625" style="75" customWidth="1"/>
    <col min="24" max="24" width="3.7109375" style="75" customWidth="1"/>
    <col min="25" max="16384" width="11.42578125" style="71"/>
  </cols>
  <sheetData>
    <row r="1" spans="1:24" ht="13.15" hidden="1" customHeight="1" x14ac:dyDescent="0.2">
      <c r="G1" s="74"/>
      <c r="J1" s="74"/>
      <c r="L1" s="74"/>
      <c r="O1" s="74"/>
    </row>
    <row r="2" spans="1:24" x14ac:dyDescent="0.2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76"/>
    </row>
    <row r="3" spans="1:24" ht="13.15" customHeight="1" x14ac:dyDescent="0.2">
      <c r="B3" s="86"/>
      <c r="C3" s="123"/>
      <c r="D3" s="124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/>
    </row>
    <row r="4" spans="1:24" ht="13.15" customHeight="1" x14ac:dyDescent="0.2">
      <c r="B4" s="87"/>
      <c r="C4" s="286" t="s">
        <v>109</v>
      </c>
      <c r="D4" s="286"/>
      <c r="E4" s="286"/>
      <c r="F4" s="286"/>
      <c r="G4" s="286"/>
      <c r="H4" s="286"/>
      <c r="I4" s="286"/>
      <c r="J4" s="286" t="s">
        <v>119</v>
      </c>
      <c r="K4" s="286"/>
      <c r="L4" s="286"/>
      <c r="M4" s="286"/>
      <c r="N4" s="286"/>
      <c r="O4" s="286"/>
      <c r="P4" s="286"/>
      <c r="Q4" s="286"/>
      <c r="R4" s="138"/>
    </row>
    <row r="5" spans="1:24" s="120" customFormat="1" ht="23.25" customHeight="1" x14ac:dyDescent="0.2">
      <c r="B5" s="87"/>
      <c r="C5" s="142" t="s">
        <v>110</v>
      </c>
      <c r="D5" s="266">
        <v>44562</v>
      </c>
      <c r="E5" s="266"/>
      <c r="F5" s="266"/>
      <c r="G5" s="266"/>
      <c r="H5" s="266"/>
      <c r="I5" s="266"/>
      <c r="J5" s="292" t="s">
        <v>17</v>
      </c>
      <c r="K5" s="292"/>
      <c r="L5" s="293">
        <f>IF('Overview IB'!D11="","",'Overview IB'!D11)</f>
        <v>44562</v>
      </c>
      <c r="M5" s="293"/>
      <c r="N5" s="293"/>
      <c r="O5" s="293"/>
      <c r="P5" s="293"/>
      <c r="Q5" s="293"/>
      <c r="R5" s="122"/>
    </row>
    <row r="6" spans="1:24" s="120" customFormat="1" ht="18.75" customHeight="1" x14ac:dyDescent="0.2">
      <c r="B6" s="87"/>
      <c r="C6" s="142" t="s">
        <v>111</v>
      </c>
      <c r="D6" s="266">
        <v>45291</v>
      </c>
      <c r="E6" s="266"/>
      <c r="F6" s="266"/>
      <c r="G6" s="266"/>
      <c r="H6" s="266"/>
      <c r="I6" s="266"/>
      <c r="J6" s="292" t="s">
        <v>18</v>
      </c>
      <c r="K6" s="292"/>
      <c r="L6" s="293">
        <f>IF('Overview IB'!D12="","",'Overview IB'!D12)</f>
        <v>45291</v>
      </c>
      <c r="M6" s="293"/>
      <c r="N6" s="293"/>
      <c r="O6" s="293"/>
      <c r="P6" s="293"/>
      <c r="Q6" s="293"/>
      <c r="R6" s="122"/>
    </row>
    <row r="7" spans="1:24" s="120" customFormat="1" ht="18.75" customHeight="1" x14ac:dyDescent="0.2">
      <c r="B7" s="87"/>
      <c r="C7" s="143" t="s">
        <v>36</v>
      </c>
      <c r="D7" s="295">
        <f>IF(OR(D5="",L7="befüllt sich automatisch"),0,((D6-D5)/30)/L7)</f>
        <v>1</v>
      </c>
      <c r="E7" s="295"/>
      <c r="F7" s="295"/>
      <c r="G7" s="295"/>
      <c r="H7" s="295"/>
      <c r="I7" s="295"/>
      <c r="J7" s="292" t="s">
        <v>72</v>
      </c>
      <c r="K7" s="292"/>
      <c r="L7" s="294">
        <f>IF(IF(OR(L6="",L5=""),"",(L6-L5)/30)="","befüllt sich automatisch",IF(OR(L6="",L5=""),"",(L6-L5)/30))</f>
        <v>24.3</v>
      </c>
      <c r="M7" s="294"/>
      <c r="N7" s="294"/>
      <c r="O7" s="294"/>
      <c r="P7" s="294"/>
      <c r="Q7" s="294"/>
      <c r="R7" s="122"/>
    </row>
    <row r="8" spans="1:24" x14ac:dyDescent="0.2">
      <c r="A8" s="76"/>
      <c r="B8" s="87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9"/>
      <c r="S8" s="76"/>
      <c r="T8" s="76"/>
      <c r="U8" s="76"/>
    </row>
    <row r="9" spans="1:24" s="76" customFormat="1" ht="37.15" customHeight="1" x14ac:dyDescent="0.2">
      <c r="B9" s="87"/>
      <c r="C9" s="109" t="s">
        <v>42</v>
      </c>
      <c r="D9" s="93" t="s">
        <v>86</v>
      </c>
      <c r="E9" s="260"/>
      <c r="F9" s="261"/>
      <c r="G9" s="37"/>
      <c r="H9" s="118" t="s">
        <v>37</v>
      </c>
      <c r="I9" s="39" t="s">
        <v>11</v>
      </c>
      <c r="J9" s="302" t="s">
        <v>74</v>
      </c>
      <c r="K9" s="302"/>
      <c r="L9" s="302"/>
      <c r="M9" s="302"/>
      <c r="N9" s="302"/>
      <c r="O9" s="302"/>
      <c r="P9" s="302"/>
      <c r="Q9" s="302"/>
      <c r="R9" s="90"/>
      <c r="T9" s="77"/>
      <c r="U9" s="78"/>
      <c r="V9" s="78"/>
      <c r="W9" s="78"/>
      <c r="X9" s="77"/>
    </row>
    <row r="10" spans="1:24" s="76" customFormat="1" ht="13.15" customHeight="1" x14ac:dyDescent="0.2">
      <c r="B10" s="87"/>
      <c r="C10" s="94" t="s">
        <v>121</v>
      </c>
      <c r="D10" s="153">
        <f>'Overview IB'!D16</f>
        <v>941</v>
      </c>
      <c r="E10" s="274" t="str">
        <f>IF('Overview IB'!E16 &gt; 0, 'Overview IB'!E16, "")</f>
        <v/>
      </c>
      <c r="F10" s="312"/>
      <c r="G10" s="40"/>
      <c r="H10" s="107">
        <v>1167</v>
      </c>
      <c r="I10" s="141">
        <f>IF(H10=0,0,H10/D10)</f>
        <v>1.2401700318809776</v>
      </c>
      <c r="J10" s="267"/>
      <c r="K10" s="267"/>
      <c r="L10" s="267"/>
      <c r="M10" s="267"/>
      <c r="N10" s="267"/>
      <c r="O10" s="267"/>
      <c r="P10" s="267"/>
      <c r="Q10" s="267"/>
      <c r="R10" s="90"/>
      <c r="T10" s="77"/>
      <c r="U10" s="78"/>
      <c r="V10" s="78"/>
      <c r="W10" s="78"/>
      <c r="X10" s="77"/>
    </row>
    <row r="11" spans="1:24" s="76" customFormat="1" ht="28.9" customHeight="1" x14ac:dyDescent="0.2">
      <c r="B11" s="87"/>
      <c r="C11" s="8" t="s">
        <v>87</v>
      </c>
      <c r="D11" s="93" t="s">
        <v>86</v>
      </c>
      <c r="E11" s="216" t="s">
        <v>91</v>
      </c>
      <c r="F11" s="217"/>
      <c r="G11" s="37"/>
      <c r="H11" s="38"/>
      <c r="I11" s="39"/>
      <c r="J11" s="319"/>
      <c r="K11" s="319"/>
      <c r="L11" s="319"/>
      <c r="M11" s="319"/>
      <c r="N11" s="319"/>
      <c r="O11" s="319"/>
      <c r="P11" s="319"/>
      <c r="Q11" s="319"/>
      <c r="R11" s="90"/>
      <c r="T11" s="77"/>
      <c r="U11" s="78"/>
      <c r="V11" s="78"/>
      <c r="W11" s="78"/>
      <c r="X11" s="77"/>
    </row>
    <row r="12" spans="1:24" ht="15" x14ac:dyDescent="0.2">
      <c r="B12" s="36"/>
      <c r="C12" s="95" t="s">
        <v>67</v>
      </c>
      <c r="D12" s="153">
        <f>'Overview IB'!D18</f>
        <v>96</v>
      </c>
      <c r="E12" s="271" t="str">
        <f>IF('Overview IB'!E18 &gt; 0, 'Overview IB'!E18, "")</f>
        <v>z.B. ganzheitliches Lernen, Sommerprogramm, Corona-spezifische Maßnahmen zur Bekämpfung der Folgend der Pandemie</v>
      </c>
      <c r="F12" s="309"/>
      <c r="G12" s="40"/>
      <c r="H12" s="107">
        <v>112</v>
      </c>
      <c r="I12" s="181">
        <f>IF(H12=0,0,H12/D12)</f>
        <v>1.1666666666666667</v>
      </c>
      <c r="J12" s="267"/>
      <c r="K12" s="267"/>
      <c r="L12" s="267"/>
      <c r="M12" s="267"/>
      <c r="N12" s="267"/>
      <c r="O12" s="267"/>
      <c r="P12" s="267"/>
      <c r="Q12" s="267"/>
      <c r="R12" s="91"/>
      <c r="U12" s="110"/>
      <c r="V12" s="110"/>
      <c r="W12" s="110"/>
    </row>
    <row r="13" spans="1:24" ht="20.65" customHeight="1" x14ac:dyDescent="0.2">
      <c r="B13" s="36"/>
      <c r="C13" s="96" t="s">
        <v>122</v>
      </c>
      <c r="D13" s="153">
        <f>'Overview IB'!D19</f>
        <v>0</v>
      </c>
      <c r="E13" s="272"/>
      <c r="F13" s="311"/>
      <c r="G13" s="40"/>
      <c r="H13" s="107"/>
      <c r="I13" s="182">
        <f t="shared" ref="I13:I17" si="0">IF(H13=0,0,H13/D13)</f>
        <v>0</v>
      </c>
      <c r="J13" s="267"/>
      <c r="K13" s="267"/>
      <c r="L13" s="267"/>
      <c r="M13" s="267"/>
      <c r="N13" s="267"/>
      <c r="O13" s="267"/>
      <c r="P13" s="267"/>
      <c r="Q13" s="267"/>
      <c r="R13" s="91"/>
      <c r="U13" s="110"/>
      <c r="V13" s="110"/>
      <c r="W13" s="110"/>
    </row>
    <row r="14" spans="1:24" ht="15" x14ac:dyDescent="0.2">
      <c r="B14" s="36"/>
      <c r="C14" s="95" t="s">
        <v>68</v>
      </c>
      <c r="D14" s="153">
        <f>'Overview IB'!D20</f>
        <v>96</v>
      </c>
      <c r="E14" s="271" t="str">
        <f>IF('Overview IB'!E20 &gt; 0, 'Overview IB'!E20, "")</f>
        <v>z.B. ganzheitliches Lernen, Sommerprogramm, Elternarbeit, Digitalisierung</v>
      </c>
      <c r="F14" s="309"/>
      <c r="G14" s="40"/>
      <c r="H14" s="107">
        <v>96</v>
      </c>
      <c r="I14" s="181">
        <f t="shared" si="0"/>
        <v>1</v>
      </c>
      <c r="J14" s="267"/>
      <c r="K14" s="267"/>
      <c r="L14" s="267"/>
      <c r="M14" s="267"/>
      <c r="N14" s="267"/>
      <c r="O14" s="267"/>
      <c r="P14" s="267"/>
      <c r="Q14" s="267"/>
      <c r="R14" s="91"/>
      <c r="U14" s="110"/>
      <c r="V14" s="110"/>
      <c r="W14" s="110"/>
    </row>
    <row r="15" spans="1:24" ht="15" x14ac:dyDescent="0.2">
      <c r="B15" s="36"/>
      <c r="C15" s="97" t="s">
        <v>65</v>
      </c>
      <c r="D15" s="153">
        <f>'Overview IB'!D21</f>
        <v>0</v>
      </c>
      <c r="E15" s="272"/>
      <c r="F15" s="310"/>
      <c r="G15" s="40"/>
      <c r="H15" s="107"/>
      <c r="I15" s="182">
        <f t="shared" si="0"/>
        <v>0</v>
      </c>
      <c r="J15" s="267"/>
      <c r="K15" s="267"/>
      <c r="L15" s="267"/>
      <c r="M15" s="267"/>
      <c r="N15" s="267"/>
      <c r="O15" s="267"/>
      <c r="P15" s="267"/>
      <c r="Q15" s="267"/>
      <c r="R15" s="91"/>
      <c r="U15" s="110"/>
      <c r="V15" s="110"/>
      <c r="W15" s="110"/>
    </row>
    <row r="16" spans="1:24" ht="15" x14ac:dyDescent="0.2">
      <c r="B16" s="36"/>
      <c r="C16" s="97" t="s">
        <v>66</v>
      </c>
      <c r="D16" s="153">
        <f>'Overview IB'!D22</f>
        <v>0</v>
      </c>
      <c r="E16" s="272"/>
      <c r="F16" s="310"/>
      <c r="G16" s="40"/>
      <c r="H16" s="107"/>
      <c r="I16" s="182">
        <f t="shared" si="0"/>
        <v>0</v>
      </c>
      <c r="J16" s="267"/>
      <c r="K16" s="267"/>
      <c r="L16" s="267"/>
      <c r="M16" s="267"/>
      <c r="N16" s="267"/>
      <c r="O16" s="267"/>
      <c r="P16" s="267"/>
      <c r="Q16" s="267"/>
      <c r="R16" s="91"/>
      <c r="U16" s="110"/>
      <c r="V16" s="110"/>
      <c r="W16" s="110"/>
    </row>
    <row r="17" spans="2:23" ht="15" x14ac:dyDescent="0.2">
      <c r="B17" s="36"/>
      <c r="C17" s="97" t="s">
        <v>70</v>
      </c>
      <c r="D17" s="153">
        <f>'Overview IB'!D23</f>
        <v>0</v>
      </c>
      <c r="E17" s="273"/>
      <c r="F17" s="311"/>
      <c r="G17" s="40"/>
      <c r="H17" s="107"/>
      <c r="I17" s="182">
        <f t="shared" si="0"/>
        <v>0</v>
      </c>
      <c r="J17" s="267"/>
      <c r="K17" s="267"/>
      <c r="L17" s="267"/>
      <c r="M17" s="267"/>
      <c r="N17" s="267"/>
      <c r="O17" s="267"/>
      <c r="P17" s="267"/>
      <c r="Q17" s="267"/>
      <c r="R17" s="91"/>
      <c r="U17" s="297"/>
      <c r="V17" s="297"/>
      <c r="W17" s="297"/>
    </row>
    <row r="18" spans="2:23" ht="26.1" customHeight="1" x14ac:dyDescent="0.2">
      <c r="B18" s="36"/>
      <c r="C18" s="8" t="s">
        <v>55</v>
      </c>
      <c r="D18" s="93" t="s">
        <v>86</v>
      </c>
      <c r="E18" s="216" t="s">
        <v>91</v>
      </c>
      <c r="F18" s="217"/>
      <c r="G18" s="42"/>
      <c r="H18" s="118" t="s">
        <v>37</v>
      </c>
      <c r="I18" s="114" t="s">
        <v>11</v>
      </c>
      <c r="J18" s="302" t="s">
        <v>74</v>
      </c>
      <c r="K18" s="302"/>
      <c r="L18" s="302"/>
      <c r="M18" s="302"/>
      <c r="N18" s="302"/>
      <c r="O18" s="302"/>
      <c r="P18" s="302"/>
      <c r="Q18" s="302"/>
      <c r="R18" s="91"/>
      <c r="U18" s="301"/>
      <c r="V18" s="301"/>
      <c r="W18" s="301"/>
    </row>
    <row r="19" spans="2:23" ht="15" x14ac:dyDescent="0.2">
      <c r="B19" s="36"/>
      <c r="C19" s="95" t="s">
        <v>83</v>
      </c>
      <c r="D19" s="153">
        <f>'Overview IB'!D25</f>
        <v>0</v>
      </c>
      <c r="E19" s="271" t="str">
        <f>IF('Overview IB'!E25 &gt; 0, 'Overview IB'!E25, "")</f>
        <v/>
      </c>
      <c r="F19" s="309"/>
      <c r="G19" s="43"/>
      <c r="H19" s="180"/>
      <c r="I19" s="181">
        <f>IF(H19=0,0,H19/D19)</f>
        <v>0</v>
      </c>
      <c r="J19" s="267"/>
      <c r="K19" s="267"/>
      <c r="L19" s="267"/>
      <c r="M19" s="267"/>
      <c r="N19" s="267"/>
      <c r="O19" s="267"/>
      <c r="P19" s="267"/>
      <c r="Q19" s="267"/>
      <c r="R19" s="91"/>
      <c r="U19" s="113"/>
      <c r="V19" s="113"/>
      <c r="W19" s="113"/>
    </row>
    <row r="20" spans="2:23" ht="30" x14ac:dyDescent="0.2">
      <c r="B20" s="36"/>
      <c r="C20" s="96" t="s">
        <v>57</v>
      </c>
      <c r="D20" s="153">
        <f>'Overview IB'!D26</f>
        <v>0</v>
      </c>
      <c r="E20" s="272"/>
      <c r="F20" s="310"/>
      <c r="G20" s="43"/>
      <c r="H20" s="180"/>
      <c r="I20" s="182">
        <f t="shared" ref="I20:I30" si="1">IF(H20=0,0,H20/D20)</f>
        <v>0</v>
      </c>
      <c r="J20" s="267"/>
      <c r="K20" s="267"/>
      <c r="L20" s="267"/>
      <c r="M20" s="267"/>
      <c r="N20" s="267"/>
      <c r="O20" s="267"/>
      <c r="P20" s="267"/>
      <c r="Q20" s="267"/>
      <c r="R20" s="91"/>
      <c r="U20" s="301"/>
      <c r="V20" s="301"/>
      <c r="W20" s="301"/>
    </row>
    <row r="21" spans="2:23" ht="15" x14ac:dyDescent="0.2">
      <c r="B21" s="36"/>
      <c r="C21" s="97" t="s">
        <v>71</v>
      </c>
      <c r="D21" s="153">
        <f>'Overview IB'!D27</f>
        <v>0</v>
      </c>
      <c r="E21" s="272"/>
      <c r="F21" s="310"/>
      <c r="G21" s="43"/>
      <c r="H21" s="180"/>
      <c r="I21" s="182">
        <f t="shared" si="1"/>
        <v>0</v>
      </c>
      <c r="J21" s="267"/>
      <c r="K21" s="267"/>
      <c r="L21" s="267"/>
      <c r="M21" s="267"/>
      <c r="N21" s="267"/>
      <c r="O21" s="267"/>
      <c r="P21" s="267"/>
      <c r="Q21" s="267"/>
      <c r="R21" s="91"/>
      <c r="U21" s="301"/>
      <c r="V21" s="301"/>
      <c r="W21" s="301"/>
    </row>
    <row r="22" spans="2:23" ht="30" x14ac:dyDescent="0.2">
      <c r="B22" s="36"/>
      <c r="C22" s="95" t="s">
        <v>84</v>
      </c>
      <c r="D22" s="153">
        <f>'Overview IB'!D28</f>
        <v>0</v>
      </c>
      <c r="E22" s="272"/>
      <c r="F22" s="310"/>
      <c r="G22" s="43"/>
      <c r="H22" s="180"/>
      <c r="I22" s="181">
        <f t="shared" si="1"/>
        <v>0</v>
      </c>
      <c r="J22" s="267"/>
      <c r="K22" s="267"/>
      <c r="L22" s="267"/>
      <c r="M22" s="267"/>
      <c r="N22" s="267"/>
      <c r="O22" s="267"/>
      <c r="P22" s="267"/>
      <c r="Q22" s="267"/>
      <c r="R22" s="91"/>
      <c r="U22" s="301"/>
      <c r="V22" s="301"/>
      <c r="W22" s="301"/>
    </row>
    <row r="23" spans="2:23" ht="30" x14ac:dyDescent="0.2">
      <c r="B23" s="36"/>
      <c r="C23" s="97" t="s">
        <v>58</v>
      </c>
      <c r="D23" s="153">
        <f>'Overview IB'!D29</f>
        <v>0</v>
      </c>
      <c r="E23" s="272"/>
      <c r="F23" s="310"/>
      <c r="G23" s="43"/>
      <c r="H23" s="180"/>
      <c r="I23" s="182">
        <f t="shared" si="1"/>
        <v>0</v>
      </c>
      <c r="J23" s="267"/>
      <c r="K23" s="267"/>
      <c r="L23" s="267"/>
      <c r="M23" s="267"/>
      <c r="N23" s="267"/>
      <c r="O23" s="267"/>
      <c r="P23" s="267"/>
      <c r="Q23" s="267"/>
      <c r="R23" s="91"/>
      <c r="U23" s="301"/>
      <c r="V23" s="301"/>
      <c r="W23" s="301"/>
    </row>
    <row r="24" spans="2:23" ht="15" x14ac:dyDescent="0.2">
      <c r="B24" s="36"/>
      <c r="C24" s="97" t="s">
        <v>56</v>
      </c>
      <c r="D24" s="153">
        <f>'Overview IB'!D30</f>
        <v>0</v>
      </c>
      <c r="E24" s="273"/>
      <c r="F24" s="311"/>
      <c r="G24" s="40"/>
      <c r="H24" s="107"/>
      <c r="I24" s="182">
        <f t="shared" si="1"/>
        <v>0</v>
      </c>
      <c r="J24" s="267"/>
      <c r="K24" s="267"/>
      <c r="L24" s="267"/>
      <c r="M24" s="267"/>
      <c r="N24" s="267"/>
      <c r="O24" s="267"/>
      <c r="P24" s="267"/>
      <c r="Q24" s="267"/>
      <c r="R24" s="91"/>
      <c r="U24" s="301"/>
      <c r="V24" s="301"/>
      <c r="W24" s="301"/>
    </row>
    <row r="25" spans="2:23" ht="17.649999999999999" customHeight="1" x14ac:dyDescent="0.2">
      <c r="B25" s="36"/>
      <c r="C25" s="95" t="s">
        <v>59</v>
      </c>
      <c r="D25" s="153">
        <f>'Overview IB'!D31</f>
        <v>0</v>
      </c>
      <c r="E25" s="287" t="str">
        <f>IF('Overview IB'!E31 &gt; 0, 'Overview IB'!E31, "")</f>
        <v/>
      </c>
      <c r="F25" s="313"/>
      <c r="G25" s="43"/>
      <c r="H25" s="180"/>
      <c r="I25" s="181">
        <f t="shared" si="1"/>
        <v>0</v>
      </c>
      <c r="J25" s="267"/>
      <c r="K25" s="267"/>
      <c r="L25" s="267"/>
      <c r="M25" s="267"/>
      <c r="N25" s="267"/>
      <c r="O25" s="267"/>
      <c r="P25" s="267"/>
      <c r="Q25" s="267"/>
      <c r="R25" s="91"/>
      <c r="U25" s="301"/>
      <c r="V25" s="301"/>
      <c r="W25" s="301"/>
    </row>
    <row r="26" spans="2:23" ht="15" x14ac:dyDescent="0.2">
      <c r="B26" s="36"/>
      <c r="C26" s="96" t="s">
        <v>61</v>
      </c>
      <c r="D26" s="153">
        <f>'Overview IB'!D32</f>
        <v>0</v>
      </c>
      <c r="E26" s="288"/>
      <c r="F26" s="314"/>
      <c r="G26" s="40"/>
      <c r="H26" s="107"/>
      <c r="I26" s="182">
        <f t="shared" si="1"/>
        <v>0</v>
      </c>
      <c r="J26" s="267"/>
      <c r="K26" s="267"/>
      <c r="L26" s="267"/>
      <c r="M26" s="267"/>
      <c r="N26" s="267"/>
      <c r="O26" s="267"/>
      <c r="P26" s="267"/>
      <c r="Q26" s="267"/>
      <c r="R26" s="91"/>
      <c r="U26" s="301"/>
      <c r="V26" s="301"/>
      <c r="W26" s="301"/>
    </row>
    <row r="27" spans="2:23" ht="15" x14ac:dyDescent="0.2">
      <c r="B27" s="36"/>
      <c r="C27" s="96" t="s">
        <v>60</v>
      </c>
      <c r="D27" s="153">
        <f>'Overview IB'!D33</f>
        <v>0</v>
      </c>
      <c r="E27" s="288"/>
      <c r="F27" s="314"/>
      <c r="G27" s="43"/>
      <c r="H27" s="180"/>
      <c r="I27" s="182">
        <f t="shared" si="1"/>
        <v>0</v>
      </c>
      <c r="J27" s="267"/>
      <c r="K27" s="267"/>
      <c r="L27" s="267"/>
      <c r="M27" s="267"/>
      <c r="N27" s="267"/>
      <c r="O27" s="267"/>
      <c r="P27" s="267"/>
      <c r="Q27" s="267"/>
      <c r="R27" s="91"/>
      <c r="U27" s="301"/>
      <c r="V27" s="301"/>
      <c r="W27" s="301"/>
    </row>
    <row r="28" spans="2:23" ht="15" x14ac:dyDescent="0.2">
      <c r="B28" s="36"/>
      <c r="C28" s="98" t="s">
        <v>14</v>
      </c>
      <c r="D28" s="153">
        <f>'Overview IB'!D34</f>
        <v>0</v>
      </c>
      <c r="E28" s="288"/>
      <c r="F28" s="314"/>
      <c r="G28" s="43"/>
      <c r="H28" s="180"/>
      <c r="I28" s="182">
        <f t="shared" si="1"/>
        <v>0</v>
      </c>
      <c r="J28" s="267"/>
      <c r="K28" s="267"/>
      <c r="L28" s="267"/>
      <c r="M28" s="267"/>
      <c r="N28" s="267"/>
      <c r="O28" s="267"/>
      <c r="P28" s="267"/>
      <c r="Q28" s="267"/>
      <c r="R28" s="91"/>
      <c r="U28" s="301"/>
      <c r="V28" s="301"/>
      <c r="W28" s="301"/>
    </row>
    <row r="29" spans="2:23" ht="15" x14ac:dyDescent="0.2">
      <c r="B29" s="36"/>
      <c r="C29" s="97" t="s">
        <v>75</v>
      </c>
      <c r="D29" s="153">
        <f>'Overview IB'!D35</f>
        <v>0</v>
      </c>
      <c r="E29" s="288"/>
      <c r="F29" s="314"/>
      <c r="G29" s="40"/>
      <c r="H29" s="107"/>
      <c r="I29" s="182">
        <f t="shared" si="1"/>
        <v>0</v>
      </c>
      <c r="J29" s="267"/>
      <c r="K29" s="267"/>
      <c r="L29" s="267"/>
      <c r="M29" s="267"/>
      <c r="N29" s="267"/>
      <c r="O29" s="267"/>
      <c r="P29" s="267"/>
      <c r="Q29" s="267"/>
      <c r="R29" s="91"/>
      <c r="U29" s="301"/>
      <c r="V29" s="301"/>
      <c r="W29" s="301"/>
    </row>
    <row r="30" spans="2:23" ht="15" x14ac:dyDescent="0.2">
      <c r="B30" s="36"/>
      <c r="C30" s="97" t="s">
        <v>76</v>
      </c>
      <c r="D30" s="153">
        <f>'Overview IB'!D36</f>
        <v>0</v>
      </c>
      <c r="E30" s="289"/>
      <c r="F30" s="315"/>
      <c r="G30" s="43"/>
      <c r="H30" s="180"/>
      <c r="I30" s="182">
        <f t="shared" si="1"/>
        <v>0</v>
      </c>
      <c r="J30" s="267"/>
      <c r="K30" s="267"/>
      <c r="L30" s="267"/>
      <c r="M30" s="267"/>
      <c r="N30" s="267"/>
      <c r="O30" s="267"/>
      <c r="P30" s="267"/>
      <c r="Q30" s="267"/>
      <c r="R30" s="91"/>
      <c r="U30" s="301"/>
      <c r="V30" s="301"/>
      <c r="W30" s="301"/>
    </row>
    <row r="31" spans="2:23" ht="26.1" customHeight="1" x14ac:dyDescent="0.2">
      <c r="B31" s="36"/>
      <c r="C31" s="8" t="s">
        <v>62</v>
      </c>
      <c r="D31" s="93" t="s">
        <v>86</v>
      </c>
      <c r="E31" s="216" t="s">
        <v>91</v>
      </c>
      <c r="F31" s="217"/>
      <c r="G31" s="42"/>
      <c r="H31" s="118" t="s">
        <v>37</v>
      </c>
      <c r="I31" s="114" t="s">
        <v>11</v>
      </c>
      <c r="J31" s="302" t="s">
        <v>74</v>
      </c>
      <c r="K31" s="302"/>
      <c r="L31" s="302"/>
      <c r="M31" s="302"/>
      <c r="N31" s="302"/>
      <c r="O31" s="302"/>
      <c r="P31" s="302"/>
      <c r="Q31" s="302"/>
      <c r="R31" s="91"/>
      <c r="U31" s="303"/>
      <c r="V31" s="303"/>
      <c r="W31" s="303"/>
    </row>
    <row r="32" spans="2:23" ht="13.15" customHeight="1" x14ac:dyDescent="0.2">
      <c r="B32" s="36"/>
      <c r="C32" s="95" t="s">
        <v>79</v>
      </c>
      <c r="D32" s="153">
        <f>'Overview IB'!D38</f>
        <v>0</v>
      </c>
      <c r="E32" s="271" t="str">
        <f>IF('Overview IB'!E38 &gt; 0, 'Overview IB'!E38, "")</f>
        <v/>
      </c>
      <c r="F32" s="309"/>
      <c r="G32" s="44"/>
      <c r="H32" s="45">
        <f>SUM(H33:H37)</f>
        <v>0</v>
      </c>
      <c r="I32" s="46">
        <f>IF(H32=0,0,H32/D32)</f>
        <v>0</v>
      </c>
      <c r="J32" s="267"/>
      <c r="K32" s="267"/>
      <c r="L32" s="267"/>
      <c r="M32" s="267"/>
      <c r="N32" s="267"/>
      <c r="O32" s="267"/>
      <c r="P32" s="267"/>
      <c r="Q32" s="267"/>
      <c r="R32" s="91"/>
      <c r="U32" s="297"/>
      <c r="V32" s="297"/>
      <c r="W32" s="297"/>
    </row>
    <row r="33" spans="2:23" ht="15" x14ac:dyDescent="0.2">
      <c r="B33" s="36"/>
      <c r="C33" s="97" t="s">
        <v>47</v>
      </c>
      <c r="D33" s="153">
        <f>'Overview IB'!D39</f>
        <v>0</v>
      </c>
      <c r="E33" s="272"/>
      <c r="F33" s="310"/>
      <c r="G33" s="44"/>
      <c r="H33" s="116"/>
      <c r="I33" s="48">
        <f t="shared" ref="I33:I45" si="2">IF(H33=0,0,H33/D33)</f>
        <v>0</v>
      </c>
      <c r="J33" s="267"/>
      <c r="K33" s="267"/>
      <c r="L33" s="267"/>
      <c r="M33" s="267"/>
      <c r="N33" s="267"/>
      <c r="O33" s="267"/>
      <c r="P33" s="267"/>
      <c r="Q33" s="267"/>
      <c r="R33" s="91"/>
      <c r="U33" s="297"/>
      <c r="V33" s="297"/>
      <c r="W33" s="297"/>
    </row>
    <row r="34" spans="2:23" ht="15" x14ac:dyDescent="0.2">
      <c r="B34" s="36"/>
      <c r="C34" s="97" t="s">
        <v>48</v>
      </c>
      <c r="D34" s="153">
        <f>'Overview IB'!D40</f>
        <v>0</v>
      </c>
      <c r="E34" s="272"/>
      <c r="F34" s="310"/>
      <c r="G34" s="41"/>
      <c r="H34" s="47"/>
      <c r="I34" s="48">
        <f t="shared" si="2"/>
        <v>0</v>
      </c>
      <c r="J34" s="267"/>
      <c r="K34" s="267"/>
      <c r="L34" s="267"/>
      <c r="M34" s="267"/>
      <c r="N34" s="267"/>
      <c r="O34" s="267"/>
      <c r="P34" s="267"/>
      <c r="Q34" s="267"/>
      <c r="R34" s="91"/>
      <c r="U34" s="297"/>
      <c r="V34" s="297"/>
      <c r="W34" s="297"/>
    </row>
    <row r="35" spans="2:23" ht="15" x14ac:dyDescent="0.2">
      <c r="B35" s="36"/>
      <c r="C35" s="97" t="s">
        <v>49</v>
      </c>
      <c r="D35" s="153">
        <f>'Overview IB'!D41</f>
        <v>0</v>
      </c>
      <c r="E35" s="272"/>
      <c r="F35" s="310"/>
      <c r="G35" s="41"/>
      <c r="H35" s="47"/>
      <c r="I35" s="48">
        <f t="shared" si="2"/>
        <v>0</v>
      </c>
      <c r="J35" s="267"/>
      <c r="K35" s="267"/>
      <c r="L35" s="267"/>
      <c r="M35" s="267"/>
      <c r="N35" s="267"/>
      <c r="O35" s="267"/>
      <c r="P35" s="267"/>
      <c r="Q35" s="267"/>
      <c r="R35" s="91"/>
      <c r="U35" s="297"/>
      <c r="V35" s="297"/>
      <c r="W35" s="297"/>
    </row>
    <row r="36" spans="2:23" ht="15" x14ac:dyDescent="0.2">
      <c r="B36" s="36"/>
      <c r="C36" s="97" t="s">
        <v>50</v>
      </c>
      <c r="D36" s="153">
        <f>'Overview IB'!D42</f>
        <v>0</v>
      </c>
      <c r="E36" s="272"/>
      <c r="F36" s="310"/>
      <c r="G36" s="41"/>
      <c r="H36" s="47"/>
      <c r="I36" s="48">
        <f t="shared" si="2"/>
        <v>0</v>
      </c>
      <c r="J36" s="267"/>
      <c r="K36" s="267"/>
      <c r="L36" s="267"/>
      <c r="M36" s="267"/>
      <c r="N36" s="267"/>
      <c r="O36" s="267"/>
      <c r="P36" s="267"/>
      <c r="Q36" s="267"/>
      <c r="R36" s="91"/>
      <c r="U36" s="297"/>
      <c r="V36" s="297"/>
      <c r="W36" s="297"/>
    </row>
    <row r="37" spans="2:23" ht="15" x14ac:dyDescent="0.2">
      <c r="B37" s="36"/>
      <c r="C37" s="97" t="s">
        <v>51</v>
      </c>
      <c r="D37" s="153">
        <f>'Overview IB'!D43</f>
        <v>0</v>
      </c>
      <c r="E37" s="272"/>
      <c r="F37" s="310"/>
      <c r="G37" s="41"/>
      <c r="H37" s="47"/>
      <c r="I37" s="48">
        <f t="shared" si="2"/>
        <v>0</v>
      </c>
      <c r="J37" s="267"/>
      <c r="K37" s="267"/>
      <c r="L37" s="267"/>
      <c r="M37" s="267"/>
      <c r="N37" s="267"/>
      <c r="O37" s="267"/>
      <c r="P37" s="267"/>
      <c r="Q37" s="267"/>
      <c r="R37" s="91"/>
      <c r="U37" s="297"/>
      <c r="V37" s="297"/>
      <c r="W37" s="297"/>
    </row>
    <row r="38" spans="2:23" ht="15" x14ac:dyDescent="0.2">
      <c r="B38" s="36"/>
      <c r="C38" s="95" t="s">
        <v>80</v>
      </c>
      <c r="D38" s="153">
        <f>'Overview IB'!D44</f>
        <v>0</v>
      </c>
      <c r="E38" s="272"/>
      <c r="F38" s="310"/>
      <c r="G38" s="41"/>
      <c r="H38" s="47"/>
      <c r="I38" s="46">
        <f t="shared" si="2"/>
        <v>0</v>
      </c>
      <c r="J38" s="267"/>
      <c r="K38" s="267"/>
      <c r="L38" s="267"/>
      <c r="M38" s="267"/>
      <c r="N38" s="267"/>
      <c r="O38" s="267"/>
      <c r="P38" s="267"/>
      <c r="Q38" s="267"/>
      <c r="R38" s="91"/>
      <c r="U38" s="297"/>
      <c r="V38" s="297"/>
      <c r="W38" s="297"/>
    </row>
    <row r="39" spans="2:23" ht="15" x14ac:dyDescent="0.2">
      <c r="B39" s="36"/>
      <c r="C39" s="95" t="s">
        <v>81</v>
      </c>
      <c r="D39" s="153">
        <f>'Overview IB'!D45</f>
        <v>0</v>
      </c>
      <c r="E39" s="272"/>
      <c r="F39" s="310"/>
      <c r="G39" s="41"/>
      <c r="H39" s="47"/>
      <c r="I39" s="46">
        <f t="shared" si="2"/>
        <v>0</v>
      </c>
      <c r="J39" s="267"/>
      <c r="K39" s="267"/>
      <c r="L39" s="267"/>
      <c r="M39" s="267"/>
      <c r="N39" s="267"/>
      <c r="O39" s="267"/>
      <c r="P39" s="267"/>
      <c r="Q39" s="267"/>
      <c r="R39" s="91"/>
      <c r="U39" s="297"/>
      <c r="V39" s="297"/>
      <c r="W39" s="297"/>
    </row>
    <row r="40" spans="2:23" ht="15" x14ac:dyDescent="0.2">
      <c r="B40" s="36"/>
      <c r="C40" s="95" t="s">
        <v>30</v>
      </c>
      <c r="D40" s="153">
        <f>'Overview IB'!D46</f>
        <v>0</v>
      </c>
      <c r="E40" s="272"/>
      <c r="F40" s="310"/>
      <c r="G40" s="41"/>
      <c r="H40" s="47"/>
      <c r="I40" s="46">
        <f t="shared" si="2"/>
        <v>0</v>
      </c>
      <c r="J40" s="267"/>
      <c r="K40" s="267"/>
      <c r="L40" s="267"/>
      <c r="M40" s="267"/>
      <c r="N40" s="267"/>
      <c r="O40" s="267"/>
      <c r="P40" s="267"/>
      <c r="Q40" s="267"/>
      <c r="R40" s="91"/>
      <c r="U40" s="297"/>
      <c r="V40" s="297"/>
      <c r="W40" s="297"/>
    </row>
    <row r="41" spans="2:23" ht="30" x14ac:dyDescent="0.2">
      <c r="B41" s="36"/>
      <c r="C41" s="95" t="s">
        <v>126</v>
      </c>
      <c r="D41" s="153">
        <f>'Overview IB'!D47</f>
        <v>0</v>
      </c>
      <c r="E41" s="272"/>
      <c r="F41" s="310"/>
      <c r="G41" s="41"/>
      <c r="H41" s="47"/>
      <c r="I41" s="46">
        <f t="shared" si="2"/>
        <v>0</v>
      </c>
      <c r="J41" s="267"/>
      <c r="K41" s="267"/>
      <c r="L41" s="267"/>
      <c r="M41" s="267"/>
      <c r="N41" s="267"/>
      <c r="O41" s="267"/>
      <c r="P41" s="267"/>
      <c r="Q41" s="267"/>
      <c r="R41" s="91"/>
      <c r="U41" s="297"/>
      <c r="V41" s="297"/>
      <c r="W41" s="297"/>
    </row>
    <row r="42" spans="2:23" ht="30" x14ac:dyDescent="0.2">
      <c r="B42" s="36"/>
      <c r="C42" s="97" t="s">
        <v>52</v>
      </c>
      <c r="D42" s="153">
        <f>'Overview IB'!D48</f>
        <v>0</v>
      </c>
      <c r="E42" s="272"/>
      <c r="F42" s="310"/>
      <c r="G42" s="41"/>
      <c r="H42" s="47"/>
      <c r="I42" s="48">
        <f t="shared" si="2"/>
        <v>0</v>
      </c>
      <c r="J42" s="267"/>
      <c r="K42" s="267"/>
      <c r="L42" s="267"/>
      <c r="M42" s="267"/>
      <c r="N42" s="267"/>
      <c r="O42" s="267"/>
      <c r="P42" s="267"/>
      <c r="Q42" s="267"/>
      <c r="R42" s="91"/>
      <c r="U42" s="297"/>
      <c r="V42" s="297"/>
      <c r="W42" s="297"/>
    </row>
    <row r="43" spans="2:23" ht="15" x14ac:dyDescent="0.2">
      <c r="B43" s="36"/>
      <c r="C43" s="97" t="s">
        <v>69</v>
      </c>
      <c r="D43" s="153">
        <f>'Overview IB'!D49</f>
        <v>0</v>
      </c>
      <c r="E43" s="273"/>
      <c r="F43" s="311"/>
      <c r="G43" s="41"/>
      <c r="H43" s="47"/>
      <c r="I43" s="48">
        <f t="shared" si="2"/>
        <v>0</v>
      </c>
      <c r="J43" s="267"/>
      <c r="K43" s="267"/>
      <c r="L43" s="267"/>
      <c r="M43" s="267"/>
      <c r="N43" s="267"/>
      <c r="O43" s="267"/>
      <c r="P43" s="267"/>
      <c r="Q43" s="267"/>
      <c r="R43" s="91"/>
      <c r="U43" s="297"/>
      <c r="V43" s="297"/>
      <c r="W43" s="297"/>
    </row>
    <row r="44" spans="2:23" ht="15" x14ac:dyDescent="0.2">
      <c r="B44" s="36"/>
      <c r="C44" s="95" t="s">
        <v>53</v>
      </c>
      <c r="D44" s="153">
        <f>'Overview IB'!D50</f>
        <v>0</v>
      </c>
      <c r="E44" s="271" t="str">
        <f>IF('Overview IB'!E50 &gt; 0, 'Overview IB'!E50, "")</f>
        <v/>
      </c>
      <c r="F44" s="309"/>
      <c r="G44" s="41"/>
      <c r="H44" s="47"/>
      <c r="I44" s="46">
        <f t="shared" si="2"/>
        <v>0</v>
      </c>
      <c r="J44" s="267"/>
      <c r="K44" s="267"/>
      <c r="L44" s="267"/>
      <c r="M44" s="267"/>
      <c r="N44" s="267"/>
      <c r="O44" s="267"/>
      <c r="P44" s="267"/>
      <c r="Q44" s="267"/>
      <c r="R44" s="91"/>
      <c r="U44" s="110"/>
      <c r="V44" s="110"/>
      <c r="W44" s="110"/>
    </row>
    <row r="45" spans="2:23" ht="17.649999999999999" customHeight="1" x14ac:dyDescent="0.2">
      <c r="B45" s="36"/>
      <c r="C45" s="97" t="s">
        <v>97</v>
      </c>
      <c r="D45" s="153">
        <f>'Overview IB'!D51</f>
        <v>0</v>
      </c>
      <c r="E45" s="272"/>
      <c r="F45" s="311"/>
      <c r="G45" s="41"/>
      <c r="H45" s="47"/>
      <c r="I45" s="48">
        <f t="shared" si="2"/>
        <v>0</v>
      </c>
      <c r="J45" s="267"/>
      <c r="K45" s="267"/>
      <c r="L45" s="267"/>
      <c r="M45" s="267"/>
      <c r="N45" s="267"/>
      <c r="O45" s="267"/>
      <c r="P45" s="267"/>
      <c r="Q45" s="267"/>
      <c r="R45" s="91"/>
      <c r="U45" s="297"/>
      <c r="V45" s="297"/>
      <c r="W45" s="297"/>
    </row>
    <row r="46" spans="2:23" ht="26.1" customHeight="1" x14ac:dyDescent="0.2">
      <c r="B46" s="36"/>
      <c r="C46" s="8" t="s">
        <v>64</v>
      </c>
      <c r="D46" s="93" t="s">
        <v>86</v>
      </c>
      <c r="E46" s="216" t="s">
        <v>91</v>
      </c>
      <c r="F46" s="217"/>
      <c r="G46" s="42"/>
      <c r="H46" s="118" t="s">
        <v>37</v>
      </c>
      <c r="I46" s="114" t="s">
        <v>11</v>
      </c>
      <c r="J46" s="290" t="s">
        <v>74</v>
      </c>
      <c r="K46" s="291"/>
      <c r="L46" s="291"/>
      <c r="M46" s="291"/>
      <c r="N46" s="291"/>
      <c r="O46" s="291"/>
      <c r="P46" s="291"/>
      <c r="Q46" s="291"/>
      <c r="R46" s="91"/>
      <c r="U46" s="301"/>
      <c r="V46" s="301"/>
      <c r="W46" s="301"/>
    </row>
    <row r="47" spans="2:23" ht="14.65" customHeight="1" x14ac:dyDescent="0.2">
      <c r="B47" s="36"/>
      <c r="C47" s="95" t="s">
        <v>54</v>
      </c>
      <c r="D47" s="153">
        <f>'Overview IB'!D53</f>
        <v>0</v>
      </c>
      <c r="E47" s="274" t="str">
        <f>IF('Overview IB'!E53 &gt; 0, 'Overview IB'!E53, "")</f>
        <v/>
      </c>
      <c r="F47" s="312"/>
      <c r="G47" s="43"/>
      <c r="H47" s="116"/>
      <c r="I47" s="46">
        <f>IF(H47=0,0,H47/D47)</f>
        <v>0</v>
      </c>
      <c r="J47" s="298"/>
      <c r="K47" s="299"/>
      <c r="L47" s="299"/>
      <c r="M47" s="299"/>
      <c r="N47" s="299"/>
      <c r="O47" s="299"/>
      <c r="P47" s="299"/>
      <c r="Q47" s="299"/>
      <c r="R47" s="91"/>
      <c r="U47" s="301"/>
      <c r="V47" s="301"/>
      <c r="W47" s="301"/>
    </row>
    <row r="48" spans="2:23" ht="15" x14ac:dyDescent="0.2">
      <c r="B48" s="36"/>
      <c r="C48" s="94" t="s">
        <v>82</v>
      </c>
      <c r="D48" s="153">
        <f>'Overview IB'!D54</f>
        <v>444</v>
      </c>
      <c r="E48" s="271" t="str">
        <f>IF('Overview IB'!E54 &gt; 0, 'Overview IB'!E54, "")</f>
        <v>z.B. Freiwilligenmanagement</v>
      </c>
      <c r="F48" s="309"/>
      <c r="G48" s="43"/>
      <c r="H48" s="47">
        <v>611</v>
      </c>
      <c r="I48" s="46">
        <f t="shared" ref="I48:I55" si="3">IF(H48=0,0,H48/D48)</f>
        <v>1.3761261261261262</v>
      </c>
      <c r="J48" s="267"/>
      <c r="K48" s="267"/>
      <c r="L48" s="267"/>
      <c r="M48" s="267"/>
      <c r="N48" s="267"/>
      <c r="O48" s="267"/>
      <c r="P48" s="267"/>
      <c r="Q48" s="267"/>
      <c r="R48" s="91"/>
      <c r="U48" s="301"/>
      <c r="V48" s="301"/>
      <c r="W48" s="301"/>
    </row>
    <row r="49" spans="2:23" ht="13.15" customHeight="1" x14ac:dyDescent="0.2">
      <c r="B49" s="36"/>
      <c r="C49" s="97" t="s">
        <v>77</v>
      </c>
      <c r="D49" s="153">
        <f>'Overview IB'!D55</f>
        <v>0</v>
      </c>
      <c r="E49" s="273"/>
      <c r="F49" s="311"/>
      <c r="G49" s="43"/>
      <c r="H49" s="47"/>
      <c r="I49" s="48">
        <f t="shared" si="3"/>
        <v>0</v>
      </c>
      <c r="J49" s="267"/>
      <c r="K49" s="267"/>
      <c r="L49" s="267"/>
      <c r="M49" s="267"/>
      <c r="N49" s="267"/>
      <c r="O49" s="267"/>
      <c r="P49" s="267"/>
      <c r="Q49" s="267"/>
      <c r="R49" s="91"/>
      <c r="U49" s="297"/>
      <c r="V49" s="297"/>
      <c r="W49" s="297"/>
    </row>
    <row r="50" spans="2:23" ht="14.65" customHeight="1" x14ac:dyDescent="0.2">
      <c r="B50" s="36"/>
      <c r="C50" s="94" t="s">
        <v>63</v>
      </c>
      <c r="D50" s="153">
        <f>'Overview IB'!D56</f>
        <v>0</v>
      </c>
      <c r="E50" s="271" t="str">
        <f>IF('Overview IB'!E56 &gt; 0, 'Overview IB'!E56, "")</f>
        <v/>
      </c>
      <c r="F50" s="309"/>
      <c r="G50" s="43"/>
      <c r="H50" s="47"/>
      <c r="I50" s="46">
        <f t="shared" si="3"/>
        <v>0</v>
      </c>
      <c r="J50" s="267"/>
      <c r="K50" s="267"/>
      <c r="L50" s="267"/>
      <c r="M50" s="267"/>
      <c r="N50" s="267"/>
      <c r="O50" s="267"/>
      <c r="P50" s="267"/>
      <c r="Q50" s="267"/>
      <c r="R50" s="91"/>
      <c r="U50" s="297"/>
      <c r="V50" s="297"/>
      <c r="W50" s="297"/>
    </row>
    <row r="51" spans="2:23" ht="13.15" customHeight="1" x14ac:dyDescent="0.2">
      <c r="B51" s="36"/>
      <c r="C51" s="97" t="s">
        <v>123</v>
      </c>
      <c r="D51" s="153">
        <f>'Overview IB'!D57</f>
        <v>0</v>
      </c>
      <c r="E51" s="272"/>
      <c r="F51" s="310"/>
      <c r="G51" s="43"/>
      <c r="H51" s="47"/>
      <c r="I51" s="48">
        <f t="shared" si="3"/>
        <v>0</v>
      </c>
      <c r="J51" s="267"/>
      <c r="K51" s="267"/>
      <c r="L51" s="267"/>
      <c r="M51" s="267"/>
      <c r="N51" s="267"/>
      <c r="O51" s="267"/>
      <c r="P51" s="267"/>
      <c r="Q51" s="267"/>
      <c r="R51" s="91"/>
      <c r="U51" s="297"/>
      <c r="V51" s="297"/>
      <c r="W51" s="297"/>
    </row>
    <row r="52" spans="2:23" ht="14.65" customHeight="1" x14ac:dyDescent="0.2">
      <c r="B52" s="36"/>
      <c r="C52" s="97" t="s">
        <v>78</v>
      </c>
      <c r="D52" s="153">
        <f>'Overview IB'!D58</f>
        <v>0</v>
      </c>
      <c r="E52" s="273"/>
      <c r="F52" s="311"/>
      <c r="G52" s="43"/>
      <c r="H52" s="47"/>
      <c r="I52" s="48">
        <f t="shared" si="3"/>
        <v>0</v>
      </c>
      <c r="J52" s="267"/>
      <c r="K52" s="267"/>
      <c r="L52" s="267"/>
      <c r="M52" s="267"/>
      <c r="N52" s="267"/>
      <c r="O52" s="267"/>
      <c r="P52" s="267"/>
      <c r="Q52" s="267"/>
      <c r="R52" s="91"/>
      <c r="U52" s="297"/>
      <c r="V52" s="297"/>
      <c r="W52" s="297"/>
    </row>
    <row r="53" spans="2:23" ht="13.15" customHeight="1" x14ac:dyDescent="0.2">
      <c r="B53" s="36"/>
      <c r="C53" s="99" t="s">
        <v>88</v>
      </c>
      <c r="D53" s="153">
        <f>'Overview IB'!D59</f>
        <v>0</v>
      </c>
      <c r="E53" s="271" t="str">
        <f>IF('Overview IB'!E59 &gt; 0, 'Overview IB'!E59, "")</f>
        <v/>
      </c>
      <c r="F53" s="309"/>
      <c r="G53" s="43"/>
      <c r="H53" s="47"/>
      <c r="I53" s="46">
        <f t="shared" si="3"/>
        <v>0</v>
      </c>
      <c r="J53" s="267"/>
      <c r="K53" s="267"/>
      <c r="L53" s="267"/>
      <c r="M53" s="267"/>
      <c r="N53" s="267"/>
      <c r="O53" s="267"/>
      <c r="P53" s="267"/>
      <c r="Q53" s="267"/>
      <c r="R53" s="91"/>
      <c r="U53" s="297"/>
      <c r="V53" s="297"/>
      <c r="W53" s="297"/>
    </row>
    <row r="54" spans="2:23" ht="15" x14ac:dyDescent="0.2">
      <c r="B54" s="36"/>
      <c r="C54" s="108" t="s">
        <v>89</v>
      </c>
      <c r="D54" s="153">
        <f>'Overview IB'!D60</f>
        <v>0</v>
      </c>
      <c r="E54" s="272"/>
      <c r="F54" s="310"/>
      <c r="G54" s="43"/>
      <c r="H54" s="47"/>
      <c r="I54" s="48">
        <f t="shared" si="3"/>
        <v>0</v>
      </c>
      <c r="J54" s="267"/>
      <c r="K54" s="267"/>
      <c r="L54" s="267"/>
      <c r="M54" s="267"/>
      <c r="N54" s="267"/>
      <c r="O54" s="267"/>
      <c r="P54" s="267"/>
      <c r="Q54" s="267"/>
      <c r="R54" s="91"/>
      <c r="U54" s="297"/>
      <c r="V54" s="297"/>
      <c r="W54" s="297"/>
    </row>
    <row r="55" spans="2:23" ht="15" x14ac:dyDescent="0.2">
      <c r="B55" s="36"/>
      <c r="C55" s="108" t="s">
        <v>90</v>
      </c>
      <c r="D55" s="153">
        <f>'Overview IB'!D61</f>
        <v>0</v>
      </c>
      <c r="E55" s="273"/>
      <c r="F55" s="311"/>
      <c r="G55" s="43"/>
      <c r="H55" s="47"/>
      <c r="I55" s="48">
        <f t="shared" si="3"/>
        <v>0</v>
      </c>
      <c r="J55" s="267"/>
      <c r="K55" s="267"/>
      <c r="L55" s="267"/>
      <c r="M55" s="267"/>
      <c r="N55" s="267"/>
      <c r="O55" s="267"/>
      <c r="P55" s="267"/>
      <c r="Q55" s="267"/>
      <c r="R55" s="91"/>
      <c r="U55" s="300"/>
      <c r="V55" s="300"/>
      <c r="W55" s="300"/>
    </row>
    <row r="56" spans="2:23" ht="13.15" customHeight="1" x14ac:dyDescent="0.2">
      <c r="B56" s="284"/>
      <c r="C56" s="285"/>
      <c r="D56" s="285"/>
      <c r="E56" s="49"/>
      <c r="F56" s="50"/>
      <c r="G56" s="50"/>
      <c r="H56" s="66"/>
      <c r="I56" s="51"/>
      <c r="J56" s="52"/>
      <c r="K56" s="52"/>
      <c r="L56" s="52"/>
      <c r="M56" s="111"/>
      <c r="N56" s="52"/>
      <c r="O56" s="52"/>
      <c r="P56" s="111"/>
      <c r="Q56" s="317"/>
      <c r="R56" s="318"/>
      <c r="U56" s="110"/>
      <c r="V56" s="110"/>
      <c r="W56" s="110"/>
    </row>
    <row r="57" spans="2:23" ht="27.6" customHeight="1" x14ac:dyDescent="0.2">
      <c r="B57" s="36"/>
      <c r="C57" s="205" t="s">
        <v>38</v>
      </c>
      <c r="D57" s="206"/>
      <c r="E57" s="206"/>
      <c r="F57" s="206"/>
      <c r="G57" s="37"/>
      <c r="H57" s="282" t="s">
        <v>37</v>
      </c>
      <c r="I57" s="283"/>
      <c r="J57" s="290" t="s">
        <v>74</v>
      </c>
      <c r="K57" s="291"/>
      <c r="L57" s="291"/>
      <c r="M57" s="291"/>
      <c r="N57" s="291"/>
      <c r="O57" s="291"/>
      <c r="P57" s="291"/>
      <c r="Q57" s="291"/>
      <c r="R57" s="91"/>
      <c r="U57" s="110"/>
      <c r="V57" s="110"/>
      <c r="W57" s="110"/>
    </row>
    <row r="58" spans="2:23" ht="13.15" customHeight="1" x14ac:dyDescent="0.2">
      <c r="B58" s="36"/>
      <c r="C58" s="202" t="s">
        <v>125</v>
      </c>
      <c r="D58" s="203"/>
      <c r="E58" s="203"/>
      <c r="F58" s="203"/>
      <c r="G58" s="37"/>
      <c r="H58" s="268"/>
      <c r="I58" s="269"/>
      <c r="J58" s="298"/>
      <c r="K58" s="299"/>
      <c r="L58" s="299"/>
      <c r="M58" s="299"/>
      <c r="N58" s="299"/>
      <c r="O58" s="299"/>
      <c r="P58" s="299"/>
      <c r="Q58" s="299"/>
      <c r="R58" s="91"/>
      <c r="U58" s="297"/>
      <c r="V58" s="297"/>
      <c r="W58" s="297"/>
    </row>
    <row r="59" spans="2:23" ht="15" x14ac:dyDescent="0.2">
      <c r="B59" s="36"/>
      <c r="C59" s="211" t="s">
        <v>44</v>
      </c>
      <c r="D59" s="212"/>
      <c r="E59" s="212"/>
      <c r="F59" s="212"/>
      <c r="G59" s="37"/>
      <c r="H59" s="268"/>
      <c r="I59" s="269"/>
      <c r="J59" s="267"/>
      <c r="K59" s="267"/>
      <c r="L59" s="267"/>
      <c r="M59" s="267"/>
      <c r="N59" s="267"/>
      <c r="O59" s="267"/>
      <c r="P59" s="267"/>
      <c r="Q59" s="267"/>
      <c r="R59" s="91"/>
      <c r="U59" s="110"/>
      <c r="V59" s="110"/>
      <c r="W59" s="110"/>
    </row>
    <row r="60" spans="2:23" ht="15" x14ac:dyDescent="0.2">
      <c r="B60" s="36"/>
      <c r="C60" s="211" t="s">
        <v>43</v>
      </c>
      <c r="D60" s="212"/>
      <c r="E60" s="212"/>
      <c r="F60" s="212"/>
      <c r="G60" s="37"/>
      <c r="H60" s="268">
        <v>383</v>
      </c>
      <c r="I60" s="269"/>
      <c r="J60" s="267"/>
      <c r="K60" s="267"/>
      <c r="L60" s="267"/>
      <c r="M60" s="267"/>
      <c r="N60" s="267"/>
      <c r="O60" s="267"/>
      <c r="P60" s="267"/>
      <c r="Q60" s="267"/>
      <c r="R60" s="91"/>
      <c r="U60" s="110"/>
      <c r="V60" s="110"/>
      <c r="W60" s="110"/>
    </row>
    <row r="61" spans="2:23" ht="15" x14ac:dyDescent="0.2">
      <c r="B61" s="36"/>
      <c r="C61" s="211" t="s">
        <v>128</v>
      </c>
      <c r="D61" s="212"/>
      <c r="E61" s="212"/>
      <c r="F61" s="212"/>
      <c r="G61" s="37"/>
      <c r="H61" s="280"/>
      <c r="I61" s="269"/>
      <c r="J61" s="277"/>
      <c r="K61" s="278"/>
      <c r="L61" s="278"/>
      <c r="M61" s="278"/>
      <c r="N61" s="278"/>
      <c r="O61" s="278"/>
      <c r="P61" s="278"/>
      <c r="Q61" s="279"/>
      <c r="R61" s="91"/>
      <c r="U61" s="110"/>
      <c r="V61" s="110"/>
      <c r="W61" s="110"/>
    </row>
    <row r="62" spans="2:23" ht="13.15" customHeight="1" x14ac:dyDescent="0.2">
      <c r="B62" s="36"/>
      <c r="C62" s="211" t="s">
        <v>108</v>
      </c>
      <c r="D62" s="212"/>
      <c r="E62" s="212"/>
      <c r="F62" s="212"/>
      <c r="G62" s="37"/>
      <c r="H62" s="268"/>
      <c r="I62" s="269"/>
      <c r="J62" s="267"/>
      <c r="K62" s="267"/>
      <c r="L62" s="267"/>
      <c r="M62" s="267"/>
      <c r="N62" s="267"/>
      <c r="O62" s="267"/>
      <c r="P62" s="267"/>
      <c r="Q62" s="267"/>
      <c r="R62" s="91"/>
      <c r="U62" s="110"/>
      <c r="V62" s="110"/>
      <c r="W62" s="110"/>
    </row>
    <row r="63" spans="2:23" ht="15" x14ac:dyDescent="0.2">
      <c r="B63" s="36"/>
      <c r="C63" s="211" t="s">
        <v>107</v>
      </c>
      <c r="D63" s="212"/>
      <c r="E63" s="212"/>
      <c r="F63" s="212"/>
      <c r="G63" s="37"/>
      <c r="H63" s="268"/>
      <c r="I63" s="269"/>
      <c r="J63" s="267"/>
      <c r="K63" s="267"/>
      <c r="L63" s="267"/>
      <c r="M63" s="267"/>
      <c r="N63" s="267"/>
      <c r="O63" s="267"/>
      <c r="P63" s="267"/>
      <c r="Q63" s="267"/>
      <c r="R63" s="91"/>
      <c r="U63" s="110"/>
      <c r="V63" s="110"/>
      <c r="W63" s="110"/>
    </row>
    <row r="64" spans="2:23" ht="15" x14ac:dyDescent="0.2">
      <c r="B64" s="36"/>
      <c r="C64" s="211" t="s">
        <v>45</v>
      </c>
      <c r="D64" s="212"/>
      <c r="E64" s="212"/>
      <c r="F64" s="212"/>
      <c r="G64" s="37"/>
      <c r="H64" s="268"/>
      <c r="I64" s="269"/>
      <c r="J64" s="267"/>
      <c r="K64" s="267"/>
      <c r="L64" s="267"/>
      <c r="M64" s="267"/>
      <c r="N64" s="267"/>
      <c r="O64" s="267"/>
      <c r="P64" s="267"/>
      <c r="Q64" s="267"/>
      <c r="R64" s="91"/>
      <c r="U64" s="110"/>
      <c r="V64" s="110"/>
      <c r="W64" s="110"/>
    </row>
    <row r="65" spans="2:23" ht="14.65" customHeight="1" x14ac:dyDescent="0.2">
      <c r="B65" s="36"/>
      <c r="C65" s="211" t="s">
        <v>73</v>
      </c>
      <c r="D65" s="212"/>
      <c r="E65" s="212"/>
      <c r="F65" s="212"/>
      <c r="G65" s="37"/>
      <c r="H65" s="268"/>
      <c r="I65" s="269"/>
      <c r="J65" s="267"/>
      <c r="K65" s="267"/>
      <c r="L65" s="267"/>
      <c r="M65" s="267"/>
      <c r="N65" s="267"/>
      <c r="O65" s="267"/>
      <c r="P65" s="267"/>
      <c r="Q65" s="267"/>
      <c r="R65" s="91"/>
      <c r="U65" s="110"/>
      <c r="V65" s="110"/>
      <c r="W65" s="110"/>
    </row>
    <row r="66" spans="2:23" ht="15" x14ac:dyDescent="0.2">
      <c r="B66" s="36"/>
      <c r="C66" s="202" t="s">
        <v>117</v>
      </c>
      <c r="D66" s="203"/>
      <c r="E66" s="203"/>
      <c r="F66" s="203"/>
      <c r="G66" s="37"/>
      <c r="H66" s="268"/>
      <c r="I66" s="269"/>
      <c r="J66" s="267"/>
      <c r="K66" s="267"/>
      <c r="L66" s="267"/>
      <c r="M66" s="267"/>
      <c r="N66" s="267"/>
      <c r="O66" s="267"/>
      <c r="P66" s="267"/>
      <c r="Q66" s="267"/>
      <c r="R66" s="91"/>
      <c r="U66" s="110"/>
      <c r="V66" s="110"/>
      <c r="W66" s="110"/>
    </row>
    <row r="67" spans="2:23" ht="15" x14ac:dyDescent="0.2">
      <c r="B67" s="36"/>
      <c r="C67" s="208" t="s">
        <v>103</v>
      </c>
      <c r="D67" s="209"/>
      <c r="E67" s="209"/>
      <c r="F67" s="209"/>
      <c r="G67" s="37"/>
      <c r="H67" s="268"/>
      <c r="I67" s="269"/>
      <c r="J67" s="267"/>
      <c r="K67" s="267"/>
      <c r="L67" s="267"/>
      <c r="M67" s="267"/>
      <c r="N67" s="267"/>
      <c r="O67" s="267"/>
      <c r="P67" s="267"/>
      <c r="Q67" s="267"/>
      <c r="R67" s="91"/>
      <c r="U67" s="110"/>
      <c r="V67" s="110"/>
      <c r="W67" s="110"/>
    </row>
    <row r="68" spans="2:23" ht="13.15" customHeight="1" x14ac:dyDescent="0.2">
      <c r="B68" s="36"/>
      <c r="C68" s="208" t="s">
        <v>104</v>
      </c>
      <c r="D68" s="209"/>
      <c r="E68" s="209"/>
      <c r="F68" s="209"/>
      <c r="G68" s="37"/>
      <c r="H68" s="268"/>
      <c r="I68" s="269"/>
      <c r="J68" s="267"/>
      <c r="K68" s="267"/>
      <c r="L68" s="267"/>
      <c r="M68" s="267"/>
      <c r="N68" s="267"/>
      <c r="O68" s="267"/>
      <c r="P68" s="267"/>
      <c r="Q68" s="267"/>
      <c r="R68" s="91"/>
      <c r="U68" s="110"/>
      <c r="V68" s="110"/>
      <c r="W68" s="110"/>
    </row>
    <row r="69" spans="2:23" ht="15" x14ac:dyDescent="0.2">
      <c r="B69" s="36"/>
      <c r="C69" s="183" t="s">
        <v>105</v>
      </c>
      <c r="D69" s="184"/>
      <c r="E69" s="184"/>
      <c r="F69" s="184"/>
      <c r="G69" s="37"/>
      <c r="H69" s="280"/>
      <c r="I69" s="269"/>
      <c r="J69" s="267"/>
      <c r="K69" s="267"/>
      <c r="L69" s="267"/>
      <c r="M69" s="267"/>
      <c r="N69" s="267"/>
      <c r="O69" s="267"/>
      <c r="P69" s="267"/>
      <c r="Q69" s="267"/>
      <c r="R69" s="91"/>
      <c r="U69" s="110"/>
      <c r="V69" s="110"/>
      <c r="W69" s="110"/>
    </row>
    <row r="70" spans="2:23" ht="15" x14ac:dyDescent="0.2">
      <c r="B70" s="36"/>
      <c r="C70" s="208" t="s">
        <v>98</v>
      </c>
      <c r="D70" s="209"/>
      <c r="E70" s="209"/>
      <c r="F70" s="209"/>
      <c r="G70" s="37"/>
      <c r="H70" s="280"/>
      <c r="I70" s="269"/>
      <c r="J70" s="267"/>
      <c r="K70" s="267"/>
      <c r="L70" s="267"/>
      <c r="M70" s="267"/>
      <c r="N70" s="267"/>
      <c r="O70" s="267"/>
      <c r="P70" s="267"/>
      <c r="Q70" s="267"/>
      <c r="R70" s="91"/>
      <c r="U70" s="110"/>
      <c r="V70" s="110"/>
      <c r="W70" s="110"/>
    </row>
    <row r="71" spans="2:23" ht="15" x14ac:dyDescent="0.2">
      <c r="B71" s="36"/>
      <c r="C71" s="202" t="s">
        <v>118</v>
      </c>
      <c r="D71" s="203"/>
      <c r="E71" s="203"/>
      <c r="F71" s="203"/>
      <c r="G71" s="37"/>
      <c r="H71" s="280"/>
      <c r="I71" s="269"/>
      <c r="J71" s="267"/>
      <c r="K71" s="267"/>
      <c r="L71" s="267"/>
      <c r="M71" s="267"/>
      <c r="N71" s="267"/>
      <c r="O71" s="267"/>
      <c r="P71" s="267"/>
      <c r="Q71" s="267"/>
      <c r="R71" s="91"/>
      <c r="U71" s="110"/>
      <c r="V71" s="110"/>
      <c r="W71" s="110"/>
    </row>
    <row r="72" spans="2:23" ht="15" x14ac:dyDescent="0.2">
      <c r="B72" s="36"/>
      <c r="C72" s="208" t="s">
        <v>40</v>
      </c>
      <c r="D72" s="209"/>
      <c r="E72" s="209"/>
      <c r="F72" s="209"/>
      <c r="G72" s="37"/>
      <c r="H72" s="280">
        <v>608</v>
      </c>
      <c r="I72" s="269"/>
      <c r="J72" s="267" t="s">
        <v>140</v>
      </c>
      <c r="K72" s="267"/>
      <c r="L72" s="267"/>
      <c r="M72" s="267"/>
      <c r="N72" s="267"/>
      <c r="O72" s="267"/>
      <c r="P72" s="267"/>
      <c r="Q72" s="267"/>
      <c r="R72" s="91"/>
      <c r="U72" s="110"/>
      <c r="V72" s="110"/>
      <c r="W72" s="110"/>
    </row>
    <row r="73" spans="2:23" ht="14.65" customHeight="1" x14ac:dyDescent="0.2">
      <c r="B73" s="36"/>
      <c r="C73" s="208" t="s">
        <v>41</v>
      </c>
      <c r="D73" s="209"/>
      <c r="E73" s="209"/>
      <c r="F73" s="209"/>
      <c r="G73" s="37"/>
      <c r="H73" s="268">
        <v>559</v>
      </c>
      <c r="I73" s="269"/>
      <c r="J73" s="267" t="s">
        <v>141</v>
      </c>
      <c r="K73" s="267"/>
      <c r="L73" s="267"/>
      <c r="M73" s="267"/>
      <c r="N73" s="267"/>
      <c r="O73" s="267"/>
      <c r="P73" s="267"/>
      <c r="Q73" s="267"/>
      <c r="R73" s="91"/>
      <c r="U73" s="110"/>
      <c r="V73" s="110"/>
      <c r="W73" s="110"/>
    </row>
    <row r="74" spans="2:23" ht="15" x14ac:dyDescent="0.2">
      <c r="B74" s="36"/>
      <c r="C74" s="183" t="s">
        <v>99</v>
      </c>
      <c r="D74" s="184"/>
      <c r="E74" s="184"/>
      <c r="F74" s="184"/>
      <c r="G74" s="37"/>
      <c r="H74" s="268"/>
      <c r="I74" s="269"/>
      <c r="J74" s="267"/>
      <c r="K74" s="267"/>
      <c r="L74" s="267"/>
      <c r="M74" s="267"/>
      <c r="N74" s="267"/>
      <c r="O74" s="267"/>
      <c r="P74" s="267"/>
      <c r="Q74" s="267"/>
      <c r="R74" s="91"/>
      <c r="U74" s="110"/>
      <c r="V74" s="110"/>
      <c r="W74" s="110"/>
    </row>
    <row r="75" spans="2:23" ht="15" x14ac:dyDescent="0.2">
      <c r="B75" s="36"/>
      <c r="C75" s="183" t="s">
        <v>100</v>
      </c>
      <c r="D75" s="184"/>
      <c r="E75" s="184"/>
      <c r="F75" s="184"/>
      <c r="G75" s="37"/>
      <c r="H75" s="268"/>
      <c r="I75" s="269"/>
      <c r="J75" s="267"/>
      <c r="K75" s="267"/>
      <c r="L75" s="267"/>
      <c r="M75" s="267"/>
      <c r="N75" s="267"/>
      <c r="O75" s="267"/>
      <c r="P75" s="267"/>
      <c r="Q75" s="267"/>
      <c r="R75" s="91"/>
      <c r="U75" s="110"/>
      <c r="V75" s="110"/>
      <c r="W75" s="110"/>
    </row>
    <row r="76" spans="2:23" ht="13.15" customHeight="1" x14ac:dyDescent="0.2">
      <c r="B76" s="36"/>
      <c r="C76" s="183" t="s">
        <v>101</v>
      </c>
      <c r="D76" s="184"/>
      <c r="E76" s="184"/>
      <c r="F76" s="184"/>
      <c r="G76" s="37"/>
      <c r="H76" s="268"/>
      <c r="I76" s="269"/>
      <c r="J76" s="267"/>
      <c r="K76" s="267"/>
      <c r="L76" s="267"/>
      <c r="M76" s="267"/>
      <c r="N76" s="267"/>
      <c r="O76" s="267"/>
      <c r="P76" s="267"/>
      <c r="Q76" s="267"/>
      <c r="R76" s="91"/>
      <c r="U76" s="110"/>
      <c r="V76" s="110"/>
      <c r="W76" s="110"/>
    </row>
    <row r="77" spans="2:23" ht="15" x14ac:dyDescent="0.2">
      <c r="B77" s="36"/>
      <c r="C77" s="183" t="s">
        <v>102</v>
      </c>
      <c r="D77" s="184"/>
      <c r="E77" s="184"/>
      <c r="F77" s="184"/>
      <c r="G77" s="37"/>
      <c r="H77" s="280"/>
      <c r="I77" s="269"/>
      <c r="J77" s="267"/>
      <c r="K77" s="267"/>
      <c r="L77" s="267"/>
      <c r="M77" s="267"/>
      <c r="N77" s="267"/>
      <c r="O77" s="267"/>
      <c r="P77" s="267"/>
      <c r="Q77" s="267"/>
      <c r="R77" s="91"/>
      <c r="U77" s="110"/>
      <c r="V77" s="110"/>
      <c r="W77" s="110"/>
    </row>
    <row r="78" spans="2:23" ht="26.1" customHeight="1" x14ac:dyDescent="0.2">
      <c r="B78" s="36"/>
      <c r="C78" s="202" t="s">
        <v>39</v>
      </c>
      <c r="D78" s="203"/>
      <c r="E78" s="203"/>
      <c r="F78" s="203"/>
      <c r="G78" s="37"/>
      <c r="H78" s="268"/>
      <c r="I78" s="269"/>
      <c r="J78" s="267"/>
      <c r="K78" s="267"/>
      <c r="L78" s="267"/>
      <c r="M78" s="267"/>
      <c r="N78" s="267"/>
      <c r="O78" s="267"/>
      <c r="P78" s="267"/>
      <c r="Q78" s="267"/>
      <c r="R78" s="91"/>
      <c r="U78" s="110"/>
      <c r="V78" s="110"/>
      <c r="W78" s="110"/>
    </row>
    <row r="79" spans="2:23" ht="14.45" customHeight="1" x14ac:dyDescent="0.2">
      <c r="B79" s="36"/>
      <c r="C79" s="205" t="s">
        <v>46</v>
      </c>
      <c r="D79" s="206"/>
      <c r="E79" s="206"/>
      <c r="F79" s="206"/>
      <c r="G79" s="37"/>
      <c r="H79" s="282" t="s">
        <v>37</v>
      </c>
      <c r="I79" s="283"/>
      <c r="J79" s="290" t="s">
        <v>74</v>
      </c>
      <c r="K79" s="291"/>
      <c r="L79" s="291"/>
      <c r="M79" s="291"/>
      <c r="N79" s="291"/>
      <c r="O79" s="291"/>
      <c r="P79" s="291"/>
      <c r="Q79" s="291"/>
      <c r="R79" s="91"/>
      <c r="U79" s="110"/>
      <c r="V79" s="110"/>
      <c r="W79" s="110"/>
    </row>
    <row r="80" spans="2:23" ht="14.45" customHeight="1" x14ac:dyDescent="0.2">
      <c r="B80" s="36"/>
      <c r="C80" s="202" t="s">
        <v>106</v>
      </c>
      <c r="D80" s="203"/>
      <c r="E80" s="203"/>
      <c r="F80" s="203"/>
      <c r="G80" s="37"/>
      <c r="H80" s="268"/>
      <c r="I80" s="269"/>
      <c r="J80" s="267"/>
      <c r="K80" s="267"/>
      <c r="L80" s="267"/>
      <c r="M80" s="267"/>
      <c r="N80" s="267"/>
      <c r="O80" s="267"/>
      <c r="P80" s="267"/>
      <c r="Q80" s="267"/>
      <c r="R80" s="91"/>
      <c r="U80" s="110"/>
      <c r="V80" s="110"/>
      <c r="W80" s="110"/>
    </row>
    <row r="81" spans="2:24" ht="29.1" customHeight="1" x14ac:dyDescent="0.2">
      <c r="B81" s="36"/>
      <c r="C81" s="202" t="s">
        <v>96</v>
      </c>
      <c r="D81" s="203"/>
      <c r="E81" s="203" t="s">
        <v>85</v>
      </c>
      <c r="F81" s="203" t="s">
        <v>85</v>
      </c>
      <c r="G81" s="37"/>
      <c r="H81" s="280"/>
      <c r="I81" s="269"/>
      <c r="J81" s="267"/>
      <c r="K81" s="267"/>
      <c r="L81" s="267"/>
      <c r="M81" s="267"/>
      <c r="N81" s="267"/>
      <c r="O81" s="267"/>
      <c r="P81" s="267"/>
      <c r="Q81" s="267"/>
      <c r="R81" s="91"/>
      <c r="U81" s="110"/>
      <c r="V81" s="110"/>
      <c r="W81" s="110"/>
    </row>
    <row r="82" spans="2:24" ht="14.45" customHeight="1" x14ac:dyDescent="0.2">
      <c r="B82" s="36"/>
      <c r="C82" s="202" t="s">
        <v>93</v>
      </c>
      <c r="D82" s="203"/>
      <c r="E82" s="203" t="s">
        <v>85</v>
      </c>
      <c r="F82" s="203" t="s">
        <v>85</v>
      </c>
      <c r="G82" s="37"/>
      <c r="H82" s="268"/>
      <c r="I82" s="269"/>
      <c r="J82" s="267"/>
      <c r="K82" s="267"/>
      <c r="L82" s="267"/>
      <c r="M82" s="267"/>
      <c r="N82" s="267"/>
      <c r="O82" s="267"/>
      <c r="P82" s="267"/>
      <c r="Q82" s="267"/>
      <c r="R82" s="91"/>
      <c r="U82" s="110"/>
      <c r="V82" s="110"/>
      <c r="W82" s="110"/>
    </row>
    <row r="83" spans="2:24" s="79" customFormat="1" ht="14.65" customHeight="1" x14ac:dyDescent="0.2">
      <c r="B83" s="36"/>
      <c r="C83" s="202" t="s">
        <v>92</v>
      </c>
      <c r="D83" s="203"/>
      <c r="E83" s="203"/>
      <c r="F83" s="203"/>
      <c r="G83" s="37"/>
      <c r="H83" s="268"/>
      <c r="I83" s="269"/>
      <c r="J83" s="267"/>
      <c r="K83" s="267"/>
      <c r="L83" s="267"/>
      <c r="M83" s="267"/>
      <c r="N83" s="267"/>
      <c r="O83" s="267"/>
      <c r="P83" s="267"/>
      <c r="Q83" s="267"/>
      <c r="R83" s="91"/>
      <c r="S83" s="81"/>
      <c r="T83" s="81"/>
      <c r="U83" s="81"/>
      <c r="V83" s="81"/>
      <c r="W83" s="81"/>
      <c r="X83" s="81"/>
    </row>
    <row r="84" spans="2:24" s="81" customFormat="1" ht="14.65" customHeight="1" x14ac:dyDescent="0.2">
      <c r="B84" s="36"/>
      <c r="C84" s="202" t="s">
        <v>127</v>
      </c>
      <c r="D84" s="203"/>
      <c r="E84" s="203"/>
      <c r="F84" s="203"/>
      <c r="G84" s="37"/>
      <c r="H84" s="268"/>
      <c r="I84" s="269"/>
      <c r="J84" s="267"/>
      <c r="K84" s="267"/>
      <c r="L84" s="267"/>
      <c r="M84" s="267"/>
      <c r="N84" s="267"/>
      <c r="O84" s="267"/>
      <c r="P84" s="267"/>
      <c r="Q84" s="267"/>
      <c r="R84" s="90"/>
      <c r="S84" s="75"/>
      <c r="T84" s="75"/>
      <c r="U84" s="112"/>
    </row>
    <row r="85" spans="2:24" s="81" customFormat="1" ht="14.45" customHeight="1" x14ac:dyDescent="0.2">
      <c r="B85" s="36"/>
      <c r="C85" s="202" t="s">
        <v>95</v>
      </c>
      <c r="D85" s="203"/>
      <c r="E85" s="203" t="s">
        <v>85</v>
      </c>
      <c r="F85" s="203" t="s">
        <v>85</v>
      </c>
      <c r="G85" s="37"/>
      <c r="H85" s="268"/>
      <c r="I85" s="269"/>
      <c r="J85" s="267"/>
      <c r="K85" s="267"/>
      <c r="L85" s="267"/>
      <c r="M85" s="267"/>
      <c r="N85" s="267"/>
      <c r="O85" s="267"/>
      <c r="P85" s="267"/>
      <c r="Q85" s="267"/>
      <c r="R85" s="91"/>
      <c r="S85" s="112"/>
      <c r="T85" s="112"/>
      <c r="U85" s="112"/>
    </row>
    <row r="86" spans="2:24" s="81" customFormat="1" ht="15" x14ac:dyDescent="0.2">
      <c r="B86" s="36"/>
      <c r="C86" s="202" t="s">
        <v>94</v>
      </c>
      <c r="D86" s="203"/>
      <c r="E86" s="203" t="s">
        <v>85</v>
      </c>
      <c r="F86" s="203" t="s">
        <v>85</v>
      </c>
      <c r="G86" s="37"/>
      <c r="H86" s="268"/>
      <c r="I86" s="269"/>
      <c r="J86" s="267"/>
      <c r="K86" s="267"/>
      <c r="L86" s="267"/>
      <c r="M86" s="267"/>
      <c r="N86" s="267"/>
      <c r="O86" s="267"/>
      <c r="P86" s="267"/>
      <c r="Q86" s="267"/>
      <c r="R86" s="91"/>
      <c r="S86" s="112"/>
      <c r="T86" s="112"/>
      <c r="U86" s="112"/>
    </row>
    <row r="87" spans="2:24" s="81" customFormat="1" x14ac:dyDescent="0.2">
      <c r="B87" s="106"/>
      <c r="C87" s="53"/>
      <c r="D87" s="54"/>
      <c r="E87" s="55"/>
      <c r="F87" s="53"/>
      <c r="G87" s="53"/>
      <c r="H87" s="53"/>
      <c r="I87" s="53"/>
      <c r="J87" s="53"/>
      <c r="K87" s="54"/>
      <c r="L87" s="54"/>
      <c r="M87" s="54"/>
      <c r="N87" s="54"/>
      <c r="O87" s="54"/>
      <c r="P87" s="54"/>
      <c r="Q87" s="54"/>
      <c r="R87" s="92"/>
      <c r="S87" s="112"/>
      <c r="T87" s="112"/>
      <c r="U87" s="112"/>
    </row>
    <row r="88" spans="2:24" s="81" customFormat="1" x14ac:dyDescent="0.2">
      <c r="D88" s="112"/>
      <c r="E88" s="80"/>
      <c r="F88" s="80"/>
      <c r="G88" s="80"/>
      <c r="H88" s="80"/>
      <c r="I88" s="80"/>
      <c r="J88" s="80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</row>
    <row r="89" spans="2:24" s="81" customFormat="1" x14ac:dyDescent="0.2">
      <c r="D89" s="112"/>
      <c r="E89" s="82"/>
      <c r="F89" s="82"/>
      <c r="G89" s="82"/>
      <c r="H89" s="8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</row>
    <row r="90" spans="2:24" s="81" customFormat="1" x14ac:dyDescent="0.2">
      <c r="D90" s="112"/>
      <c r="E90" s="83"/>
      <c r="F90" s="83"/>
      <c r="G90" s="83"/>
      <c r="H90" s="83"/>
      <c r="I90" s="112"/>
      <c r="J90" s="112"/>
      <c r="K90" s="112"/>
      <c r="L90" s="112"/>
      <c r="M90" s="112"/>
      <c r="N90" s="112"/>
      <c r="O90" s="112"/>
      <c r="P90" s="112"/>
      <c r="R90" s="112"/>
      <c r="S90" s="112"/>
      <c r="T90" s="112"/>
      <c r="U90" s="112"/>
    </row>
    <row r="91" spans="2:24" s="81" customFormat="1" x14ac:dyDescent="0.2">
      <c r="D91" s="112"/>
      <c r="E91" s="83"/>
      <c r="F91" s="83"/>
      <c r="G91" s="83"/>
      <c r="H91" s="83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</row>
    <row r="92" spans="2:24" s="81" customFormat="1" x14ac:dyDescent="0.2">
      <c r="D92" s="112"/>
      <c r="E92" s="83"/>
      <c r="F92" s="83"/>
      <c r="G92" s="83"/>
      <c r="H92" s="83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</row>
    <row r="93" spans="2:24" s="75" customFormat="1" x14ac:dyDescent="0.2">
      <c r="C93" s="81"/>
      <c r="D93" s="112"/>
      <c r="E93" s="80"/>
      <c r="F93" s="80"/>
      <c r="G93" s="80"/>
      <c r="H93" s="80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</row>
    <row r="94" spans="2:24" s="75" customFormat="1" x14ac:dyDescent="0.2">
      <c r="D94" s="84"/>
      <c r="E94" s="74"/>
      <c r="F94" s="74"/>
      <c r="G94" s="74"/>
      <c r="H94" s="74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</row>
    <row r="95" spans="2:24" s="75" customFormat="1" x14ac:dyDescent="0.2">
      <c r="D95" s="84"/>
      <c r="E95" s="74"/>
      <c r="F95" s="74"/>
      <c r="G95" s="74"/>
      <c r="H95" s="74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</row>
    <row r="96" spans="2:24" s="75" customFormat="1" x14ac:dyDescent="0.2">
      <c r="D96" s="84"/>
      <c r="E96" s="74"/>
      <c r="F96" s="74"/>
      <c r="G96" s="74"/>
      <c r="H96" s="74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</row>
    <row r="97" spans="4:21" s="75" customFormat="1" x14ac:dyDescent="0.2">
      <c r="D97" s="84"/>
      <c r="E97" s="74"/>
      <c r="F97" s="74"/>
      <c r="G97" s="74"/>
      <c r="H97" s="74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</row>
    <row r="98" spans="4:21" s="75" customFormat="1" x14ac:dyDescent="0.2">
      <c r="D98" s="84"/>
      <c r="E98" s="74"/>
      <c r="F98" s="74"/>
      <c r="G98" s="74"/>
      <c r="H98" s="74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</row>
    <row r="99" spans="4:21" s="75" customFormat="1" x14ac:dyDescent="0.2">
      <c r="D99" s="84"/>
      <c r="E99" s="74"/>
      <c r="F99" s="74"/>
      <c r="G99" s="74"/>
      <c r="H99" s="74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</row>
    <row r="100" spans="4:21" s="75" customFormat="1" x14ac:dyDescent="0.2">
      <c r="D100" s="84"/>
      <c r="E100" s="74"/>
      <c r="F100" s="74"/>
      <c r="G100" s="74"/>
      <c r="H100" s="74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</row>
    <row r="101" spans="4:21" s="75" customFormat="1" x14ac:dyDescent="0.2">
      <c r="D101" s="84"/>
      <c r="E101" s="74"/>
      <c r="F101" s="74"/>
      <c r="G101" s="74"/>
      <c r="H101" s="74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</row>
    <row r="102" spans="4:21" s="75" customFormat="1" x14ac:dyDescent="0.2">
      <c r="D102" s="84"/>
      <c r="E102" s="74"/>
      <c r="F102" s="74"/>
      <c r="G102" s="74"/>
      <c r="H102" s="74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</row>
    <row r="103" spans="4:21" s="75" customFormat="1" x14ac:dyDescent="0.2">
      <c r="D103" s="84"/>
      <c r="E103" s="74"/>
      <c r="F103" s="74"/>
      <c r="G103" s="74"/>
      <c r="H103" s="74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</row>
    <row r="104" spans="4:21" s="75" customFormat="1" x14ac:dyDescent="0.2">
      <c r="D104" s="84"/>
      <c r="E104" s="74"/>
      <c r="F104" s="74"/>
      <c r="G104" s="74"/>
      <c r="H104" s="74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</row>
    <row r="105" spans="4:21" s="75" customFormat="1" x14ac:dyDescent="0.2">
      <c r="D105" s="8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</row>
    <row r="106" spans="4:21" s="75" customFormat="1" x14ac:dyDescent="0.2">
      <c r="D106" s="8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</row>
    <row r="107" spans="4:21" s="75" customFormat="1" x14ac:dyDescent="0.2">
      <c r="D107" s="8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</row>
    <row r="108" spans="4:21" s="75" customFormat="1" x14ac:dyDescent="0.2">
      <c r="D108" s="8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</row>
    <row r="109" spans="4:21" s="75" customFormat="1" x14ac:dyDescent="0.2">
      <c r="D109" s="8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</row>
    <row r="110" spans="4:21" s="75" customFormat="1" x14ac:dyDescent="0.2">
      <c r="D110" s="8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</row>
    <row r="111" spans="4:21" s="75" customFormat="1" x14ac:dyDescent="0.2">
      <c r="D111" s="8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</row>
    <row r="112" spans="4:21" s="75" customFormat="1" x14ac:dyDescent="0.2">
      <c r="D112" s="8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</row>
    <row r="113" spans="4:17" s="75" customFormat="1" x14ac:dyDescent="0.2">
      <c r="D113" s="8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</row>
    <row r="114" spans="4:17" s="75" customFormat="1" x14ac:dyDescent="0.2">
      <c r="D114" s="8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</row>
    <row r="115" spans="4:17" s="75" customFormat="1" x14ac:dyDescent="0.2">
      <c r="D115" s="8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</row>
    <row r="116" spans="4:17" s="75" customFormat="1" x14ac:dyDescent="0.2">
      <c r="D116" s="8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</row>
    <row r="117" spans="4:17" s="75" customFormat="1" x14ac:dyDescent="0.2">
      <c r="D117" s="8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</row>
    <row r="118" spans="4:17" s="75" customFormat="1" x14ac:dyDescent="0.2">
      <c r="D118" s="8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</row>
    <row r="119" spans="4:17" s="75" customFormat="1" x14ac:dyDescent="0.2">
      <c r="D119" s="8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</row>
    <row r="120" spans="4:17" s="75" customFormat="1" x14ac:dyDescent="0.2">
      <c r="D120" s="8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</row>
    <row r="121" spans="4:17" s="75" customFormat="1" x14ac:dyDescent="0.2">
      <c r="D121" s="8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</row>
    <row r="122" spans="4:17" s="75" customFormat="1" x14ac:dyDescent="0.2">
      <c r="D122" s="8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</row>
    <row r="123" spans="4:17" s="75" customFormat="1" x14ac:dyDescent="0.2">
      <c r="D123" s="8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</row>
    <row r="124" spans="4:17" s="75" customFormat="1" x14ac:dyDescent="0.2">
      <c r="D124" s="8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</row>
    <row r="125" spans="4:17" s="75" customFormat="1" x14ac:dyDescent="0.2">
      <c r="D125" s="8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</row>
    <row r="126" spans="4:17" s="75" customFormat="1" x14ac:dyDescent="0.2">
      <c r="D126" s="8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</row>
    <row r="127" spans="4:17" s="75" customFormat="1" x14ac:dyDescent="0.2">
      <c r="D127" s="8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</row>
    <row r="128" spans="4:17" s="75" customFormat="1" x14ac:dyDescent="0.2">
      <c r="D128" s="8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</row>
    <row r="129" spans="4:17" s="75" customFormat="1" x14ac:dyDescent="0.2">
      <c r="D129" s="8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</row>
    <row r="130" spans="4:17" s="75" customFormat="1" x14ac:dyDescent="0.2">
      <c r="D130" s="8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</row>
    <row r="131" spans="4:17" s="75" customFormat="1" x14ac:dyDescent="0.2">
      <c r="D131" s="8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</row>
    <row r="132" spans="4:17" s="75" customFormat="1" x14ac:dyDescent="0.2">
      <c r="D132" s="8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</row>
    <row r="133" spans="4:17" s="75" customFormat="1" x14ac:dyDescent="0.2">
      <c r="D133" s="8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</row>
    <row r="134" spans="4:17" s="75" customFormat="1" x14ac:dyDescent="0.2">
      <c r="D134" s="8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</row>
    <row r="135" spans="4:17" s="75" customFormat="1" x14ac:dyDescent="0.2">
      <c r="D135" s="8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</row>
    <row r="136" spans="4:17" s="75" customFormat="1" x14ac:dyDescent="0.2">
      <c r="D136" s="8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</row>
    <row r="137" spans="4:17" s="75" customFormat="1" x14ac:dyDescent="0.2">
      <c r="D137" s="8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</row>
    <row r="138" spans="4:17" s="75" customFormat="1" x14ac:dyDescent="0.2">
      <c r="D138" s="8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</row>
    <row r="139" spans="4:17" s="75" customFormat="1" x14ac:dyDescent="0.2">
      <c r="D139" s="8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</row>
    <row r="140" spans="4:17" s="75" customFormat="1" x14ac:dyDescent="0.2">
      <c r="D140" s="8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</row>
    <row r="141" spans="4:17" s="75" customFormat="1" x14ac:dyDescent="0.2">
      <c r="D141" s="8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</row>
    <row r="142" spans="4:17" s="75" customFormat="1" x14ac:dyDescent="0.2">
      <c r="D142" s="8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</row>
    <row r="143" spans="4:17" s="75" customFormat="1" x14ac:dyDescent="0.2">
      <c r="D143" s="8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</row>
    <row r="144" spans="4:17" s="75" customFormat="1" x14ac:dyDescent="0.2">
      <c r="D144" s="8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</row>
    <row r="145" spans="4:17" s="75" customFormat="1" x14ac:dyDescent="0.2">
      <c r="D145" s="8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</row>
    <row r="146" spans="4:17" s="75" customFormat="1" x14ac:dyDescent="0.2">
      <c r="D146" s="8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</row>
    <row r="147" spans="4:17" s="75" customFormat="1" x14ac:dyDescent="0.2">
      <c r="D147" s="8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</row>
    <row r="148" spans="4:17" s="75" customFormat="1" x14ac:dyDescent="0.2">
      <c r="D148" s="8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</row>
    <row r="149" spans="4:17" s="75" customFormat="1" x14ac:dyDescent="0.2">
      <c r="D149" s="8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</row>
    <row r="150" spans="4:17" s="75" customFormat="1" x14ac:dyDescent="0.2">
      <c r="D150" s="8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</row>
    <row r="151" spans="4:17" s="75" customFormat="1" x14ac:dyDescent="0.2">
      <c r="D151" s="8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</row>
    <row r="152" spans="4:17" s="75" customFormat="1" x14ac:dyDescent="0.2">
      <c r="D152" s="8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</row>
    <row r="153" spans="4:17" s="75" customFormat="1" x14ac:dyDescent="0.2">
      <c r="D153" s="8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</row>
    <row r="154" spans="4:17" s="75" customFormat="1" x14ac:dyDescent="0.2">
      <c r="D154" s="8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</row>
    <row r="155" spans="4:17" s="75" customFormat="1" x14ac:dyDescent="0.2">
      <c r="D155" s="8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</row>
    <row r="156" spans="4:17" s="75" customFormat="1" x14ac:dyDescent="0.2">
      <c r="D156" s="8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</row>
    <row r="157" spans="4:17" s="75" customFormat="1" x14ac:dyDescent="0.2">
      <c r="D157" s="8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</row>
    <row r="158" spans="4:17" s="75" customFormat="1" x14ac:dyDescent="0.2">
      <c r="D158" s="8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</row>
    <row r="159" spans="4:17" s="75" customFormat="1" x14ac:dyDescent="0.2">
      <c r="D159" s="8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</row>
    <row r="160" spans="4:17" s="75" customFormat="1" x14ac:dyDescent="0.2">
      <c r="D160" s="8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</row>
    <row r="161" spans="4:17" s="75" customFormat="1" x14ac:dyDescent="0.2">
      <c r="D161" s="8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</row>
    <row r="162" spans="4:17" s="75" customFormat="1" x14ac:dyDescent="0.2">
      <c r="D162" s="8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</row>
    <row r="163" spans="4:17" s="75" customFormat="1" x14ac:dyDescent="0.2">
      <c r="D163" s="8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</row>
    <row r="164" spans="4:17" s="75" customFormat="1" x14ac:dyDescent="0.2">
      <c r="D164" s="8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</row>
    <row r="165" spans="4:17" s="75" customFormat="1" x14ac:dyDescent="0.2">
      <c r="D165" s="8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</row>
    <row r="166" spans="4:17" s="75" customFormat="1" x14ac:dyDescent="0.2">
      <c r="D166" s="8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</row>
    <row r="167" spans="4:17" s="75" customFormat="1" x14ac:dyDescent="0.2">
      <c r="D167" s="8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</row>
    <row r="168" spans="4:17" s="75" customFormat="1" x14ac:dyDescent="0.2">
      <c r="D168" s="8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</row>
    <row r="169" spans="4:17" s="75" customFormat="1" x14ac:dyDescent="0.2">
      <c r="D169" s="8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</row>
    <row r="170" spans="4:17" s="75" customFormat="1" x14ac:dyDescent="0.2">
      <c r="D170" s="8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</row>
    <row r="171" spans="4:17" s="75" customFormat="1" x14ac:dyDescent="0.2">
      <c r="D171" s="8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</row>
    <row r="172" spans="4:17" s="75" customFormat="1" x14ac:dyDescent="0.2">
      <c r="D172" s="8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</row>
    <row r="173" spans="4:17" s="75" customFormat="1" x14ac:dyDescent="0.2">
      <c r="D173" s="8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</row>
    <row r="174" spans="4:17" s="75" customFormat="1" x14ac:dyDescent="0.2">
      <c r="D174" s="8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</row>
    <row r="175" spans="4:17" s="75" customFormat="1" x14ac:dyDescent="0.2">
      <c r="D175" s="8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</row>
    <row r="176" spans="4:17" s="75" customFormat="1" x14ac:dyDescent="0.2">
      <c r="D176" s="8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</row>
    <row r="177" spans="4:17" s="75" customFormat="1" x14ac:dyDescent="0.2">
      <c r="D177" s="8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</row>
    <row r="178" spans="4:17" s="75" customFormat="1" x14ac:dyDescent="0.2">
      <c r="D178" s="8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</row>
    <row r="179" spans="4:17" s="75" customFormat="1" x14ac:dyDescent="0.2">
      <c r="D179" s="8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</row>
    <row r="180" spans="4:17" s="75" customFormat="1" x14ac:dyDescent="0.2">
      <c r="D180" s="8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</row>
    <row r="181" spans="4:17" s="75" customFormat="1" x14ac:dyDescent="0.2">
      <c r="D181" s="8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</row>
    <row r="182" spans="4:17" s="75" customFormat="1" x14ac:dyDescent="0.2">
      <c r="D182" s="8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</row>
    <row r="183" spans="4:17" s="75" customFormat="1" x14ac:dyDescent="0.2">
      <c r="D183" s="8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</row>
    <row r="184" spans="4:17" s="75" customFormat="1" x14ac:dyDescent="0.2">
      <c r="D184" s="8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</row>
    <row r="185" spans="4:17" s="75" customFormat="1" x14ac:dyDescent="0.2">
      <c r="D185" s="8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</row>
    <row r="186" spans="4:17" s="75" customFormat="1" x14ac:dyDescent="0.2">
      <c r="D186" s="8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</row>
    <row r="187" spans="4:17" s="75" customFormat="1" x14ac:dyDescent="0.2">
      <c r="D187" s="8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</row>
    <row r="188" spans="4:17" s="75" customFormat="1" x14ac:dyDescent="0.2">
      <c r="D188" s="8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</row>
    <row r="189" spans="4:17" s="75" customFormat="1" x14ac:dyDescent="0.2">
      <c r="D189" s="8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</row>
    <row r="190" spans="4:17" s="75" customFormat="1" x14ac:dyDescent="0.2">
      <c r="D190" s="8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</row>
    <row r="191" spans="4:17" s="75" customFormat="1" x14ac:dyDescent="0.2">
      <c r="D191" s="8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</row>
    <row r="192" spans="4:17" s="75" customFormat="1" x14ac:dyDescent="0.2">
      <c r="D192" s="8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</row>
    <row r="193" spans="4:17" s="75" customFormat="1" x14ac:dyDescent="0.2">
      <c r="D193" s="8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</row>
    <row r="194" spans="4:17" s="75" customFormat="1" x14ac:dyDescent="0.2">
      <c r="D194" s="8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</row>
    <row r="195" spans="4:17" s="75" customFormat="1" x14ac:dyDescent="0.2">
      <c r="D195" s="8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</row>
    <row r="196" spans="4:17" s="75" customFormat="1" x14ac:dyDescent="0.2">
      <c r="D196" s="8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</row>
    <row r="197" spans="4:17" s="75" customFormat="1" x14ac:dyDescent="0.2">
      <c r="D197" s="8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</row>
    <row r="198" spans="4:17" s="75" customFormat="1" x14ac:dyDescent="0.2">
      <c r="D198" s="8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</row>
    <row r="199" spans="4:17" s="75" customFormat="1" x14ac:dyDescent="0.2">
      <c r="D199" s="8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</row>
    <row r="200" spans="4:17" s="75" customFormat="1" x14ac:dyDescent="0.2">
      <c r="D200" s="8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</row>
    <row r="201" spans="4:17" s="75" customFormat="1" x14ac:dyDescent="0.2">
      <c r="D201" s="8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</row>
    <row r="202" spans="4:17" s="75" customFormat="1" x14ac:dyDescent="0.2">
      <c r="D202" s="8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</row>
    <row r="203" spans="4:17" s="75" customFormat="1" x14ac:dyDescent="0.2">
      <c r="D203" s="8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</row>
    <row r="204" spans="4:17" s="75" customFormat="1" x14ac:dyDescent="0.2">
      <c r="D204" s="8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</row>
    <row r="205" spans="4:17" s="75" customFormat="1" x14ac:dyDescent="0.2">
      <c r="D205" s="8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</row>
    <row r="206" spans="4:17" s="75" customFormat="1" x14ac:dyDescent="0.2">
      <c r="D206" s="8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</row>
    <row r="207" spans="4:17" s="75" customFormat="1" x14ac:dyDescent="0.2">
      <c r="D207" s="8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</row>
    <row r="208" spans="4:17" s="75" customFormat="1" x14ac:dyDescent="0.2">
      <c r="D208" s="8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</row>
    <row r="209" spans="4:17" s="75" customFormat="1" x14ac:dyDescent="0.2">
      <c r="D209" s="8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</row>
    <row r="210" spans="4:17" s="75" customFormat="1" x14ac:dyDescent="0.2">
      <c r="D210" s="8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</row>
    <row r="211" spans="4:17" s="75" customFormat="1" x14ac:dyDescent="0.2">
      <c r="D211" s="8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</row>
    <row r="212" spans="4:17" s="75" customFormat="1" x14ac:dyDescent="0.2">
      <c r="D212" s="8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</row>
    <row r="213" spans="4:17" s="75" customFormat="1" x14ac:dyDescent="0.2">
      <c r="D213" s="8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</row>
    <row r="214" spans="4:17" s="75" customFormat="1" x14ac:dyDescent="0.2">
      <c r="D214" s="8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</row>
    <row r="215" spans="4:17" s="75" customFormat="1" x14ac:dyDescent="0.2">
      <c r="D215" s="8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</row>
    <row r="216" spans="4:17" s="75" customFormat="1" x14ac:dyDescent="0.2">
      <c r="D216" s="8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</row>
    <row r="217" spans="4:17" s="75" customFormat="1" x14ac:dyDescent="0.2">
      <c r="D217" s="8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</row>
    <row r="218" spans="4:17" s="75" customFormat="1" x14ac:dyDescent="0.2">
      <c r="D218" s="8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</row>
    <row r="219" spans="4:17" s="75" customFormat="1" x14ac:dyDescent="0.2">
      <c r="D219" s="8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</row>
    <row r="220" spans="4:17" s="75" customFormat="1" x14ac:dyDescent="0.2">
      <c r="D220" s="8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</row>
    <row r="221" spans="4:17" s="75" customFormat="1" x14ac:dyDescent="0.2">
      <c r="D221" s="8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</row>
    <row r="222" spans="4:17" s="75" customFormat="1" x14ac:dyDescent="0.2">
      <c r="D222" s="8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</row>
    <row r="223" spans="4:17" s="75" customFormat="1" x14ac:dyDescent="0.2">
      <c r="D223" s="8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</row>
    <row r="224" spans="4:17" s="75" customFormat="1" x14ac:dyDescent="0.2">
      <c r="D224" s="8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</row>
    <row r="225" spans="4:17" s="75" customFormat="1" x14ac:dyDescent="0.2">
      <c r="D225" s="8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</row>
    <row r="226" spans="4:17" s="75" customFormat="1" x14ac:dyDescent="0.2">
      <c r="D226" s="8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</row>
    <row r="227" spans="4:17" s="75" customFormat="1" x14ac:dyDescent="0.2">
      <c r="D227" s="8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</row>
    <row r="228" spans="4:17" s="75" customFormat="1" x14ac:dyDescent="0.2">
      <c r="D228" s="8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</row>
    <row r="229" spans="4:17" s="75" customFormat="1" x14ac:dyDescent="0.2">
      <c r="D229" s="8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</row>
    <row r="230" spans="4:17" s="75" customFormat="1" x14ac:dyDescent="0.2">
      <c r="D230" s="8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</row>
    <row r="231" spans="4:17" s="75" customFormat="1" x14ac:dyDescent="0.2">
      <c r="D231" s="8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</row>
    <row r="232" spans="4:17" s="75" customFormat="1" x14ac:dyDescent="0.2">
      <c r="D232" s="8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</row>
    <row r="233" spans="4:17" s="75" customFormat="1" x14ac:dyDescent="0.2">
      <c r="D233" s="8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</row>
    <row r="234" spans="4:17" s="75" customFormat="1" x14ac:dyDescent="0.2">
      <c r="D234" s="8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</row>
    <row r="235" spans="4:17" s="75" customFormat="1" x14ac:dyDescent="0.2">
      <c r="D235" s="8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</row>
    <row r="236" spans="4:17" s="75" customFormat="1" x14ac:dyDescent="0.2">
      <c r="D236" s="8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</row>
    <row r="237" spans="4:17" s="75" customFormat="1" x14ac:dyDescent="0.2">
      <c r="D237" s="8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</row>
    <row r="238" spans="4:17" s="75" customFormat="1" x14ac:dyDescent="0.2">
      <c r="D238" s="8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</row>
    <row r="239" spans="4:17" s="75" customFormat="1" x14ac:dyDescent="0.2">
      <c r="D239" s="8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</row>
    <row r="240" spans="4:17" s="75" customFormat="1" x14ac:dyDescent="0.2">
      <c r="D240" s="8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</row>
    <row r="241" spans="4:17" s="75" customFormat="1" x14ac:dyDescent="0.2">
      <c r="D241" s="8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</row>
    <row r="242" spans="4:17" s="75" customFormat="1" x14ac:dyDescent="0.2">
      <c r="D242" s="8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</row>
    <row r="243" spans="4:17" s="75" customFormat="1" x14ac:dyDescent="0.2">
      <c r="D243" s="8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</row>
    <row r="244" spans="4:17" s="75" customFormat="1" x14ac:dyDescent="0.2">
      <c r="D244" s="8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</row>
    <row r="245" spans="4:17" s="75" customFormat="1" x14ac:dyDescent="0.2">
      <c r="D245" s="8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</row>
    <row r="246" spans="4:17" s="75" customFormat="1" x14ac:dyDescent="0.2">
      <c r="D246" s="8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</row>
    <row r="247" spans="4:17" s="75" customFormat="1" x14ac:dyDescent="0.2">
      <c r="D247" s="8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</row>
    <row r="248" spans="4:17" s="75" customFormat="1" x14ac:dyDescent="0.2">
      <c r="D248" s="8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</row>
    <row r="249" spans="4:17" s="75" customFormat="1" x14ac:dyDescent="0.2">
      <c r="D249" s="8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</row>
    <row r="250" spans="4:17" s="75" customFormat="1" x14ac:dyDescent="0.2">
      <c r="D250" s="8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</row>
    <row r="251" spans="4:17" s="75" customFormat="1" x14ac:dyDescent="0.2">
      <c r="D251" s="8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</row>
    <row r="252" spans="4:17" s="75" customFormat="1" x14ac:dyDescent="0.2">
      <c r="D252" s="8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</row>
    <row r="253" spans="4:17" s="75" customFormat="1" x14ac:dyDescent="0.2">
      <c r="D253" s="8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</row>
    <row r="254" spans="4:17" s="75" customFormat="1" x14ac:dyDescent="0.2">
      <c r="D254" s="8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</row>
    <row r="255" spans="4:17" s="75" customFormat="1" x14ac:dyDescent="0.2">
      <c r="D255" s="8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</row>
    <row r="256" spans="4:17" s="75" customFormat="1" x14ac:dyDescent="0.2">
      <c r="D256" s="8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</row>
    <row r="257" spans="4:17" s="75" customFormat="1" x14ac:dyDescent="0.2">
      <c r="D257" s="8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</row>
    <row r="258" spans="4:17" s="75" customFormat="1" x14ac:dyDescent="0.2">
      <c r="D258" s="8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</row>
    <row r="259" spans="4:17" s="75" customFormat="1" x14ac:dyDescent="0.2">
      <c r="D259" s="8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</row>
    <row r="260" spans="4:17" s="75" customFormat="1" x14ac:dyDescent="0.2">
      <c r="D260" s="8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</row>
    <row r="261" spans="4:17" s="75" customFormat="1" x14ac:dyDescent="0.2">
      <c r="D261" s="8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</row>
    <row r="262" spans="4:17" s="75" customFormat="1" x14ac:dyDescent="0.2">
      <c r="D262" s="8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</row>
    <row r="263" spans="4:17" s="75" customFormat="1" x14ac:dyDescent="0.2">
      <c r="D263" s="8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</row>
    <row r="264" spans="4:17" s="75" customFormat="1" x14ac:dyDescent="0.2">
      <c r="D264" s="8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</row>
    <row r="265" spans="4:17" s="75" customFormat="1" x14ac:dyDescent="0.2">
      <c r="D265" s="8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</row>
    <row r="266" spans="4:17" s="75" customFormat="1" x14ac:dyDescent="0.2">
      <c r="D266" s="8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</row>
    <row r="267" spans="4:17" s="75" customFormat="1" x14ac:dyDescent="0.2">
      <c r="D267" s="8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</row>
    <row r="268" spans="4:17" s="75" customFormat="1" x14ac:dyDescent="0.2">
      <c r="D268" s="8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</row>
    <row r="269" spans="4:17" s="75" customFormat="1" x14ac:dyDescent="0.2">
      <c r="D269" s="8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</row>
    <row r="270" spans="4:17" s="75" customFormat="1" x14ac:dyDescent="0.2">
      <c r="D270" s="8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</row>
    <row r="271" spans="4:17" s="75" customFormat="1" x14ac:dyDescent="0.2">
      <c r="D271" s="8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</row>
    <row r="272" spans="4:17" s="75" customFormat="1" x14ac:dyDescent="0.2">
      <c r="D272" s="8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</row>
    <row r="273" spans="4:17" s="75" customFormat="1" x14ac:dyDescent="0.2">
      <c r="D273" s="8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</row>
    <row r="274" spans="4:17" s="75" customFormat="1" x14ac:dyDescent="0.2">
      <c r="D274" s="8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</row>
    <row r="275" spans="4:17" s="75" customFormat="1" x14ac:dyDescent="0.2">
      <c r="D275" s="8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</row>
    <row r="276" spans="4:17" s="75" customFormat="1" x14ac:dyDescent="0.2">
      <c r="D276" s="8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</row>
    <row r="277" spans="4:17" s="75" customFormat="1" x14ac:dyDescent="0.2">
      <c r="D277" s="8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</row>
    <row r="278" spans="4:17" s="75" customFormat="1" x14ac:dyDescent="0.2">
      <c r="D278" s="8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</row>
    <row r="279" spans="4:17" s="75" customFormat="1" x14ac:dyDescent="0.2">
      <c r="D279" s="8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</row>
    <row r="280" spans="4:17" s="75" customFormat="1" x14ac:dyDescent="0.2">
      <c r="D280" s="8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</row>
    <row r="281" spans="4:17" s="75" customFormat="1" x14ac:dyDescent="0.2">
      <c r="D281" s="8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</row>
    <row r="282" spans="4:17" s="75" customFormat="1" x14ac:dyDescent="0.2">
      <c r="D282" s="8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</row>
    <row r="283" spans="4:17" s="75" customFormat="1" x14ac:dyDescent="0.2">
      <c r="D283" s="8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</row>
    <row r="284" spans="4:17" s="75" customFormat="1" x14ac:dyDescent="0.2">
      <c r="D284" s="8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</row>
    <row r="285" spans="4:17" s="75" customFormat="1" x14ac:dyDescent="0.2">
      <c r="D285" s="8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</row>
    <row r="286" spans="4:17" s="75" customFormat="1" x14ac:dyDescent="0.2">
      <c r="D286" s="8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</row>
    <row r="287" spans="4:17" s="75" customFormat="1" x14ac:dyDescent="0.2">
      <c r="D287" s="8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</row>
    <row r="288" spans="4:17" s="75" customFormat="1" x14ac:dyDescent="0.2">
      <c r="D288" s="8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</row>
    <row r="289" spans="4:17" s="75" customFormat="1" x14ac:dyDescent="0.2">
      <c r="D289" s="8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</row>
    <row r="290" spans="4:17" s="75" customFormat="1" x14ac:dyDescent="0.2">
      <c r="D290" s="8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</row>
    <row r="291" spans="4:17" s="75" customFormat="1" x14ac:dyDescent="0.2">
      <c r="D291" s="8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</row>
    <row r="292" spans="4:17" s="75" customFormat="1" x14ac:dyDescent="0.2">
      <c r="D292" s="8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</row>
    <row r="293" spans="4:17" s="75" customFormat="1" x14ac:dyDescent="0.2">
      <c r="D293" s="8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</row>
    <row r="294" spans="4:17" s="75" customFormat="1" x14ac:dyDescent="0.2">
      <c r="D294" s="8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</row>
    <row r="295" spans="4:17" s="75" customFormat="1" x14ac:dyDescent="0.2">
      <c r="D295" s="8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</row>
    <row r="296" spans="4:17" s="75" customFormat="1" x14ac:dyDescent="0.2">
      <c r="D296" s="8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</row>
    <row r="297" spans="4:17" s="75" customFormat="1" x14ac:dyDescent="0.2">
      <c r="D297" s="8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</row>
    <row r="298" spans="4:17" s="75" customFormat="1" x14ac:dyDescent="0.2">
      <c r="D298" s="8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</row>
    <row r="299" spans="4:17" s="75" customFormat="1" x14ac:dyDescent="0.2">
      <c r="D299" s="8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</row>
    <row r="300" spans="4:17" s="75" customFormat="1" x14ac:dyDescent="0.2">
      <c r="D300" s="8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</row>
    <row r="301" spans="4:17" s="75" customFormat="1" x14ac:dyDescent="0.2">
      <c r="D301" s="8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</row>
    <row r="302" spans="4:17" s="75" customFormat="1" x14ac:dyDescent="0.2">
      <c r="D302" s="8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</row>
    <row r="303" spans="4:17" s="75" customFormat="1" x14ac:dyDescent="0.2">
      <c r="D303" s="8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</row>
    <row r="304" spans="4:17" s="75" customFormat="1" x14ac:dyDescent="0.2">
      <c r="D304" s="8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</row>
    <row r="305" spans="4:17" s="75" customFormat="1" x14ac:dyDescent="0.2">
      <c r="D305" s="8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</row>
    <row r="306" spans="4:17" s="75" customFormat="1" x14ac:dyDescent="0.2">
      <c r="D306" s="8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</row>
    <row r="307" spans="4:17" s="75" customFormat="1" x14ac:dyDescent="0.2">
      <c r="D307" s="8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</row>
    <row r="308" spans="4:17" s="75" customFormat="1" x14ac:dyDescent="0.2">
      <c r="D308" s="8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</row>
    <row r="309" spans="4:17" s="75" customFormat="1" x14ac:dyDescent="0.2">
      <c r="D309" s="8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</row>
    <row r="310" spans="4:17" s="75" customFormat="1" x14ac:dyDescent="0.2">
      <c r="D310" s="8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</row>
    <row r="311" spans="4:17" s="75" customFormat="1" x14ac:dyDescent="0.2">
      <c r="D311" s="8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</row>
    <row r="312" spans="4:17" s="75" customFormat="1" x14ac:dyDescent="0.2">
      <c r="D312" s="8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</row>
    <row r="313" spans="4:17" s="75" customFormat="1" x14ac:dyDescent="0.2">
      <c r="D313" s="8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</row>
    <row r="314" spans="4:17" s="75" customFormat="1" x14ac:dyDescent="0.2">
      <c r="D314" s="8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</row>
    <row r="315" spans="4:17" s="75" customFormat="1" x14ac:dyDescent="0.2">
      <c r="D315" s="8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</row>
    <row r="316" spans="4:17" s="75" customFormat="1" x14ac:dyDescent="0.2">
      <c r="D316" s="8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</row>
    <row r="317" spans="4:17" s="75" customFormat="1" x14ac:dyDescent="0.2">
      <c r="D317" s="8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</row>
    <row r="318" spans="4:17" s="75" customFormat="1" x14ac:dyDescent="0.2">
      <c r="D318" s="8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</row>
    <row r="319" spans="4:17" s="75" customFormat="1" x14ac:dyDescent="0.2">
      <c r="D319" s="8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</row>
    <row r="320" spans="4:17" s="75" customFormat="1" x14ac:dyDescent="0.2">
      <c r="D320" s="8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</row>
    <row r="321" spans="4:17" s="75" customFormat="1" x14ac:dyDescent="0.2">
      <c r="D321" s="8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</row>
    <row r="322" spans="4:17" s="75" customFormat="1" x14ac:dyDescent="0.2">
      <c r="D322" s="8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</row>
    <row r="323" spans="4:17" s="75" customFormat="1" x14ac:dyDescent="0.2">
      <c r="D323" s="8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</row>
    <row r="324" spans="4:17" s="75" customFormat="1" x14ac:dyDescent="0.2">
      <c r="D324" s="8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</row>
    <row r="325" spans="4:17" s="75" customFormat="1" x14ac:dyDescent="0.2">
      <c r="D325" s="8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</row>
    <row r="326" spans="4:17" s="75" customFormat="1" x14ac:dyDescent="0.2">
      <c r="D326" s="8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</row>
    <row r="327" spans="4:17" s="75" customFormat="1" x14ac:dyDescent="0.2">
      <c r="D327" s="8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</row>
    <row r="328" spans="4:17" s="75" customFormat="1" x14ac:dyDescent="0.2">
      <c r="D328" s="8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</row>
    <row r="329" spans="4:17" s="75" customFormat="1" x14ac:dyDescent="0.2">
      <c r="D329" s="8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</row>
    <row r="330" spans="4:17" s="75" customFormat="1" x14ac:dyDescent="0.2">
      <c r="D330" s="8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</row>
    <row r="331" spans="4:17" s="75" customFormat="1" x14ac:dyDescent="0.2">
      <c r="D331" s="8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</row>
    <row r="332" spans="4:17" s="75" customFormat="1" x14ac:dyDescent="0.2">
      <c r="D332" s="8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</row>
    <row r="333" spans="4:17" s="75" customFormat="1" x14ac:dyDescent="0.2">
      <c r="D333" s="8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</row>
    <row r="334" spans="4:17" s="75" customFormat="1" x14ac:dyDescent="0.2">
      <c r="D334" s="8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</row>
    <row r="335" spans="4:17" s="75" customFormat="1" x14ac:dyDescent="0.2">
      <c r="D335" s="8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</row>
    <row r="336" spans="4:17" s="75" customFormat="1" x14ac:dyDescent="0.2">
      <c r="D336" s="8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</row>
    <row r="337" spans="4:17" s="75" customFormat="1" x14ac:dyDescent="0.2">
      <c r="D337" s="8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</row>
    <row r="338" spans="4:17" s="75" customFormat="1" x14ac:dyDescent="0.2">
      <c r="D338" s="8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</row>
    <row r="339" spans="4:17" s="75" customFormat="1" x14ac:dyDescent="0.2">
      <c r="D339" s="8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</row>
    <row r="340" spans="4:17" s="75" customFormat="1" x14ac:dyDescent="0.2">
      <c r="D340" s="8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</row>
    <row r="341" spans="4:17" s="75" customFormat="1" x14ac:dyDescent="0.2">
      <c r="D341" s="8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</row>
    <row r="342" spans="4:17" s="75" customFormat="1" x14ac:dyDescent="0.2">
      <c r="D342" s="8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</row>
    <row r="343" spans="4:17" s="75" customFormat="1" x14ac:dyDescent="0.2">
      <c r="D343" s="8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</row>
    <row r="344" spans="4:17" s="75" customFormat="1" x14ac:dyDescent="0.2">
      <c r="D344" s="8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</row>
    <row r="345" spans="4:17" s="75" customFormat="1" x14ac:dyDescent="0.2">
      <c r="D345" s="8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</row>
    <row r="346" spans="4:17" s="75" customFormat="1" x14ac:dyDescent="0.2">
      <c r="D346" s="8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</row>
    <row r="347" spans="4:17" s="75" customFormat="1" x14ac:dyDescent="0.2">
      <c r="D347" s="8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</row>
    <row r="348" spans="4:17" s="75" customFormat="1" x14ac:dyDescent="0.2">
      <c r="D348" s="8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</row>
    <row r="349" spans="4:17" s="75" customFormat="1" x14ac:dyDescent="0.2">
      <c r="D349" s="8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</row>
    <row r="350" spans="4:17" s="75" customFormat="1" x14ac:dyDescent="0.2">
      <c r="D350" s="8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</row>
    <row r="351" spans="4:17" s="75" customFormat="1" x14ac:dyDescent="0.2">
      <c r="D351" s="8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</row>
    <row r="352" spans="4:17" s="75" customFormat="1" x14ac:dyDescent="0.2">
      <c r="D352" s="8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</row>
    <row r="353" spans="4:17" s="75" customFormat="1" x14ac:dyDescent="0.2">
      <c r="D353" s="8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</row>
    <row r="354" spans="4:17" s="75" customFormat="1" x14ac:dyDescent="0.2">
      <c r="D354" s="8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</row>
    <row r="355" spans="4:17" s="75" customFormat="1" x14ac:dyDescent="0.2">
      <c r="D355" s="8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</row>
    <row r="356" spans="4:17" s="75" customFormat="1" x14ac:dyDescent="0.2">
      <c r="D356" s="8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</row>
    <row r="357" spans="4:17" s="75" customFormat="1" x14ac:dyDescent="0.2">
      <c r="D357" s="8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</row>
    <row r="358" spans="4:17" s="75" customFormat="1" x14ac:dyDescent="0.2">
      <c r="D358" s="8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</row>
    <row r="359" spans="4:17" s="75" customFormat="1" x14ac:dyDescent="0.2">
      <c r="D359" s="8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</row>
    <row r="360" spans="4:17" s="75" customFormat="1" x14ac:dyDescent="0.2">
      <c r="D360" s="8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</row>
    <row r="361" spans="4:17" s="75" customFormat="1" x14ac:dyDescent="0.2">
      <c r="D361" s="8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</row>
    <row r="362" spans="4:17" s="75" customFormat="1" x14ac:dyDescent="0.2">
      <c r="D362" s="8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</row>
    <row r="363" spans="4:17" s="75" customFormat="1" x14ac:dyDescent="0.2">
      <c r="D363" s="8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</row>
    <row r="364" spans="4:17" s="75" customFormat="1" x14ac:dyDescent="0.2">
      <c r="D364" s="8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</row>
    <row r="365" spans="4:17" s="75" customFormat="1" x14ac:dyDescent="0.2">
      <c r="D365" s="8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</row>
    <row r="366" spans="4:17" s="75" customFormat="1" x14ac:dyDescent="0.2">
      <c r="D366" s="8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</row>
    <row r="367" spans="4:17" s="75" customFormat="1" x14ac:dyDescent="0.2">
      <c r="D367" s="8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</row>
    <row r="368" spans="4:17" s="75" customFormat="1" x14ac:dyDescent="0.2">
      <c r="D368" s="8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</row>
    <row r="369" spans="4:17" s="75" customFormat="1" x14ac:dyDescent="0.2">
      <c r="D369" s="8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</row>
    <row r="370" spans="4:17" s="75" customFormat="1" x14ac:dyDescent="0.2">
      <c r="D370" s="8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</row>
    <row r="371" spans="4:17" s="75" customFormat="1" x14ac:dyDescent="0.2">
      <c r="D371" s="8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</row>
    <row r="372" spans="4:17" s="75" customFormat="1" x14ac:dyDescent="0.2">
      <c r="D372" s="8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</row>
    <row r="373" spans="4:17" s="75" customFormat="1" x14ac:dyDescent="0.2">
      <c r="D373" s="8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</row>
    <row r="374" spans="4:17" s="75" customFormat="1" x14ac:dyDescent="0.2">
      <c r="D374" s="8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</row>
    <row r="375" spans="4:17" s="75" customFormat="1" x14ac:dyDescent="0.2">
      <c r="D375" s="8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</row>
    <row r="376" spans="4:17" s="75" customFormat="1" x14ac:dyDescent="0.2">
      <c r="D376" s="8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</row>
    <row r="377" spans="4:17" s="75" customFormat="1" x14ac:dyDescent="0.2">
      <c r="D377" s="8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</row>
    <row r="378" spans="4:17" s="75" customFormat="1" x14ac:dyDescent="0.2">
      <c r="D378" s="8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</row>
    <row r="379" spans="4:17" s="75" customFormat="1" x14ac:dyDescent="0.2">
      <c r="D379" s="8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</row>
    <row r="380" spans="4:17" s="75" customFormat="1" x14ac:dyDescent="0.2">
      <c r="D380" s="8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</row>
    <row r="381" spans="4:17" s="75" customFormat="1" x14ac:dyDescent="0.2">
      <c r="D381" s="8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</row>
    <row r="382" spans="4:17" s="75" customFormat="1" x14ac:dyDescent="0.2">
      <c r="D382" s="8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</row>
    <row r="383" spans="4:17" s="75" customFormat="1" x14ac:dyDescent="0.2">
      <c r="D383" s="8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</row>
    <row r="384" spans="4:17" s="75" customFormat="1" x14ac:dyDescent="0.2">
      <c r="D384" s="8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</row>
    <row r="385" spans="4:17" s="75" customFormat="1" x14ac:dyDescent="0.2">
      <c r="D385" s="8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</row>
    <row r="386" spans="4:17" s="75" customFormat="1" x14ac:dyDescent="0.2">
      <c r="D386" s="8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</row>
    <row r="387" spans="4:17" s="75" customFormat="1" x14ac:dyDescent="0.2">
      <c r="D387" s="8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</row>
    <row r="388" spans="4:17" s="75" customFormat="1" x14ac:dyDescent="0.2">
      <c r="D388" s="8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</row>
    <row r="389" spans="4:17" s="75" customFormat="1" x14ac:dyDescent="0.2">
      <c r="D389" s="8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</row>
    <row r="390" spans="4:17" s="75" customFormat="1" x14ac:dyDescent="0.2">
      <c r="D390" s="8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</row>
    <row r="391" spans="4:17" s="75" customFormat="1" x14ac:dyDescent="0.2">
      <c r="D391" s="8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</row>
    <row r="392" spans="4:17" s="75" customFormat="1" x14ac:dyDescent="0.2">
      <c r="D392" s="8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</row>
    <row r="393" spans="4:17" s="75" customFormat="1" x14ac:dyDescent="0.2">
      <c r="D393" s="8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</row>
    <row r="394" spans="4:17" s="75" customFormat="1" x14ac:dyDescent="0.2">
      <c r="D394" s="8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</row>
    <row r="395" spans="4:17" s="75" customFormat="1" x14ac:dyDescent="0.2">
      <c r="D395" s="8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</row>
    <row r="396" spans="4:17" s="75" customFormat="1" x14ac:dyDescent="0.2">
      <c r="D396" s="8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</row>
    <row r="397" spans="4:17" s="75" customFormat="1" x14ac:dyDescent="0.2">
      <c r="D397" s="8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</row>
    <row r="398" spans="4:17" s="75" customFormat="1" x14ac:dyDescent="0.2">
      <c r="D398" s="8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</row>
    <row r="399" spans="4:17" s="75" customFormat="1" x14ac:dyDescent="0.2">
      <c r="D399" s="8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</row>
    <row r="400" spans="4:17" s="75" customFormat="1" x14ac:dyDescent="0.2">
      <c r="D400" s="8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</row>
    <row r="401" spans="4:17" s="75" customFormat="1" x14ac:dyDescent="0.2">
      <c r="D401" s="8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</row>
    <row r="402" spans="4:17" s="75" customFormat="1" x14ac:dyDescent="0.2">
      <c r="D402" s="8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</row>
    <row r="403" spans="4:17" s="75" customFormat="1" x14ac:dyDescent="0.2">
      <c r="D403" s="8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</row>
    <row r="404" spans="4:17" s="75" customFormat="1" x14ac:dyDescent="0.2">
      <c r="D404" s="8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</row>
    <row r="405" spans="4:17" s="75" customFormat="1" x14ac:dyDescent="0.2">
      <c r="D405" s="8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</row>
    <row r="406" spans="4:17" s="75" customFormat="1" x14ac:dyDescent="0.2">
      <c r="D406" s="8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</row>
    <row r="407" spans="4:17" s="75" customFormat="1" x14ac:dyDescent="0.2">
      <c r="D407" s="8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</row>
    <row r="408" spans="4:17" s="75" customFormat="1" x14ac:dyDescent="0.2">
      <c r="D408" s="8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</row>
    <row r="409" spans="4:17" s="75" customFormat="1" x14ac:dyDescent="0.2">
      <c r="D409" s="8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</row>
    <row r="410" spans="4:17" s="75" customFormat="1" x14ac:dyDescent="0.2">
      <c r="D410" s="8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</row>
    <row r="411" spans="4:17" s="75" customFormat="1" x14ac:dyDescent="0.2">
      <c r="D411" s="8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</row>
    <row r="412" spans="4:17" s="75" customFormat="1" x14ac:dyDescent="0.2">
      <c r="D412" s="8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</row>
    <row r="413" spans="4:17" s="75" customFormat="1" x14ac:dyDescent="0.2">
      <c r="D413" s="8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</row>
    <row r="414" spans="4:17" s="75" customFormat="1" x14ac:dyDescent="0.2">
      <c r="D414" s="8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</row>
    <row r="415" spans="4:17" s="75" customFormat="1" x14ac:dyDescent="0.2">
      <c r="D415" s="8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</row>
    <row r="416" spans="4:17" s="75" customFormat="1" x14ac:dyDescent="0.2">
      <c r="D416" s="8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</row>
    <row r="417" spans="4:17" s="75" customFormat="1" x14ac:dyDescent="0.2">
      <c r="D417" s="8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</row>
    <row r="418" spans="4:17" s="75" customFormat="1" x14ac:dyDescent="0.2">
      <c r="D418" s="8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</row>
    <row r="419" spans="4:17" s="75" customFormat="1" x14ac:dyDescent="0.2">
      <c r="D419" s="8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</row>
    <row r="420" spans="4:17" s="75" customFormat="1" x14ac:dyDescent="0.2">
      <c r="D420" s="8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</row>
    <row r="421" spans="4:17" s="75" customFormat="1" x14ac:dyDescent="0.2">
      <c r="D421" s="8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</row>
    <row r="422" spans="4:17" s="75" customFormat="1" x14ac:dyDescent="0.2">
      <c r="D422" s="8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</row>
    <row r="423" spans="4:17" s="75" customFormat="1" x14ac:dyDescent="0.2">
      <c r="D423" s="8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</row>
    <row r="424" spans="4:17" s="75" customFormat="1" x14ac:dyDescent="0.2">
      <c r="D424" s="8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</row>
    <row r="425" spans="4:17" s="75" customFormat="1" x14ac:dyDescent="0.2">
      <c r="D425" s="8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</row>
    <row r="426" spans="4:17" s="75" customFormat="1" x14ac:dyDescent="0.2">
      <c r="D426" s="8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</row>
    <row r="427" spans="4:17" s="75" customFormat="1" x14ac:dyDescent="0.2">
      <c r="D427" s="8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</row>
    <row r="428" spans="4:17" s="75" customFormat="1" x14ac:dyDescent="0.2">
      <c r="D428" s="8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</row>
    <row r="429" spans="4:17" s="75" customFormat="1" x14ac:dyDescent="0.2">
      <c r="D429" s="8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</row>
    <row r="430" spans="4:17" s="75" customFormat="1" x14ac:dyDescent="0.2">
      <c r="D430" s="8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</row>
    <row r="431" spans="4:17" s="75" customFormat="1" x14ac:dyDescent="0.2">
      <c r="D431" s="8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</row>
    <row r="432" spans="4:17" s="75" customFormat="1" x14ac:dyDescent="0.2">
      <c r="D432" s="8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</row>
    <row r="433" spans="4:17" s="75" customFormat="1" x14ac:dyDescent="0.2">
      <c r="D433" s="8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</row>
    <row r="434" spans="4:17" s="75" customFormat="1" x14ac:dyDescent="0.2">
      <c r="D434" s="8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</row>
    <row r="435" spans="4:17" s="75" customFormat="1" x14ac:dyDescent="0.2">
      <c r="D435" s="8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</row>
    <row r="436" spans="4:17" s="75" customFormat="1" x14ac:dyDescent="0.2">
      <c r="D436" s="8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</row>
    <row r="437" spans="4:17" s="75" customFormat="1" x14ac:dyDescent="0.2">
      <c r="D437" s="8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</row>
    <row r="438" spans="4:17" s="75" customFormat="1" x14ac:dyDescent="0.2">
      <c r="D438" s="8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</row>
    <row r="439" spans="4:17" s="75" customFormat="1" x14ac:dyDescent="0.2">
      <c r="D439" s="8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</row>
    <row r="440" spans="4:17" s="75" customFormat="1" x14ac:dyDescent="0.2">
      <c r="D440" s="8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</row>
    <row r="441" spans="4:17" s="75" customFormat="1" x14ac:dyDescent="0.2">
      <c r="D441" s="8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</row>
    <row r="442" spans="4:17" s="75" customFormat="1" x14ac:dyDescent="0.2">
      <c r="D442" s="8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</row>
    <row r="443" spans="4:17" s="75" customFormat="1" x14ac:dyDescent="0.2">
      <c r="D443" s="8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</row>
    <row r="444" spans="4:17" s="75" customFormat="1" x14ac:dyDescent="0.2">
      <c r="D444" s="8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</row>
    <row r="445" spans="4:17" s="75" customFormat="1" x14ac:dyDescent="0.2">
      <c r="D445" s="8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</row>
    <row r="446" spans="4:17" s="75" customFormat="1" x14ac:dyDescent="0.2">
      <c r="D446" s="8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</row>
    <row r="447" spans="4:17" s="75" customFormat="1" x14ac:dyDescent="0.2">
      <c r="D447" s="8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</row>
    <row r="448" spans="4:17" s="75" customFormat="1" x14ac:dyDescent="0.2">
      <c r="D448" s="8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</row>
    <row r="449" spans="4:17" s="75" customFormat="1" x14ac:dyDescent="0.2">
      <c r="D449" s="8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</row>
    <row r="450" spans="4:17" s="75" customFormat="1" x14ac:dyDescent="0.2">
      <c r="D450" s="8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</row>
    <row r="451" spans="4:17" s="75" customFormat="1" x14ac:dyDescent="0.2">
      <c r="D451" s="8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</row>
    <row r="452" spans="4:17" s="75" customFormat="1" x14ac:dyDescent="0.2">
      <c r="D452" s="8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</row>
    <row r="453" spans="4:17" s="75" customFormat="1" x14ac:dyDescent="0.2">
      <c r="D453" s="8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</row>
    <row r="454" spans="4:17" s="75" customFormat="1" x14ac:dyDescent="0.2">
      <c r="D454" s="8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</row>
    <row r="455" spans="4:17" s="75" customFormat="1" x14ac:dyDescent="0.2">
      <c r="D455" s="8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</row>
    <row r="456" spans="4:17" s="75" customFormat="1" x14ac:dyDescent="0.2">
      <c r="D456" s="8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</row>
    <row r="457" spans="4:17" s="75" customFormat="1" x14ac:dyDescent="0.2">
      <c r="D457" s="8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</row>
    <row r="458" spans="4:17" s="75" customFormat="1" x14ac:dyDescent="0.2">
      <c r="D458" s="8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</row>
    <row r="459" spans="4:17" s="75" customFormat="1" x14ac:dyDescent="0.2">
      <c r="D459" s="8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</row>
    <row r="460" spans="4:17" s="75" customFormat="1" x14ac:dyDescent="0.2">
      <c r="D460" s="8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</row>
    <row r="461" spans="4:17" s="75" customFormat="1" x14ac:dyDescent="0.2">
      <c r="D461" s="8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</row>
    <row r="462" spans="4:17" s="75" customFormat="1" x14ac:dyDescent="0.2">
      <c r="D462" s="8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</row>
    <row r="463" spans="4:17" s="75" customFormat="1" x14ac:dyDescent="0.2">
      <c r="D463" s="8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</row>
    <row r="464" spans="4:17" s="75" customFormat="1" x14ac:dyDescent="0.2">
      <c r="D464" s="8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</row>
    <row r="465" spans="4:17" s="75" customFormat="1" x14ac:dyDescent="0.2">
      <c r="D465" s="8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</row>
    <row r="466" spans="4:17" s="75" customFormat="1" x14ac:dyDescent="0.2">
      <c r="D466" s="8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</row>
    <row r="467" spans="4:17" s="75" customFormat="1" x14ac:dyDescent="0.2">
      <c r="D467" s="8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</row>
    <row r="468" spans="4:17" s="75" customFormat="1" x14ac:dyDescent="0.2">
      <c r="D468" s="8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</row>
    <row r="469" spans="4:17" s="75" customFormat="1" x14ac:dyDescent="0.2">
      <c r="D469" s="8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</row>
    <row r="470" spans="4:17" s="75" customFormat="1" x14ac:dyDescent="0.2">
      <c r="D470" s="8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</row>
    <row r="471" spans="4:17" s="75" customFormat="1" x14ac:dyDescent="0.2">
      <c r="D471" s="8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</row>
    <row r="472" spans="4:17" s="75" customFormat="1" x14ac:dyDescent="0.2">
      <c r="D472" s="8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</row>
    <row r="473" spans="4:17" s="75" customFormat="1" x14ac:dyDescent="0.2">
      <c r="D473" s="8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</row>
    <row r="474" spans="4:17" s="75" customFormat="1" x14ac:dyDescent="0.2">
      <c r="D474" s="8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</row>
    <row r="475" spans="4:17" s="75" customFormat="1" x14ac:dyDescent="0.2">
      <c r="D475" s="8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</row>
    <row r="476" spans="4:17" s="75" customFormat="1" x14ac:dyDescent="0.2">
      <c r="D476" s="8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</row>
    <row r="477" spans="4:17" s="75" customFormat="1" x14ac:dyDescent="0.2">
      <c r="D477" s="8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</row>
    <row r="478" spans="4:17" s="75" customFormat="1" x14ac:dyDescent="0.2">
      <c r="D478" s="8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</row>
    <row r="479" spans="4:17" s="75" customFormat="1" x14ac:dyDescent="0.2">
      <c r="D479" s="8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</row>
    <row r="480" spans="4:17" s="75" customFormat="1" x14ac:dyDescent="0.2">
      <c r="D480" s="8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</row>
    <row r="481" spans="4:17" s="75" customFormat="1" x14ac:dyDescent="0.2">
      <c r="D481" s="8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</row>
    <row r="482" spans="4:17" s="75" customFormat="1" x14ac:dyDescent="0.2">
      <c r="D482" s="8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</row>
    <row r="483" spans="4:17" s="75" customFormat="1" x14ac:dyDescent="0.2">
      <c r="D483" s="8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</row>
    <row r="484" spans="4:17" s="75" customFormat="1" x14ac:dyDescent="0.2">
      <c r="D484" s="8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</row>
    <row r="485" spans="4:17" s="75" customFormat="1" x14ac:dyDescent="0.2">
      <c r="D485" s="8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</row>
    <row r="486" spans="4:17" s="75" customFormat="1" x14ac:dyDescent="0.2">
      <c r="D486" s="8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</row>
    <row r="487" spans="4:17" s="75" customFormat="1" x14ac:dyDescent="0.2">
      <c r="D487" s="8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</row>
    <row r="488" spans="4:17" s="75" customFormat="1" x14ac:dyDescent="0.2">
      <c r="D488" s="8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</row>
    <row r="489" spans="4:17" s="75" customFormat="1" x14ac:dyDescent="0.2">
      <c r="D489" s="8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</row>
    <row r="490" spans="4:17" s="75" customFormat="1" x14ac:dyDescent="0.2">
      <c r="D490" s="8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</row>
    <row r="491" spans="4:17" s="75" customFormat="1" x14ac:dyDescent="0.2">
      <c r="D491" s="8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</row>
    <row r="492" spans="4:17" s="75" customFormat="1" x14ac:dyDescent="0.2">
      <c r="D492" s="8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</row>
    <row r="493" spans="4:17" s="75" customFormat="1" x14ac:dyDescent="0.2">
      <c r="D493" s="8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</row>
    <row r="494" spans="4:17" s="75" customFormat="1" x14ac:dyDescent="0.2">
      <c r="D494" s="8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</row>
    <row r="495" spans="4:17" s="75" customFormat="1" x14ac:dyDescent="0.2">
      <c r="D495" s="8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</row>
    <row r="496" spans="4:17" s="75" customFormat="1" x14ac:dyDescent="0.2">
      <c r="D496" s="8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</row>
    <row r="497" spans="4:17" s="75" customFormat="1" x14ac:dyDescent="0.2">
      <c r="D497" s="8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</row>
    <row r="498" spans="4:17" s="75" customFormat="1" x14ac:dyDescent="0.2">
      <c r="D498" s="8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</row>
    <row r="499" spans="4:17" s="75" customFormat="1" x14ac:dyDescent="0.2">
      <c r="D499" s="8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</row>
    <row r="500" spans="4:17" s="75" customFormat="1" x14ac:dyDescent="0.2">
      <c r="D500" s="8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</row>
    <row r="501" spans="4:17" s="75" customFormat="1" x14ac:dyDescent="0.2">
      <c r="D501" s="8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</row>
    <row r="502" spans="4:17" s="75" customFormat="1" x14ac:dyDescent="0.2">
      <c r="D502" s="8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</row>
    <row r="503" spans="4:17" s="75" customFormat="1" x14ac:dyDescent="0.2">
      <c r="D503" s="8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</row>
    <row r="504" spans="4:17" s="75" customFormat="1" x14ac:dyDescent="0.2">
      <c r="D504" s="8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</row>
    <row r="505" spans="4:17" s="75" customFormat="1" x14ac:dyDescent="0.2">
      <c r="D505" s="8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</row>
    <row r="506" spans="4:17" s="75" customFormat="1" x14ac:dyDescent="0.2">
      <c r="D506" s="8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</row>
    <row r="507" spans="4:17" s="75" customFormat="1" x14ac:dyDescent="0.2">
      <c r="D507" s="8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</row>
    <row r="508" spans="4:17" s="75" customFormat="1" x14ac:dyDescent="0.2">
      <c r="D508" s="8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</row>
    <row r="509" spans="4:17" s="75" customFormat="1" x14ac:dyDescent="0.2">
      <c r="D509" s="8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</row>
    <row r="510" spans="4:17" s="75" customFormat="1" x14ac:dyDescent="0.2">
      <c r="D510" s="8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</row>
    <row r="511" spans="4:17" s="75" customFormat="1" x14ac:dyDescent="0.2">
      <c r="D511" s="8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</row>
    <row r="512" spans="4:17" s="75" customFormat="1" x14ac:dyDescent="0.2">
      <c r="D512" s="8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</row>
    <row r="513" spans="4:17" s="75" customFormat="1" x14ac:dyDescent="0.2">
      <c r="D513" s="8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</row>
    <row r="514" spans="4:17" s="75" customFormat="1" x14ac:dyDescent="0.2">
      <c r="D514" s="8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</row>
    <row r="515" spans="4:17" s="75" customFormat="1" x14ac:dyDescent="0.2">
      <c r="D515" s="8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</row>
    <row r="516" spans="4:17" s="75" customFormat="1" x14ac:dyDescent="0.2">
      <c r="D516" s="8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</row>
    <row r="517" spans="4:17" s="75" customFormat="1" x14ac:dyDescent="0.2">
      <c r="D517" s="8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</row>
    <row r="518" spans="4:17" s="75" customFormat="1" x14ac:dyDescent="0.2">
      <c r="D518" s="8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</row>
    <row r="519" spans="4:17" s="75" customFormat="1" x14ac:dyDescent="0.2">
      <c r="D519" s="8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</row>
    <row r="520" spans="4:17" s="75" customFormat="1" x14ac:dyDescent="0.2">
      <c r="D520" s="8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</row>
    <row r="521" spans="4:17" s="75" customFormat="1" x14ac:dyDescent="0.2">
      <c r="D521" s="8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</row>
    <row r="522" spans="4:17" s="75" customFormat="1" x14ac:dyDescent="0.2">
      <c r="D522" s="8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</row>
    <row r="523" spans="4:17" s="75" customFormat="1" x14ac:dyDescent="0.2">
      <c r="D523" s="8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</row>
    <row r="524" spans="4:17" s="75" customFormat="1" x14ac:dyDescent="0.2">
      <c r="D524" s="8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</row>
    <row r="525" spans="4:17" s="75" customFormat="1" x14ac:dyDescent="0.2">
      <c r="D525" s="8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</row>
    <row r="526" spans="4:17" s="75" customFormat="1" x14ac:dyDescent="0.2">
      <c r="D526" s="8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</row>
    <row r="527" spans="4:17" s="75" customFormat="1" x14ac:dyDescent="0.2">
      <c r="D527" s="8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</row>
    <row r="528" spans="4:17" s="75" customFormat="1" x14ac:dyDescent="0.2">
      <c r="D528" s="8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</row>
    <row r="529" spans="4:17" s="75" customFormat="1" x14ac:dyDescent="0.2">
      <c r="D529" s="8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</row>
    <row r="530" spans="4:17" s="75" customFormat="1" x14ac:dyDescent="0.2">
      <c r="D530" s="8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</row>
    <row r="531" spans="4:17" s="75" customFormat="1" x14ac:dyDescent="0.2">
      <c r="D531" s="8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</row>
    <row r="532" spans="4:17" s="75" customFormat="1" x14ac:dyDescent="0.2">
      <c r="D532" s="8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</row>
    <row r="533" spans="4:17" s="75" customFormat="1" x14ac:dyDescent="0.2">
      <c r="D533" s="8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</row>
    <row r="534" spans="4:17" s="75" customFormat="1" x14ac:dyDescent="0.2">
      <c r="D534" s="8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</row>
    <row r="535" spans="4:17" s="75" customFormat="1" x14ac:dyDescent="0.2">
      <c r="D535" s="8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</row>
    <row r="536" spans="4:17" s="75" customFormat="1" x14ac:dyDescent="0.2">
      <c r="D536" s="8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</row>
    <row r="537" spans="4:17" s="75" customFormat="1" x14ac:dyDescent="0.2">
      <c r="D537" s="8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</row>
    <row r="538" spans="4:17" s="75" customFormat="1" x14ac:dyDescent="0.2">
      <c r="D538" s="8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</row>
    <row r="539" spans="4:17" s="75" customFormat="1" x14ac:dyDescent="0.2">
      <c r="D539" s="8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</row>
    <row r="540" spans="4:17" s="75" customFormat="1" x14ac:dyDescent="0.2">
      <c r="D540" s="8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</row>
    <row r="541" spans="4:17" s="75" customFormat="1" x14ac:dyDescent="0.2">
      <c r="D541" s="8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</row>
    <row r="542" spans="4:17" s="75" customFormat="1" x14ac:dyDescent="0.2">
      <c r="D542" s="8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</row>
    <row r="543" spans="4:17" s="75" customFormat="1" x14ac:dyDescent="0.2">
      <c r="D543" s="8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</row>
    <row r="544" spans="4:17" s="75" customFormat="1" x14ac:dyDescent="0.2">
      <c r="D544" s="8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</row>
    <row r="545" spans="4:17" s="75" customFormat="1" x14ac:dyDescent="0.2">
      <c r="D545" s="8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</row>
    <row r="546" spans="4:17" s="75" customFormat="1" x14ac:dyDescent="0.2">
      <c r="D546" s="8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</row>
    <row r="547" spans="4:17" s="75" customFormat="1" x14ac:dyDescent="0.2">
      <c r="D547" s="8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</row>
    <row r="548" spans="4:17" s="75" customFormat="1" x14ac:dyDescent="0.2">
      <c r="D548" s="8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</row>
    <row r="549" spans="4:17" s="75" customFormat="1" x14ac:dyDescent="0.2">
      <c r="D549" s="8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</row>
    <row r="550" spans="4:17" s="75" customFormat="1" x14ac:dyDescent="0.2">
      <c r="D550" s="8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</row>
    <row r="551" spans="4:17" s="75" customFormat="1" x14ac:dyDescent="0.2">
      <c r="D551" s="8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</row>
    <row r="552" spans="4:17" s="75" customFormat="1" x14ac:dyDescent="0.2">
      <c r="D552" s="8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</row>
    <row r="553" spans="4:17" s="75" customFormat="1" x14ac:dyDescent="0.2">
      <c r="D553" s="8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</row>
    <row r="554" spans="4:17" s="75" customFormat="1" x14ac:dyDescent="0.2">
      <c r="D554" s="8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</row>
    <row r="555" spans="4:17" s="75" customFormat="1" x14ac:dyDescent="0.2">
      <c r="D555" s="8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</row>
    <row r="556" spans="4:17" s="75" customFormat="1" x14ac:dyDescent="0.2">
      <c r="D556" s="8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</row>
    <row r="557" spans="4:17" s="75" customFormat="1" x14ac:dyDescent="0.2">
      <c r="D557" s="8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</row>
  </sheetData>
  <sheetProtection password="FFFD" sheet="1" objects="1" scenarios="1" selectLockedCells="1"/>
  <mergeCells count="187">
    <mergeCell ref="C86:F86"/>
    <mergeCell ref="H86:I86"/>
    <mergeCell ref="J86:Q86"/>
    <mergeCell ref="E9:F9"/>
    <mergeCell ref="J9:Q9"/>
    <mergeCell ref="E10:F10"/>
    <mergeCell ref="J10:Q10"/>
    <mergeCell ref="H68:I68"/>
    <mergeCell ref="H69:I69"/>
    <mergeCell ref="H70:I70"/>
    <mergeCell ref="H71:I71"/>
    <mergeCell ref="H76:I76"/>
    <mergeCell ref="E11:F11"/>
    <mergeCell ref="J11:Q11"/>
    <mergeCell ref="E12:F13"/>
    <mergeCell ref="J12:Q12"/>
    <mergeCell ref="J13:Q13"/>
    <mergeCell ref="J28:Q28"/>
    <mergeCell ref="J38:Q38"/>
    <mergeCell ref="E46:F46"/>
    <mergeCell ref="J46:Q46"/>
    <mergeCell ref="E48:F49"/>
    <mergeCell ref="J48:Q48"/>
    <mergeCell ref="C58:F58"/>
    <mergeCell ref="H58:I58"/>
    <mergeCell ref="J58:Q58"/>
    <mergeCell ref="C68:F68"/>
    <mergeCell ref="C4:I4"/>
    <mergeCell ref="J4:Q4"/>
    <mergeCell ref="D5:I5"/>
    <mergeCell ref="J5:K5"/>
    <mergeCell ref="L5:Q5"/>
    <mergeCell ref="D6:I6"/>
    <mergeCell ref="J6:K6"/>
    <mergeCell ref="L6:Q6"/>
    <mergeCell ref="D7:I7"/>
    <mergeCell ref="J7:K7"/>
    <mergeCell ref="L7:Q7"/>
    <mergeCell ref="C63:F63"/>
    <mergeCell ref="H63:I63"/>
    <mergeCell ref="J63:Q63"/>
    <mergeCell ref="C64:F64"/>
    <mergeCell ref="H64:I64"/>
    <mergeCell ref="J64:Q64"/>
    <mergeCell ref="C61:F61"/>
    <mergeCell ref="H61:I61"/>
    <mergeCell ref="J61:Q61"/>
    <mergeCell ref="C62:F62"/>
    <mergeCell ref="U17:W17"/>
    <mergeCell ref="E18:F18"/>
    <mergeCell ref="J18:Q18"/>
    <mergeCell ref="U18:W18"/>
    <mergeCell ref="E19:F24"/>
    <mergeCell ref="J19:Q19"/>
    <mergeCell ref="J20:Q20"/>
    <mergeCell ref="U20:W20"/>
    <mergeCell ref="J21:Q21"/>
    <mergeCell ref="U21:W21"/>
    <mergeCell ref="E14:F17"/>
    <mergeCell ref="J14:Q14"/>
    <mergeCell ref="J15:Q15"/>
    <mergeCell ref="J16:Q16"/>
    <mergeCell ref="J17:Q17"/>
    <mergeCell ref="U28:W29"/>
    <mergeCell ref="J29:Q29"/>
    <mergeCell ref="J30:Q30"/>
    <mergeCell ref="U30:W30"/>
    <mergeCell ref="E31:F31"/>
    <mergeCell ref="J31:Q31"/>
    <mergeCell ref="U31:W31"/>
    <mergeCell ref="J22:Q22"/>
    <mergeCell ref="U22:W24"/>
    <mergeCell ref="J23:Q23"/>
    <mergeCell ref="J24:Q24"/>
    <mergeCell ref="E25:F30"/>
    <mergeCell ref="J25:Q25"/>
    <mergeCell ref="U25:W26"/>
    <mergeCell ref="J26:Q26"/>
    <mergeCell ref="J27:Q27"/>
    <mergeCell ref="U27:W27"/>
    <mergeCell ref="U38:W39"/>
    <mergeCell ref="J39:Q39"/>
    <mergeCell ref="J40:Q40"/>
    <mergeCell ref="U40:W41"/>
    <mergeCell ref="J41:Q41"/>
    <mergeCell ref="E32:F43"/>
    <mergeCell ref="J32:Q32"/>
    <mergeCell ref="U32:W33"/>
    <mergeCell ref="J33:Q33"/>
    <mergeCell ref="J34:Q34"/>
    <mergeCell ref="U34:W35"/>
    <mergeCell ref="J35:Q35"/>
    <mergeCell ref="J36:Q36"/>
    <mergeCell ref="U36:W37"/>
    <mergeCell ref="J37:Q37"/>
    <mergeCell ref="U55:W55"/>
    <mergeCell ref="Q56:R56"/>
    <mergeCell ref="B56:D56"/>
    <mergeCell ref="U46:W46"/>
    <mergeCell ref="E47:F47"/>
    <mergeCell ref="J47:Q47"/>
    <mergeCell ref="U47:W47"/>
    <mergeCell ref="J42:Q42"/>
    <mergeCell ref="U42:W43"/>
    <mergeCell ref="J43:Q43"/>
    <mergeCell ref="E44:F45"/>
    <mergeCell ref="J44:Q44"/>
    <mergeCell ref="J45:Q45"/>
    <mergeCell ref="U45:W45"/>
    <mergeCell ref="U58:W58"/>
    <mergeCell ref="C59:F59"/>
    <mergeCell ref="H59:I59"/>
    <mergeCell ref="J59:Q59"/>
    <mergeCell ref="C60:F60"/>
    <mergeCell ref="H60:I60"/>
    <mergeCell ref="J60:Q60"/>
    <mergeCell ref="U48:W48"/>
    <mergeCell ref="J49:Q49"/>
    <mergeCell ref="U49:W50"/>
    <mergeCell ref="E50:F52"/>
    <mergeCell ref="J50:Q50"/>
    <mergeCell ref="J51:Q51"/>
    <mergeCell ref="U51:W52"/>
    <mergeCell ref="J52:Q52"/>
    <mergeCell ref="C57:F57"/>
    <mergeCell ref="H57:I57"/>
    <mergeCell ref="J57:Q57"/>
    <mergeCell ref="E53:F55"/>
    <mergeCell ref="J53:Q53"/>
    <mergeCell ref="U53:W53"/>
    <mergeCell ref="J54:Q54"/>
    <mergeCell ref="U54:W54"/>
    <mergeCell ref="J55:Q55"/>
    <mergeCell ref="H62:I62"/>
    <mergeCell ref="J62:Q62"/>
    <mergeCell ref="C67:F67"/>
    <mergeCell ref="H67:I67"/>
    <mergeCell ref="J67:Q67"/>
    <mergeCell ref="J68:Q68"/>
    <mergeCell ref="J69:Q69"/>
    <mergeCell ref="C65:F65"/>
    <mergeCell ref="H65:I65"/>
    <mergeCell ref="J65:Q65"/>
    <mergeCell ref="C66:F66"/>
    <mergeCell ref="H66:I66"/>
    <mergeCell ref="J66:Q66"/>
    <mergeCell ref="H73:I73"/>
    <mergeCell ref="J73:Q73"/>
    <mergeCell ref="H74:I74"/>
    <mergeCell ref="J74:Q74"/>
    <mergeCell ref="H75:I75"/>
    <mergeCell ref="J75:Q75"/>
    <mergeCell ref="C70:F70"/>
    <mergeCell ref="J70:Q70"/>
    <mergeCell ref="C71:F71"/>
    <mergeCell ref="J71:Q71"/>
    <mergeCell ref="C72:F72"/>
    <mergeCell ref="H72:I72"/>
    <mergeCell ref="J72:Q72"/>
    <mergeCell ref="C73:F73"/>
    <mergeCell ref="C84:F84"/>
    <mergeCell ref="H84:I84"/>
    <mergeCell ref="J84:Q84"/>
    <mergeCell ref="C85:F85"/>
    <mergeCell ref="H85:I85"/>
    <mergeCell ref="J85:Q85"/>
    <mergeCell ref="C82:F82"/>
    <mergeCell ref="H82:I82"/>
    <mergeCell ref="J82:Q82"/>
    <mergeCell ref="C83:F83"/>
    <mergeCell ref="H83:I83"/>
    <mergeCell ref="J83:Q83"/>
    <mergeCell ref="C79:F79"/>
    <mergeCell ref="H79:I79"/>
    <mergeCell ref="J79:Q79"/>
    <mergeCell ref="C80:F80"/>
    <mergeCell ref="J80:Q80"/>
    <mergeCell ref="C81:F81"/>
    <mergeCell ref="H81:I81"/>
    <mergeCell ref="J81:Q81"/>
    <mergeCell ref="J76:Q76"/>
    <mergeCell ref="H77:I77"/>
    <mergeCell ref="J77:Q77"/>
    <mergeCell ref="C78:F78"/>
    <mergeCell ref="H78:I78"/>
    <mergeCell ref="J78:Q78"/>
    <mergeCell ref="H80:I80"/>
  </mergeCells>
  <conditionalFormatting sqref="I10">
    <cfRule type="cellIs" dxfId="7" priority="8" stopIfTrue="1" operator="notBetween">
      <formula>0</formula>
      <formula>999999999</formula>
    </cfRule>
  </conditionalFormatting>
  <conditionalFormatting sqref="I12:I17">
    <cfRule type="cellIs" dxfId="6" priority="30" stopIfTrue="1" operator="notBetween">
      <formula>0</formula>
      <formula>999999999</formula>
    </cfRule>
  </conditionalFormatting>
  <conditionalFormatting sqref="I19:J30">
    <cfRule type="cellIs" dxfId="5" priority="23" stopIfTrue="1" operator="notBetween">
      <formula>0</formula>
      <formula>999999999</formula>
    </cfRule>
  </conditionalFormatting>
  <conditionalFormatting sqref="J10:J17">
    <cfRule type="cellIs" dxfId="4" priority="27" stopIfTrue="1" operator="notBetween">
      <formula>0</formula>
      <formula>999999999</formula>
    </cfRule>
  </conditionalFormatting>
  <conditionalFormatting sqref="J32:J45">
    <cfRule type="cellIs" dxfId="3" priority="19" stopIfTrue="1" operator="notBetween">
      <formula>0</formula>
      <formula>999999999</formula>
    </cfRule>
  </conditionalFormatting>
  <conditionalFormatting sqref="J47:J55">
    <cfRule type="cellIs" dxfId="2" priority="14" stopIfTrue="1" operator="notBetween">
      <formula>0</formula>
      <formula>999999999</formula>
    </cfRule>
  </conditionalFormatting>
  <conditionalFormatting sqref="J58:J78">
    <cfRule type="cellIs" dxfId="1" priority="1" stopIfTrue="1" operator="notBetween">
      <formula>0</formula>
      <formula>999999999</formula>
    </cfRule>
  </conditionalFormatting>
  <conditionalFormatting sqref="J80:J86">
    <cfRule type="cellIs" dxfId="0" priority="2" stopIfTrue="1" operator="notBetween">
      <formula>0</formula>
      <formula>999999999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Overview IB</vt:lpstr>
      <vt:lpstr>1. ZWB </vt:lpstr>
      <vt:lpstr>2. ZWB </vt:lpstr>
      <vt:lpstr>3. ZWB </vt:lpstr>
      <vt:lpstr>EB </vt:lpstr>
      <vt:lpstr>Sprache_und_Bildung</vt:lpstr>
    </vt:vector>
  </TitlesOfParts>
  <Company>BKA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Indikatorenbericht - Vorlage</dc:title>
  <dc:creator>BKA</dc:creator>
  <cp:lastModifiedBy>FA, Arpad</cp:lastModifiedBy>
  <cp:lastPrinted>2020-02-26T07:40:23Z</cp:lastPrinted>
  <dcterms:created xsi:type="dcterms:W3CDTF">2018-04-16T09:43:52Z</dcterms:created>
  <dcterms:modified xsi:type="dcterms:W3CDTF">2026-04-30T09:20:10Z</dcterms:modified>
</cp:coreProperties>
</file>