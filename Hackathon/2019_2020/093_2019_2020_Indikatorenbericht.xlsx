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BKA\Sektion_II\II_3\3_NATIONAL\13_Monitoring Indikatoren\Hackaton Daten\2019_2020\"/>
    </mc:Choice>
  </mc:AlternateContent>
  <xr:revisionPtr revIDLastSave="0" documentId="13_ncr:1_{16FCBCEB-86EA-473A-A90D-81814B540ED4}" xr6:coauthVersionLast="47" xr6:coauthVersionMax="47" xr10:uidLastSave="{00000000-0000-0000-0000-000000000000}"/>
  <bookViews>
    <workbookView xWindow="-38510" yWindow="-110" windowWidth="19420" windowHeight="10300" xr2:uid="{00000000-000D-0000-FFFF-FFFF00000000}"/>
  </bookViews>
  <sheets>
    <sheet name="Indikatoren" sheetId="1" r:id="rId1"/>
  </sheets>
  <externalReferences>
    <externalReference r:id="rId2"/>
    <externalReference r:id="rId3"/>
  </externalReferences>
  <definedNames>
    <definedName name="A_Ja_Nein_Liste">[1]sysAuswahl!$A$5:$A$6</definedName>
    <definedName name="A_Ja_Nein_Rev">[1]sysAuswahl!$F$5:$G$7</definedName>
    <definedName name="A_Ja_Nein_Wert">[1]sysAuswahl!$C$5:$D$7</definedName>
    <definedName name="A_MASSN_Liste">[1]sysAuswahl!$A$23:$A$31</definedName>
    <definedName name="A_MASSN_Rev">[1]sysAuswahl!$F$23:$G$32</definedName>
    <definedName name="A_MASSN_Wert">[1]sysAuswahl!$C$23:$D$32</definedName>
    <definedName name="A_ProjArt_Liste">[1]sysAuswahl!$A$14:$A$16</definedName>
    <definedName name="_xlnm.Print_Area" localSheetId="0">Indikatoren!$B$2:$H$77</definedName>
    <definedName name="F_FondsBez">[1]Eingabe_1_bis_4!$F$15</definedName>
    <definedName name="F_Massnahme">[1]Eingabe_1_bis_4!$F$19</definedName>
    <definedName name="F_MONSYS_Aktenzeichen">[1]Eingabe_1_bis_4!$F$7</definedName>
    <definedName name="F_MONSYS_Eingangsdatum">[1]Eingabe_1_bis_4!$F$5</definedName>
    <definedName name="F_MONSYS_eingegangenBei">[1]Eingabe_1_bis_4!$F$4</definedName>
    <definedName name="F_MONSYS_FassungVom">[1]Eingabe_1_bis_4!$F$6</definedName>
    <definedName name="F_MONSYS_Projektcode">[1]Eingabe_1_bis_4!$F$9</definedName>
    <definedName name="F_MONSYS_Vertragsnummer">[1]Eingabe_1_bis_4!$F$8</definedName>
    <definedName name="F_PA1_Ansprech">[1]Eingabe_5!$F$20</definedName>
    <definedName name="F_PA1_Email">[1]Eingabe_5!$F$26</definedName>
    <definedName name="F_PA1_Fax">[1]Eingabe_5!$F$24</definedName>
    <definedName name="F_PA1_Telefon">[1]Eingabe_5!$F$22</definedName>
    <definedName name="F_PA2_Ansprech">[1]Eingabe_5!$F$44</definedName>
    <definedName name="F_PA2_Email">[1]Eingabe_5!$F$50</definedName>
    <definedName name="F_PA2_Fax">[1]Eingabe_5!$F$48</definedName>
    <definedName name="F_PA2_Telefon">[1]Eingabe_5!$F$46</definedName>
    <definedName name="F_PK_KACode_L00">[1]Eingabe_6!$F$48</definedName>
    <definedName name="F_PK_KACode_L01">[1]Eingabe_6!$F$52</definedName>
    <definedName name="F_PK_KACode_L02">[1]Eingabe_6!$F$56</definedName>
    <definedName name="F_PK_KACode_L03">[1]Eingabe_6!$F$60</definedName>
    <definedName name="F_PK_KACode_L04">[1]Eingabe_6!$F$64</definedName>
    <definedName name="F_PK_KACode_L05">[1]Eingabe_6!$F$68</definedName>
    <definedName name="F_PK_KACode_L06">[1]Eingabe_6!$F$72</definedName>
    <definedName name="F_PK_KACode_L07">[1]Eingabe_6!$F$76</definedName>
    <definedName name="F_PK_KACode_L08">[1]Eingabe_6!$F$80</definedName>
    <definedName name="F_PK_KACode_L09">[1]Eingabe_6!$F$84</definedName>
    <definedName name="F_PK_PK_Notiz_L00">[1]Eingabe_6!$F$50</definedName>
    <definedName name="F_PK_PK_Notiz_L01">[1]Eingabe_6!$F$54</definedName>
    <definedName name="F_PK_PK_Notiz_L02">[1]Eingabe_6!$F$58</definedName>
    <definedName name="F_PK_PK_Notiz_L03">[1]Eingabe_6!$F$62</definedName>
    <definedName name="F_PK_PK_Notiz_L04">[1]Eingabe_6!$F$66</definedName>
    <definedName name="F_PK_PK_Notiz_L05">[1]Eingabe_6!$F$70</definedName>
    <definedName name="F_PK_PK_Notiz_L06">[1]Eingabe_6!$F$74</definedName>
    <definedName name="F_PK_PK_Notiz_L07">[1]Eingabe_6!$F$78</definedName>
    <definedName name="F_PK_PK_Notiz_L08">[1]Eingabe_6!$F$82</definedName>
    <definedName name="F_PK_PK_Notiz_L09">[1]Eingabe_6!$F$86</definedName>
    <definedName name="F_PK_Z01">[1]Eingabe_6!$F$34</definedName>
    <definedName name="F_PK_Z02">[1]Eingabe_6!$F$36</definedName>
    <definedName name="F_PK_Z03">[1]Eingabe_6!$F$38</definedName>
    <definedName name="F_PK_Z04">[1]Eingabe_6!$F$40</definedName>
    <definedName name="F_PR_AZVFS">[1]Eingabe_1_bis_4!$F$25</definedName>
    <definedName name="F_PR_FEAnsprech">[1]Eingabe_1_bis_4!$F$71</definedName>
    <definedName name="F_PR_FEAnsprech_Email">[1]Eingabe_1_bis_4!$F$77</definedName>
    <definedName name="F_PR_FEAnsprech_Fax">[1]Eingabe_1_bis_4!$F$75</definedName>
    <definedName name="F_PR_FEAnsprech_Telefon">[1]Eingabe_1_bis_4!$F$73</definedName>
    <definedName name="F_PR_FEBLZ">[1]Eingabe_1_bis_4!$F$87</definedName>
    <definedName name="F_PR_FEKontonr">[1]Eingabe_1_bis_4!$F$85</definedName>
    <definedName name="F_PR_FeMWST">[1]Eingabe_1_bis_4!$F$61</definedName>
    <definedName name="F_PR_FEZeichBerecht">[1]Eingabe_1_bis_4!$F$57</definedName>
    <definedName name="F_PR_Grenzland">[1]Eingabe_1_bis_4!$F$67</definedName>
    <definedName name="F_PR_Link">[1]Eingabe_1_bis_4!$F$81</definedName>
    <definedName name="F_PR_Projdf_anf">[1]Eingabe_6!$F$7</definedName>
    <definedName name="F_PR_Projdf_end">[1]Eingabe_6!$F$9</definedName>
    <definedName name="F_PR_Projektbeschreibung1">[1]Eingabe_6!$F$27</definedName>
    <definedName name="F_PR_Projektbeschreibung2">[1]Eingabe_6!$F$28</definedName>
    <definedName name="F_PR_Projinfo">[1]Eingabe_6!$F$25</definedName>
    <definedName name="F_PR_Projtitel">[1]Eingabe_1_bis_4!$F$23</definedName>
    <definedName name="F_PR_Standort">[1]Eingabe_6!$F$44</definedName>
    <definedName name="F_PR_Ziele">[1]Eingabe_6!$F$30</definedName>
    <definedName name="Handlungsfeld">'[2]Angaben zum Projekt'!$D$6</definedName>
    <definedName name="Maßnahmenbereich">#REF!</definedName>
    <definedName name="Version_Dok">[1]Version!$B$1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1" i="1" l="1"/>
  <c r="F62" i="1"/>
  <c r="F63" i="1"/>
  <c r="F64" i="1"/>
  <c r="F40" i="1"/>
  <c r="F39" i="1"/>
  <c r="F38" i="1"/>
  <c r="F37" i="1"/>
  <c r="F29" i="1"/>
  <c r="F30" i="1"/>
  <c r="F31" i="1"/>
  <c r="F32" i="1"/>
  <c r="F20" i="1"/>
  <c r="F21" i="1"/>
  <c r="F22" i="1"/>
  <c r="F23" i="1"/>
  <c r="F9" i="1"/>
  <c r="F10" i="1"/>
  <c r="F11" i="1"/>
  <c r="F12" i="1"/>
  <c r="F13" i="1"/>
  <c r="F14" i="1"/>
  <c r="F15" i="1"/>
  <c r="F16" i="1"/>
  <c r="F17" i="1"/>
  <c r="F18" i="1"/>
  <c r="F19" i="1"/>
  <c r="F25" i="1"/>
  <c r="F26" i="1"/>
  <c r="F27" i="1"/>
  <c r="F28" i="1"/>
  <c r="F34" i="1"/>
  <c r="F35" i="1"/>
  <c r="F36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60" i="1"/>
  <c r="F66" i="1"/>
  <c r="F67" i="1"/>
  <c r="F68" i="1"/>
  <c r="F70" i="1"/>
  <c r="F72" i="1"/>
  <c r="F73" i="1"/>
  <c r="F75" i="1"/>
  <c r="F76" i="1"/>
  <c r="G82" i="1"/>
</calcChain>
</file>

<file path=xl/sharedStrings.xml><?xml version="1.0" encoding="utf-8"?>
<sst xmlns="http://schemas.openxmlformats.org/spreadsheetml/2006/main" count="82" uniqueCount="73">
  <si>
    <t xml:space="preserve"> </t>
  </si>
  <si>
    <t>Kinder und Jugendliche</t>
  </si>
  <si>
    <t>Frauen</t>
  </si>
  <si>
    <t>Deutsch</t>
  </si>
  <si>
    <t>Arbeitsmarkt</t>
  </si>
  <si>
    <t>Wohnen und die regionale Dimension der Integration</t>
  </si>
  <si>
    <t>Sport und Freizeit</t>
  </si>
  <si>
    <t>Interkultureller Dialog</t>
  </si>
  <si>
    <t>Gesundheit und Soziales</t>
  </si>
  <si>
    <t>Rechtsstaat und Werte</t>
  </si>
  <si>
    <t>Arbeit und Beruf</t>
  </si>
  <si>
    <t>Sprache und Bildung</t>
  </si>
  <si>
    <t>bitte selbst befüllen</t>
  </si>
  <si>
    <t xml:space="preserve">Bereich 6 Weitere Indikatoren </t>
  </si>
  <si>
    <t>Anzahl der durchgeführten Studien / Forschungsarbeiten</t>
  </si>
  <si>
    <t>Bereich 5 Studien-/ Forschungsarbeiten</t>
  </si>
  <si>
    <t>Anzahl Kursteilnehmerinnen und Kursteilnehmer gesamt</t>
  </si>
  <si>
    <t>Anzahl der Unterrichtseinheiten</t>
  </si>
  <si>
    <t>Anteil der Kursteilnehmerinnen und Kursteilnehmer mit positiv zertifizierter Abschlussprüfung in %</t>
  </si>
  <si>
    <t>zertifizierte Abschlussprüfungen vorgesehen</t>
  </si>
  <si>
    <t>davon B2</t>
  </si>
  <si>
    <t>davon B1</t>
  </si>
  <si>
    <t>davon A2</t>
  </si>
  <si>
    <t>davon A1</t>
  </si>
  <si>
    <t>davon Alpha</t>
  </si>
  <si>
    <t>Anzahl Kursplätze gesamt</t>
  </si>
  <si>
    <t>Anzahl der Sprachkurse</t>
  </si>
  <si>
    <t xml:space="preserve">Bereich 4 Deutschkurse </t>
  </si>
  <si>
    <t>Anzahl der Betreuungsstunden für Kinder</t>
  </si>
  <si>
    <t>Anzahl der beratenen Klientinnen und Klienten</t>
  </si>
  <si>
    <t>Anzahl der Beratungs-/Betreuungsstunden</t>
  </si>
  <si>
    <t>Bereich 3 Beratung</t>
  </si>
  <si>
    <t>Anzahl der Übungseinheiten</t>
  </si>
  <si>
    <t xml:space="preserve">Anzahl der Workshops </t>
  </si>
  <si>
    <t>Anzahl der Schulbesuche</t>
  </si>
  <si>
    <t>Anzahl der Veranstaltungen</t>
  </si>
  <si>
    <t>Bereich 2 Aktivitäten</t>
  </si>
  <si>
    <t>Anzahl der unbegleiteten minderjährigen Flüchtlinge, die am Projekt teilnehmen</t>
  </si>
  <si>
    <t>davon subsidiär Schutzberechtigte</t>
  </si>
  <si>
    <t>davon Asylberechtigte</t>
  </si>
  <si>
    <t>Anzahl der asylberechtigten bzw. subsidiär schutzberechtigten Teilnehmerinnen und Teilnehmer</t>
  </si>
  <si>
    <t>davon Teilnehmerinnen und Teilnehmer über 18 Jahren</t>
  </si>
  <si>
    <t>davon Teilnehmerinnen und Teilnehmer unter 18 Jahren</t>
  </si>
  <si>
    <t>Projektteilnehmerinnen und Projektteilnehmer nach Alter</t>
  </si>
  <si>
    <t>davon Anzahl Männer</t>
  </si>
  <si>
    <t>davon Anzahl Frauen</t>
  </si>
  <si>
    <t>Anzahl der Teilnehmerinnen und Teilnehmer nach Geschlecht</t>
  </si>
  <si>
    <t>Anzahl der Teilnehmerinnen und Teilnehmer im Projekt</t>
  </si>
  <si>
    <t>Bereich 1 Teilnehmerinnen und Teilnehmer</t>
  </si>
  <si>
    <t>Begründung</t>
  </si>
  <si>
    <t>Erfüllt in %</t>
  </si>
  <si>
    <t>Anzahl Endbericht (IST)</t>
  </si>
  <si>
    <t>Anzahl lt. Vertrag (SOLL)</t>
  </si>
  <si>
    <r>
      <rPr>
        <b/>
        <u/>
        <sz val="11"/>
        <rFont val="Arial"/>
        <family val="2"/>
      </rPr>
      <t xml:space="preserve">Ausfüllhilfe:
</t>
    </r>
    <r>
      <rPr>
        <sz val="10"/>
        <rFont val="Arial"/>
      </rPr>
      <t xml:space="preserve">
Bitte ergänzen Sie unter Bezugnahme auf die vertraglich vereinbarten Indikatoren den IST-Stand der jeweils gewählten Indikatoren.
Sollten die IST-Zahlen von den SOLL- Zahlen abweichen, erläutern Sie die Gründe dafür bitte zusätzlich zur Begründungsspalte ausführlich im Endbericht. </t>
    </r>
  </si>
  <si>
    <t>Projektträger</t>
  </si>
  <si>
    <t>Projekttitel</t>
  </si>
  <si>
    <t>Projektnummer</t>
  </si>
  <si>
    <t>davon ÖIF zertifiziert</t>
  </si>
  <si>
    <t>Endbericht Indikatoren 2019 &amp; 2020</t>
  </si>
  <si>
    <t>Anzahl der Sportefeste, Turniere, Adventuretage, Ballsportage</t>
  </si>
  <si>
    <t>Anzahl der Teilnahmen von SIQ+ Teams an Sportveranstaltungen</t>
  </si>
  <si>
    <t>Anzahl der vergebenen Schwimmabzeichen</t>
  </si>
  <si>
    <t xml:space="preserve">Anzahl d. KlientInnen, die arbeitsmarktintegrativ beraten bzw. vermittelt werden </t>
  </si>
  <si>
    <t>Anzahl Sommerprogramm GRAgustl</t>
  </si>
  <si>
    <t>Anzahl der PraktikantInnen sowie ehrenamtl. TN</t>
  </si>
  <si>
    <t>Anzahl der Vereinsvermittlungen</t>
  </si>
  <si>
    <t>Anzahl der Journale, Präsenz in soz. M.  und SIQ+ Präsentationen</t>
  </si>
  <si>
    <t>Die Gesamtanzahl der UMFs in Graz betrug zwischen 2019 und 2020 nur ca. 35 Personen</t>
  </si>
  <si>
    <t>093-2019</t>
  </si>
  <si>
    <t xml:space="preserve">Übungseinheiten (69) + Workshops (18) + Sportveranstaltungen (Adventuretage, Sportfeste etc.) (23)   
</t>
  </si>
  <si>
    <t xml:space="preserve">Die Zielerreichung wurde knapp unterboten, da 2020 die TN-Zahl/Schwimmkurs von 17 auf 10 reduziert werden musste. </t>
  </si>
  <si>
    <t>YouthConnect – Jugendliche gestalten Integration</t>
  </si>
  <si>
    <t xml:space="preserve">Jugendzentrum Bunterhaufen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</si>
</sst>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1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2"/>
      <name val="Arial"/>
      <family val="2"/>
    </font>
    <font>
      <sz val="10"/>
      <color rgb="FFDDDDDD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8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DDDD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0" fillId="16" borderId="0" xfId="0" applyFill="1" applyProtection="1"/>
    <xf numFmtId="0" fontId="2" fillId="16" borderId="0" xfId="0" applyFont="1" applyFill="1" applyProtection="1"/>
    <xf numFmtId="0" fontId="0" fillId="16" borderId="0" xfId="0" applyFill="1" applyAlignment="1" applyProtection="1">
      <alignment vertical="center"/>
    </xf>
    <xf numFmtId="0" fontId="2" fillId="16" borderId="0" xfId="0" applyFont="1" applyFill="1" applyAlignment="1" applyProtection="1">
      <alignment vertical="center"/>
    </xf>
    <xf numFmtId="44" fontId="0" fillId="16" borderId="0" xfId="0" applyNumberFormat="1" applyFill="1" applyAlignment="1" applyProtection="1">
      <alignment vertical="center"/>
    </xf>
    <xf numFmtId="44" fontId="2" fillId="16" borderId="0" xfId="0" applyNumberFormat="1" applyFont="1" applyFill="1" applyAlignment="1" applyProtection="1">
      <alignment vertical="center"/>
    </xf>
    <xf numFmtId="1" fontId="2" fillId="16" borderId="0" xfId="0" applyNumberFormat="1" applyFont="1" applyFill="1" applyAlignment="1" applyProtection="1">
      <alignment vertical="center"/>
    </xf>
    <xf numFmtId="0" fontId="8" fillId="16" borderId="0" xfId="0" applyFont="1" applyFill="1" applyAlignment="1" applyProtection="1">
      <alignment vertical="center"/>
    </xf>
    <xf numFmtId="0" fontId="2" fillId="17" borderId="1" xfId="0" applyFont="1" applyFill="1" applyBorder="1" applyAlignment="1" applyProtection="1">
      <alignment vertical="center"/>
    </xf>
    <xf numFmtId="0" fontId="2" fillId="17" borderId="2" xfId="0" applyFont="1" applyFill="1" applyBorder="1" applyAlignment="1" applyProtection="1">
      <alignment vertical="center"/>
    </xf>
    <xf numFmtId="0" fontId="2" fillId="17" borderId="3" xfId="0" applyFont="1" applyFill="1" applyBorder="1" applyAlignment="1" applyProtection="1">
      <alignment vertical="center"/>
    </xf>
    <xf numFmtId="0" fontId="0" fillId="0" borderId="1" xfId="0" applyFill="1" applyBorder="1" applyAlignment="1" applyProtection="1">
      <alignment vertical="center"/>
    </xf>
    <xf numFmtId="0" fontId="0" fillId="0" borderId="2" xfId="0" applyFill="1" applyBorder="1" applyAlignment="1" applyProtection="1">
      <alignment vertical="center"/>
    </xf>
    <xf numFmtId="0" fontId="0" fillId="0" borderId="3" xfId="0" applyFill="1" applyBorder="1" applyAlignment="1" applyProtection="1">
      <alignment vertical="center"/>
    </xf>
    <xf numFmtId="0" fontId="0" fillId="0" borderId="4" xfId="0" applyFill="1" applyBorder="1" applyAlignment="1" applyProtection="1">
      <alignment vertical="center"/>
    </xf>
    <xf numFmtId="0" fontId="0" fillId="0" borderId="5" xfId="0" applyFill="1" applyBorder="1" applyAlignment="1" applyProtection="1">
      <alignment vertical="center"/>
    </xf>
    <xf numFmtId="0" fontId="0" fillId="0" borderId="6" xfId="0" applyFill="1" applyBorder="1" applyAlignment="1" applyProtection="1">
      <alignment vertical="center"/>
    </xf>
    <xf numFmtId="0" fontId="0" fillId="0" borderId="7" xfId="0" applyFill="1" applyBorder="1" applyAlignment="1" applyProtection="1">
      <alignment vertical="center"/>
    </xf>
    <xf numFmtId="0" fontId="0" fillId="0" borderId="8" xfId="0" applyFill="1" applyBorder="1" applyAlignment="1" applyProtection="1">
      <alignment vertical="center"/>
    </xf>
    <xf numFmtId="10" fontId="4" fillId="18" borderId="9" xfId="0" applyNumberFormat="1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  <protection locked="0"/>
    </xf>
    <xf numFmtId="0" fontId="4" fillId="18" borderId="9" xfId="0" applyFont="1" applyFill="1" applyBorder="1" applyAlignment="1" applyProtection="1">
      <alignment horizontal="left" vertical="center" wrapText="1"/>
      <protection locked="0"/>
    </xf>
    <xf numFmtId="0" fontId="0" fillId="0" borderId="5" xfId="0" applyFill="1" applyBorder="1" applyProtection="1"/>
    <xf numFmtId="0" fontId="2" fillId="0" borderId="4" xfId="0" applyFont="1" applyFill="1" applyBorder="1" applyProtection="1"/>
    <xf numFmtId="0" fontId="2" fillId="0" borderId="5" xfId="0" applyFont="1" applyFill="1" applyBorder="1" applyProtection="1"/>
    <xf numFmtId="0" fontId="4" fillId="18" borderId="9" xfId="0" applyFont="1" applyFill="1" applyBorder="1" applyAlignment="1" applyProtection="1">
      <alignment horizontal="left" vertical="center" wrapText="1"/>
    </xf>
    <xf numFmtId="0" fontId="4" fillId="18" borderId="10" xfId="0" applyFont="1" applyFill="1" applyBorder="1" applyAlignment="1" applyProtection="1">
      <alignment horizontal="left" vertical="center" wrapText="1"/>
    </xf>
    <xf numFmtId="0" fontId="9" fillId="19" borderId="11" xfId="0" applyFont="1" applyFill="1" applyBorder="1" applyAlignment="1" applyProtection="1">
      <alignment horizontal="center" vertical="center"/>
    </xf>
    <xf numFmtId="0" fontId="10" fillId="19" borderId="10" xfId="0" applyFont="1" applyFill="1" applyBorder="1" applyAlignment="1" applyProtection="1">
      <alignment horizontal="right" vertical="center"/>
    </xf>
    <xf numFmtId="0" fontId="0" fillId="0" borderId="4" xfId="0" applyFill="1" applyBorder="1" applyProtection="1"/>
    <xf numFmtId="0" fontId="0" fillId="0" borderId="6" xfId="0" applyFill="1" applyBorder="1" applyProtection="1"/>
    <xf numFmtId="0" fontId="0" fillId="0" borderId="7" xfId="0" applyFill="1" applyBorder="1" applyProtection="1"/>
    <xf numFmtId="0" fontId="0" fillId="0" borderId="8" xfId="0" applyFill="1" applyBorder="1" applyProtection="1"/>
    <xf numFmtId="0" fontId="4" fillId="0" borderId="9" xfId="0" applyFont="1" applyFill="1" applyBorder="1" applyAlignment="1" applyProtection="1">
      <alignment horizontal="left"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left" vertical="center" wrapText="1"/>
      <protection locked="0"/>
    </xf>
    <xf numFmtId="0" fontId="1" fillId="0" borderId="9" xfId="0" applyFont="1" applyFill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Fill="1" applyBorder="1" applyAlignment="1" applyProtection="1">
      <alignment horizontal="center" vertical="center"/>
      <protection locked="0"/>
    </xf>
    <xf numFmtId="0" fontId="9" fillId="19" borderId="10" xfId="0" applyFont="1" applyFill="1" applyBorder="1" applyAlignment="1" applyProtection="1">
      <alignment horizontal="left" vertical="center"/>
    </xf>
    <xf numFmtId="0" fontId="9" fillId="19" borderId="11" xfId="0" applyFont="1" applyFill="1" applyBorder="1" applyAlignment="1" applyProtection="1">
      <alignment horizontal="left" vertical="center"/>
    </xf>
    <xf numFmtId="0" fontId="9" fillId="19" borderId="12" xfId="0" applyFont="1" applyFill="1" applyBorder="1" applyAlignment="1" applyProtection="1">
      <alignment horizontal="left" vertical="center"/>
    </xf>
    <xf numFmtId="0" fontId="0" fillId="0" borderId="4" xfId="0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  <xf numFmtId="0" fontId="0" fillId="0" borderId="5" xfId="0" applyFill="1" applyBorder="1" applyAlignment="1" applyProtection="1">
      <alignment horizontal="center"/>
    </xf>
    <xf numFmtId="0" fontId="0" fillId="0" borderId="3" xfId="0" applyFill="1" applyBorder="1" applyAlignment="1" applyProtection="1">
      <alignment horizontal="center"/>
    </xf>
    <xf numFmtId="0" fontId="4" fillId="0" borderId="11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vertical="center" wrapText="1"/>
    </xf>
    <xf numFmtId="0" fontId="0" fillId="0" borderId="0" xfId="0" applyFill="1" applyBorder="1" applyAlignment="1" applyProtection="1">
      <alignment vertical="center"/>
    </xf>
    <xf numFmtId="0" fontId="7" fillId="17" borderId="10" xfId="0" applyFont="1" applyFill="1" applyBorder="1" applyAlignment="1" applyProtection="1">
      <alignment vertical="center"/>
      <protection locked="0"/>
    </xf>
    <xf numFmtId="0" fontId="7" fillId="17" borderId="11" xfId="0" applyFont="1" applyFill="1" applyBorder="1" applyAlignment="1" applyProtection="1">
      <alignment vertical="center"/>
      <protection locked="0"/>
    </xf>
    <xf numFmtId="0" fontId="7" fillId="17" borderId="12" xfId="0" applyFont="1" applyFill="1" applyBorder="1" applyAlignment="1" applyProtection="1">
      <alignment vertical="center"/>
      <protection locked="0"/>
    </xf>
    <xf numFmtId="0" fontId="11" fillId="19" borderId="9" xfId="0" applyFont="1" applyFill="1" applyBorder="1" applyAlignment="1" applyProtection="1">
      <alignment horizontal="center" vertical="center" wrapText="1"/>
    </xf>
  </cellXfs>
  <cellStyles count="23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Euro" xfId="19" xr:uid="{00000000-0005-0000-0000-000012000000}"/>
    <cellStyle name="Prozent 2" xfId="20" xr:uid="{00000000-0005-0000-0000-000013000000}"/>
    <cellStyle name="Standard" xfId="0" builtinId="0"/>
    <cellStyle name="Standard 2" xfId="21" xr:uid="{00000000-0005-0000-0000-000015000000}"/>
    <cellStyle name="Währung 2" xfId="22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egrationsfonds.local\Pers&#246;nliche%20Dateien\Dokumente%20und%20Einstellungen\haitze1\Lokale%20Einstellungen\Temporary%20Internet%20Files\OLKC4\Anlage_2__Projekteinreichung_zum_EFF_2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-vie-hq-fs04\shared$\SEKTION%20VIII\VIII.3\3_NATIONAL\4_AUFRUF\Aufruf_2017\1_Aufruf\finale_Unterlagen\2_Antragsformul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"/>
      <sheetName val="Navigation"/>
      <sheetName val="Hinweise"/>
      <sheetName val="Eingabe_1_bis_4"/>
      <sheetName val="Eingabe_5"/>
      <sheetName val="Eingabe_6"/>
      <sheetName val="Druck0"/>
      <sheetName val="Druck1"/>
      <sheetName val="Druck2"/>
      <sheetName val="sysHilfe"/>
      <sheetName val="sysAuswahl"/>
      <sheetName val="sysTextGen"/>
      <sheetName val="sysGUI"/>
      <sheetName val="Version"/>
      <sheetName val="HT"/>
      <sheetName val="Cockpit"/>
      <sheetName val="Datenquelle"/>
    </sheetNames>
    <sheetDataSet>
      <sheetData sheetId="0"/>
      <sheetData sheetId="1"/>
      <sheetData sheetId="2"/>
      <sheetData sheetId="3">
        <row r="15">
          <cell r="F15" t="str">
            <v>EFF 2010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JA</v>
          </cell>
          <cell r="C5" t="str">
            <v>JA</v>
          </cell>
          <cell r="D5">
            <v>1</v>
          </cell>
          <cell r="F5">
            <v>1</v>
          </cell>
          <cell r="G5" t="str">
            <v>JA</v>
          </cell>
        </row>
        <row r="6">
          <cell r="A6" t="str">
            <v>NEIN</v>
          </cell>
          <cell r="C6" t="str">
            <v>NEIN</v>
          </cell>
          <cell r="D6">
            <v>0</v>
          </cell>
          <cell r="F6">
            <v>0</v>
          </cell>
          <cell r="G6" t="str">
            <v>NEIN</v>
          </cell>
        </row>
        <row r="7">
          <cell r="C7">
            <v>0</v>
          </cell>
        </row>
        <row r="14">
          <cell r="A14" t="str">
            <v>Fortsetzungsprojekt</v>
          </cell>
        </row>
        <row r="15">
          <cell r="A15" t="str">
            <v>Erweiterung einer üblichen Aktivität</v>
          </cell>
        </row>
        <row r="16">
          <cell r="A16" t="str">
            <v>neue Aktivität/innovativer Charakter</v>
          </cell>
        </row>
        <row r="23">
          <cell r="A23" t="str">
            <v>Maßnahme zu 1.0: Psychologische und psychotherapeutische Betreuung</v>
          </cell>
          <cell r="C23" t="str">
            <v>Maßnahme zu 1.0: Psychologische und psychotherapeutische Betreuung</v>
          </cell>
          <cell r="D23" t="str">
            <v>M_EFF_1.1.1</v>
          </cell>
          <cell r="F23" t="str">
            <v>M_EFF_1.1.1</v>
          </cell>
          <cell r="G23" t="str">
            <v>Maßnahme zu 1.0: Psychologische und psychotherapeutische Betreuung</v>
          </cell>
        </row>
        <row r="24">
          <cell r="A24" t="str">
            <v>Maßnahme zu 1.0: Unterstützung zur Durchführung von Überstellungen nach der Dublinverordnung</v>
          </cell>
          <cell r="C24" t="str">
            <v>Maßnahme zu 1.0: Unterstützung zur Durchführung von Überstellungen nach der Dublinverordnung</v>
          </cell>
          <cell r="D24" t="str">
            <v>M_EFF_1.1.2</v>
          </cell>
          <cell r="F24" t="str">
            <v>M_EFF_1.1.2</v>
          </cell>
          <cell r="G24" t="str">
            <v>Maßnahme zu 1.0: Unterstützung zur Durchführung von Überstellungen nach der Dublinverordnung</v>
          </cell>
        </row>
        <row r="25">
          <cell r="A25" t="str">
            <v>Maßnahme zu 1.0: Information der ortsansässigen Bevölkerung</v>
          </cell>
          <cell r="C25" t="str">
            <v>Maßnahme zu 1.0: Information der ortsansässigen Bevölkerung</v>
          </cell>
          <cell r="D25" t="str">
            <v>M_EFF_1.1.3</v>
          </cell>
          <cell r="F25" t="str">
            <v>M_EFF_1.1.3</v>
          </cell>
          <cell r="G25" t="str">
            <v>Maßnahme zu 1.0: Information der ortsansässigen Bevölkerung</v>
          </cell>
        </row>
        <row r="26">
          <cell r="A26" t="str">
            <v>Maßnahme zu 1.0: Beratung im asylrechtlichen Verfahren</v>
          </cell>
          <cell r="C26" t="str">
            <v>Maßnahme zu 1.0: Beratung im asylrechtlichen Verfahren</v>
          </cell>
          <cell r="D26" t="str">
            <v>M_EFF_1.1.4</v>
          </cell>
          <cell r="F26" t="str">
            <v>M_EFF_1.1.4</v>
          </cell>
          <cell r="G26" t="str">
            <v>Maßnahme zu 1.0: Beratung im asylrechtlichen Verfahren</v>
          </cell>
        </row>
        <row r="27">
          <cell r="A27" t="str">
            <v>Maßnahme zu 1.0: Starthilfe zur Integration</v>
          </cell>
          <cell r="C27" t="str">
            <v>Maßnahme zu 1.0: Starthilfe zur Integration</v>
          </cell>
          <cell r="D27" t="str">
            <v>M_EFF_1.1.5</v>
          </cell>
          <cell r="F27" t="str">
            <v>M_EFF_1.1.5</v>
          </cell>
          <cell r="G27" t="str">
            <v>Maßnahme zu 1.0: Starthilfe zur Integration</v>
          </cell>
        </row>
        <row r="28">
          <cell r="A28" t="str">
            <v>Maßnahme zu 1.0: Ausbau der sprachlichen Kompetenz</v>
          </cell>
          <cell r="C28" t="str">
            <v>Maßnahme zu 1.0: Ausbau der sprachlichen Kompetenz</v>
          </cell>
          <cell r="D28" t="str">
            <v>M_EFF_1.1.6</v>
          </cell>
          <cell r="F28" t="str">
            <v>M_EFF_1.1.6</v>
          </cell>
          <cell r="G28" t="str">
            <v>Maßnahme zu 1.0: Ausbau der sprachlichen Kompetenz</v>
          </cell>
        </row>
        <row r="29">
          <cell r="A29" t="str">
            <v>Maßnahme zu 1.0: Arbeitsmarktintegration</v>
          </cell>
          <cell r="C29" t="str">
            <v>Maßnahme zu 1.0: Arbeitsmarktintegration</v>
          </cell>
          <cell r="D29" t="str">
            <v>M_EFF_1.1.7</v>
          </cell>
          <cell r="F29" t="str">
            <v>M_EFF_1.1.7</v>
          </cell>
          <cell r="G29" t="str">
            <v>Maßnahme zu 1.0: Arbeitsmarktintegration</v>
          </cell>
        </row>
        <row r="30">
          <cell r="A30" t="str">
            <v>Maßnahme zu 2.0: Qualitätssicherung und Strukturverbesserung der Asylverwaltung</v>
          </cell>
          <cell r="C30" t="str">
            <v>Maßnahme zu 2.0: Qualitätssicherung und Strukturverbesserung der Asylverwaltung</v>
          </cell>
          <cell r="D30" t="str">
            <v>M_EFF_2.1.1</v>
          </cell>
          <cell r="F30" t="str">
            <v>M_EFF_2.1.1</v>
          </cell>
          <cell r="G30" t="str">
            <v>Maßnahme zu 2.0: Qualitätssicherung und Strukturverbesserung der Asylverwaltung</v>
          </cell>
        </row>
        <row r="31">
          <cell r="A31" t="str">
            <v>Maßnahme zu 2.3: Länderdokumentation und Länderinformation zur Unterstützung im Asylverfahren</v>
          </cell>
          <cell r="C31" t="str">
            <v>Maßnahme zu 2.3: Länderdokumentation und Länderinformation zur Unterstützung im Asylverfahren</v>
          </cell>
          <cell r="D31" t="str">
            <v>M_EFF_2.4.1</v>
          </cell>
          <cell r="F31" t="str">
            <v>M_EFF_2.4.1</v>
          </cell>
          <cell r="G31" t="str">
            <v>Maßnahme zu 2.3: Länderdokumentation und Länderinformation zur Unterstützung im Asylverfahren</v>
          </cell>
        </row>
        <row r="32">
          <cell r="C32">
            <v>0</v>
          </cell>
        </row>
      </sheetData>
      <sheetData sheetId="11"/>
      <sheetData sheetId="12"/>
      <sheetData sheetId="13">
        <row r="1">
          <cell r="B1" t="str">
            <v>Version EFF 1.04 (B 73), 03.03.2010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Angaben zum Förderungswerber"/>
      <sheetName val="Angaben zu Projektpartnern"/>
      <sheetName val="Angaben zum Projekt"/>
      <sheetName val="Stammdaten Indikatoren"/>
      <sheetName val="Indikatoren 1"/>
      <sheetName val="Indikatoren 2"/>
      <sheetName val="Indikatoren 3"/>
      <sheetName val="Indikatoren 4"/>
      <sheetName val="Indikatoren 5"/>
      <sheetName val="Indikatoren 6"/>
      <sheetName val="Indikatoren 7"/>
      <sheetName val="Indikatoren 8"/>
      <sheetName val="Indikatoren 9"/>
      <sheetName val="Indikatoren 10"/>
      <sheetName val="Indikatoren 11"/>
      <sheetName val="Indikatoren 12"/>
      <sheetName val="Indikatoren 13"/>
      <sheetName val="Indikatoren 14"/>
      <sheetName val="Indikatoren 15"/>
      <sheetName val="Indikatoren 16"/>
      <sheetName val="Indikatoren 17"/>
      <sheetName val="Indikatoren 18"/>
      <sheetName val="Indikatoren 19"/>
      <sheetName val="Indikatoren 20"/>
      <sheetName val="Indikatoren 21"/>
      <sheetName val="Indikatoren 22"/>
      <sheetName val="Indikatoren 23"/>
      <sheetName val="Indikatoren 24"/>
      <sheetName val="Indikatoren 25"/>
      <sheetName val="Indikatoren 26"/>
      <sheetName val="Indikatoren 27"/>
      <sheetName val="Indikator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  <pageSetUpPr fitToPage="1"/>
  </sheetPr>
  <dimension ref="B2:J117"/>
  <sheetViews>
    <sheetView showGridLines="0" tabSelected="1" zoomScale="80" zoomScaleNormal="80" workbookViewId="0">
      <selection activeCell="D4" sqref="D4:G4"/>
    </sheetView>
  </sheetViews>
  <sheetFormatPr baseColWidth="10" defaultRowHeight="18.75" customHeight="1" x14ac:dyDescent="0.2"/>
  <cols>
    <col min="1" max="2" width="3.7109375" style="1" customWidth="1"/>
    <col min="3" max="3" width="66.85546875" style="1" customWidth="1"/>
    <col min="4" max="6" width="36.5703125" style="1" customWidth="1"/>
    <col min="7" max="7" width="34.85546875" style="1" customWidth="1"/>
    <col min="8" max="8" width="3.7109375" style="1" customWidth="1"/>
    <col min="9" max="9" width="11.42578125" style="1"/>
    <col min="10" max="10" width="14.42578125" style="1" bestFit="1" customWidth="1"/>
    <col min="11" max="16384" width="11.42578125" style="1"/>
  </cols>
  <sheetData>
    <row r="2" spans="2:8" ht="18.75" customHeight="1" x14ac:dyDescent="0.2">
      <c r="B2" s="33"/>
      <c r="C2" s="32"/>
      <c r="D2" s="32"/>
      <c r="E2" s="32"/>
      <c r="F2" s="32"/>
      <c r="G2" s="32"/>
      <c r="H2" s="31"/>
    </row>
    <row r="3" spans="2:8" ht="27" customHeight="1" x14ac:dyDescent="0.2">
      <c r="B3" s="23"/>
      <c r="C3" s="54" t="s">
        <v>58</v>
      </c>
      <c r="D3" s="54"/>
      <c r="E3" s="54"/>
      <c r="F3" s="54"/>
      <c r="G3" s="54"/>
      <c r="H3" s="30"/>
    </row>
    <row r="4" spans="2:8" ht="27" customHeight="1" x14ac:dyDescent="0.2">
      <c r="B4" s="23"/>
      <c r="C4" s="26" t="s">
        <v>54</v>
      </c>
      <c r="D4" s="51" t="s">
        <v>72</v>
      </c>
      <c r="E4" s="52"/>
      <c r="F4" s="52"/>
      <c r="G4" s="53"/>
      <c r="H4" s="30"/>
    </row>
    <row r="5" spans="2:8" ht="27" customHeight="1" x14ac:dyDescent="0.2">
      <c r="B5" s="23"/>
      <c r="C5" s="26" t="s">
        <v>55</v>
      </c>
      <c r="D5" s="51" t="s">
        <v>71</v>
      </c>
      <c r="E5" s="52"/>
      <c r="F5" s="52"/>
      <c r="G5" s="53"/>
      <c r="H5" s="30"/>
    </row>
    <row r="6" spans="2:8" ht="27" customHeight="1" x14ac:dyDescent="0.2">
      <c r="B6" s="23"/>
      <c r="C6" s="26" t="s">
        <v>56</v>
      </c>
      <c r="D6" s="51" t="s">
        <v>68</v>
      </c>
      <c r="E6" s="52"/>
      <c r="F6" s="52"/>
      <c r="G6" s="53"/>
      <c r="H6" s="30"/>
    </row>
    <row r="7" spans="2:8" s="2" customFormat="1" ht="18.75" customHeight="1" x14ac:dyDescent="0.2">
      <c r="B7" s="25"/>
      <c r="C7" s="29"/>
      <c r="D7" s="28" t="s">
        <v>52</v>
      </c>
      <c r="E7" s="28" t="s">
        <v>51</v>
      </c>
      <c r="F7" s="28" t="s">
        <v>50</v>
      </c>
      <c r="G7" s="28" t="s">
        <v>49</v>
      </c>
      <c r="H7" s="24"/>
    </row>
    <row r="8" spans="2:8" s="2" customFormat="1" ht="21.95" customHeight="1" x14ac:dyDescent="0.2">
      <c r="B8" s="25"/>
      <c r="C8" s="41" t="s">
        <v>48</v>
      </c>
      <c r="D8" s="42"/>
      <c r="E8" s="42"/>
      <c r="F8" s="42"/>
      <c r="G8" s="43"/>
      <c r="H8" s="24"/>
    </row>
    <row r="9" spans="2:8" s="2" customFormat="1" ht="21.95" customHeight="1" x14ac:dyDescent="0.2">
      <c r="B9" s="25"/>
      <c r="C9" s="26" t="s">
        <v>47</v>
      </c>
      <c r="D9" s="21">
        <v>470</v>
      </c>
      <c r="E9" s="39">
        <v>731</v>
      </c>
      <c r="F9" s="20">
        <f t="shared" ref="F9:F19" si="0">(E9/D9)</f>
        <v>1.5553191489361702</v>
      </c>
      <c r="G9" s="36"/>
      <c r="H9" s="24"/>
    </row>
    <row r="10" spans="2:8" s="2" customFormat="1" ht="21.95" customHeight="1" x14ac:dyDescent="0.2">
      <c r="B10" s="25"/>
      <c r="C10" s="26" t="s">
        <v>46</v>
      </c>
      <c r="D10" s="21"/>
      <c r="E10" s="38"/>
      <c r="F10" s="20" t="e">
        <f t="shared" si="0"/>
        <v>#DIV/0!</v>
      </c>
      <c r="G10" s="36"/>
      <c r="H10" s="24"/>
    </row>
    <row r="11" spans="2:8" s="2" customFormat="1" ht="21.95" customHeight="1" x14ac:dyDescent="0.2">
      <c r="B11" s="25"/>
      <c r="C11" s="26" t="s">
        <v>45</v>
      </c>
      <c r="D11" s="21">
        <v>240</v>
      </c>
      <c r="E11" s="39">
        <v>360</v>
      </c>
      <c r="F11" s="20">
        <f t="shared" si="0"/>
        <v>1.5</v>
      </c>
      <c r="G11" s="36"/>
      <c r="H11" s="24"/>
    </row>
    <row r="12" spans="2:8" s="2" customFormat="1" ht="21.95" customHeight="1" x14ac:dyDescent="0.2">
      <c r="B12" s="25"/>
      <c r="C12" s="26" t="s">
        <v>44</v>
      </c>
      <c r="D12" s="21">
        <v>230</v>
      </c>
      <c r="E12" s="38">
        <v>371</v>
      </c>
      <c r="F12" s="20">
        <f t="shared" si="0"/>
        <v>1.6130434782608696</v>
      </c>
      <c r="G12" s="36"/>
      <c r="H12" s="24"/>
    </row>
    <row r="13" spans="2:8" s="2" customFormat="1" ht="21.95" customHeight="1" x14ac:dyDescent="0.2">
      <c r="B13" s="25"/>
      <c r="C13" s="26" t="s">
        <v>43</v>
      </c>
      <c r="D13" s="21"/>
      <c r="E13" s="39"/>
      <c r="F13" s="20" t="e">
        <f t="shared" si="0"/>
        <v>#DIV/0!</v>
      </c>
      <c r="G13" s="36"/>
      <c r="H13" s="24"/>
    </row>
    <row r="14" spans="2:8" s="2" customFormat="1" ht="21.95" customHeight="1" x14ac:dyDescent="0.2">
      <c r="B14" s="25"/>
      <c r="C14" s="26" t="s">
        <v>42</v>
      </c>
      <c r="D14" s="21">
        <v>330</v>
      </c>
      <c r="E14" s="39">
        <v>600</v>
      </c>
      <c r="F14" s="20">
        <f t="shared" si="0"/>
        <v>1.8181818181818181</v>
      </c>
      <c r="G14" s="36"/>
      <c r="H14" s="24"/>
    </row>
    <row r="15" spans="2:8" s="2" customFormat="1" ht="21.95" customHeight="1" x14ac:dyDescent="0.2">
      <c r="B15" s="25"/>
      <c r="C15" s="26" t="s">
        <v>41</v>
      </c>
      <c r="D15" s="21">
        <v>140</v>
      </c>
      <c r="E15" s="39">
        <v>131</v>
      </c>
      <c r="F15" s="20">
        <f t="shared" si="0"/>
        <v>0.93571428571428572</v>
      </c>
      <c r="G15" s="36"/>
      <c r="H15" s="24"/>
    </row>
    <row r="16" spans="2:8" s="2" customFormat="1" ht="33.75" customHeight="1" x14ac:dyDescent="0.2">
      <c r="B16" s="25"/>
      <c r="C16" s="26" t="s">
        <v>40</v>
      </c>
      <c r="D16" s="21">
        <v>230</v>
      </c>
      <c r="E16" s="39">
        <v>345</v>
      </c>
      <c r="F16" s="20">
        <f t="shared" si="0"/>
        <v>1.5</v>
      </c>
      <c r="G16" s="36"/>
      <c r="H16" s="24"/>
    </row>
    <row r="17" spans="2:8" s="2" customFormat="1" ht="21.95" customHeight="1" x14ac:dyDescent="0.2">
      <c r="B17" s="25"/>
      <c r="C17" s="26" t="s">
        <v>39</v>
      </c>
      <c r="D17" s="21">
        <v>160</v>
      </c>
      <c r="E17" s="39">
        <v>289</v>
      </c>
      <c r="F17" s="20">
        <f t="shared" si="0"/>
        <v>1.8062499999999999</v>
      </c>
      <c r="G17" s="36"/>
      <c r="H17" s="24"/>
    </row>
    <row r="18" spans="2:8" s="2" customFormat="1" ht="21.95" customHeight="1" x14ac:dyDescent="0.2">
      <c r="B18" s="25"/>
      <c r="C18" s="26" t="s">
        <v>38</v>
      </c>
      <c r="D18" s="21">
        <v>70</v>
      </c>
      <c r="E18" s="39">
        <v>56</v>
      </c>
      <c r="F18" s="20">
        <f t="shared" si="0"/>
        <v>0.8</v>
      </c>
      <c r="G18" s="36"/>
      <c r="H18" s="24"/>
    </row>
    <row r="19" spans="2:8" s="2" customFormat="1" ht="28.5" customHeight="1" x14ac:dyDescent="0.2">
      <c r="B19" s="25"/>
      <c r="C19" s="27" t="s">
        <v>37</v>
      </c>
      <c r="D19" s="21">
        <v>65</v>
      </c>
      <c r="E19" s="39">
        <v>10</v>
      </c>
      <c r="F19" s="20">
        <f t="shared" si="0"/>
        <v>0.15384615384615385</v>
      </c>
      <c r="G19" s="37" t="s">
        <v>67</v>
      </c>
      <c r="H19" s="24"/>
    </row>
    <row r="20" spans="2:8" s="2" customFormat="1" ht="28.5" customHeight="1" x14ac:dyDescent="0.2">
      <c r="B20" s="25"/>
      <c r="C20" s="34" t="s">
        <v>12</v>
      </c>
      <c r="D20" s="21"/>
      <c r="E20" s="38"/>
      <c r="F20" s="20" t="e">
        <f>(E20/D20)</f>
        <v>#DIV/0!</v>
      </c>
      <c r="G20" s="37"/>
      <c r="H20" s="24"/>
    </row>
    <row r="21" spans="2:8" s="2" customFormat="1" ht="28.5" customHeight="1" x14ac:dyDescent="0.2">
      <c r="B21" s="25"/>
      <c r="C21" s="34"/>
      <c r="D21" s="21"/>
      <c r="E21" s="38"/>
      <c r="F21" s="20" t="e">
        <f>(E21/D21)</f>
        <v>#DIV/0!</v>
      </c>
      <c r="G21" s="37"/>
      <c r="H21" s="24"/>
    </row>
    <row r="22" spans="2:8" s="2" customFormat="1" ht="28.5" customHeight="1" x14ac:dyDescent="0.2">
      <c r="B22" s="25"/>
      <c r="C22" s="34"/>
      <c r="D22" s="21"/>
      <c r="E22" s="38"/>
      <c r="F22" s="20" t="e">
        <f>(E22/D22)</f>
        <v>#DIV/0!</v>
      </c>
      <c r="G22" s="37"/>
      <c r="H22" s="24"/>
    </row>
    <row r="23" spans="2:8" s="2" customFormat="1" ht="28.5" customHeight="1" x14ac:dyDescent="0.2">
      <c r="B23" s="25"/>
      <c r="C23" s="34"/>
      <c r="D23" s="21"/>
      <c r="E23" s="38"/>
      <c r="F23" s="20" t="e">
        <f>(E23/D23)</f>
        <v>#DIV/0!</v>
      </c>
      <c r="G23" s="37"/>
      <c r="H23" s="24"/>
    </row>
    <row r="24" spans="2:8" s="2" customFormat="1" ht="21.95" customHeight="1" x14ac:dyDescent="0.2">
      <c r="B24" s="25"/>
      <c r="C24" s="41" t="s">
        <v>36</v>
      </c>
      <c r="D24" s="42"/>
      <c r="E24" s="42"/>
      <c r="F24" s="42"/>
      <c r="G24" s="43"/>
      <c r="H24" s="24"/>
    </row>
    <row r="25" spans="2:8" s="2" customFormat="1" ht="21.95" customHeight="1" x14ac:dyDescent="0.2">
      <c r="B25" s="25"/>
      <c r="C25" s="26" t="s">
        <v>35</v>
      </c>
      <c r="D25" s="21">
        <v>91</v>
      </c>
      <c r="E25" s="39">
        <v>110</v>
      </c>
      <c r="F25" s="20">
        <f t="shared" ref="F25:F32" si="1">E25/D25</f>
        <v>1.2087912087912087</v>
      </c>
      <c r="G25" s="36" t="s">
        <v>69</v>
      </c>
      <c r="H25" s="24"/>
    </row>
    <row r="26" spans="2:8" s="2" customFormat="1" ht="21.95" customHeight="1" x14ac:dyDescent="0.2">
      <c r="B26" s="25"/>
      <c r="C26" s="26" t="s">
        <v>34</v>
      </c>
      <c r="D26" s="21"/>
      <c r="E26" s="39"/>
      <c r="F26" s="20" t="e">
        <f t="shared" si="1"/>
        <v>#DIV/0!</v>
      </c>
      <c r="G26" s="36"/>
      <c r="H26" s="24"/>
    </row>
    <row r="27" spans="2:8" s="2" customFormat="1" ht="21.95" customHeight="1" x14ac:dyDescent="0.2">
      <c r="B27" s="25"/>
      <c r="C27" s="26" t="s">
        <v>33</v>
      </c>
      <c r="D27" s="21">
        <v>14</v>
      </c>
      <c r="E27" s="39">
        <v>18</v>
      </c>
      <c r="F27" s="20">
        <f t="shared" si="1"/>
        <v>1.2857142857142858</v>
      </c>
      <c r="G27" s="36"/>
      <c r="H27" s="24"/>
    </row>
    <row r="28" spans="2:8" s="2" customFormat="1" ht="21.95" customHeight="1" x14ac:dyDescent="0.2">
      <c r="B28" s="25"/>
      <c r="C28" s="26" t="s">
        <v>32</v>
      </c>
      <c r="D28" s="21">
        <v>55</v>
      </c>
      <c r="E28" s="39">
        <v>69</v>
      </c>
      <c r="F28" s="20">
        <f t="shared" si="1"/>
        <v>1.2545454545454546</v>
      </c>
      <c r="G28" s="36"/>
      <c r="H28" s="24"/>
    </row>
    <row r="29" spans="2:8" s="2" customFormat="1" ht="21.95" customHeight="1" x14ac:dyDescent="0.2">
      <c r="B29" s="25"/>
      <c r="C29" s="34" t="s">
        <v>12</v>
      </c>
      <c r="D29" s="21"/>
      <c r="E29" s="39"/>
      <c r="F29" s="20" t="e">
        <f t="shared" si="1"/>
        <v>#DIV/0!</v>
      </c>
      <c r="G29" s="36"/>
      <c r="H29" s="24"/>
    </row>
    <row r="30" spans="2:8" s="2" customFormat="1" ht="21.95" customHeight="1" x14ac:dyDescent="0.2">
      <c r="B30" s="25"/>
      <c r="C30" s="34"/>
      <c r="D30" s="21"/>
      <c r="E30" s="39"/>
      <c r="F30" s="20" t="e">
        <f t="shared" si="1"/>
        <v>#DIV/0!</v>
      </c>
      <c r="G30" s="36"/>
      <c r="H30" s="24"/>
    </row>
    <row r="31" spans="2:8" s="2" customFormat="1" ht="21.95" customHeight="1" x14ac:dyDescent="0.2">
      <c r="B31" s="25"/>
      <c r="C31" s="34"/>
      <c r="D31" s="21"/>
      <c r="E31" s="39"/>
      <c r="F31" s="20" t="e">
        <f t="shared" si="1"/>
        <v>#DIV/0!</v>
      </c>
      <c r="G31" s="36"/>
      <c r="H31" s="24"/>
    </row>
    <row r="32" spans="2:8" s="2" customFormat="1" ht="21.95" customHeight="1" x14ac:dyDescent="0.2">
      <c r="B32" s="25"/>
      <c r="C32" s="34"/>
      <c r="D32" s="21"/>
      <c r="E32" s="39"/>
      <c r="F32" s="20" t="e">
        <f t="shared" si="1"/>
        <v>#DIV/0!</v>
      </c>
      <c r="G32" s="36"/>
      <c r="H32" s="24"/>
    </row>
    <row r="33" spans="2:8" s="2" customFormat="1" ht="21.95" customHeight="1" x14ac:dyDescent="0.2">
      <c r="B33" s="25"/>
      <c r="C33" s="41" t="s">
        <v>31</v>
      </c>
      <c r="D33" s="42"/>
      <c r="E33" s="42"/>
      <c r="F33" s="42"/>
      <c r="G33" s="43"/>
      <c r="H33" s="24"/>
    </row>
    <row r="34" spans="2:8" s="2" customFormat="1" ht="21.95" customHeight="1" x14ac:dyDescent="0.2">
      <c r="B34" s="25"/>
      <c r="C34" s="26" t="s">
        <v>30</v>
      </c>
      <c r="D34" s="21">
        <v>3000</v>
      </c>
      <c r="E34" s="39">
        <v>3000</v>
      </c>
      <c r="F34" s="20">
        <f t="shared" ref="F34:F40" si="2">E34/D34</f>
        <v>1</v>
      </c>
      <c r="G34" s="36"/>
      <c r="H34" s="24"/>
    </row>
    <row r="35" spans="2:8" s="2" customFormat="1" ht="21.95" customHeight="1" x14ac:dyDescent="0.2">
      <c r="B35" s="25"/>
      <c r="C35" s="26" t="s">
        <v>29</v>
      </c>
      <c r="D35" s="21">
        <v>500</v>
      </c>
      <c r="E35" s="39">
        <v>731</v>
      </c>
      <c r="F35" s="20">
        <f t="shared" si="2"/>
        <v>1.462</v>
      </c>
      <c r="G35" s="36"/>
      <c r="H35" s="24"/>
    </row>
    <row r="36" spans="2:8" s="2" customFormat="1" ht="21.95" customHeight="1" x14ac:dyDescent="0.2">
      <c r="B36" s="25"/>
      <c r="C36" s="26" t="s">
        <v>28</v>
      </c>
      <c r="D36" s="21">
        <v>2000</v>
      </c>
      <c r="E36" s="39">
        <v>2000</v>
      </c>
      <c r="F36" s="20">
        <f t="shared" si="2"/>
        <v>1</v>
      </c>
      <c r="G36" s="36"/>
      <c r="H36" s="24"/>
    </row>
    <row r="37" spans="2:8" s="2" customFormat="1" ht="21.95" customHeight="1" x14ac:dyDescent="0.2">
      <c r="B37" s="25"/>
      <c r="C37" s="34" t="s">
        <v>12</v>
      </c>
      <c r="D37" s="21"/>
      <c r="E37" s="39"/>
      <c r="F37" s="20" t="e">
        <f t="shared" si="2"/>
        <v>#DIV/0!</v>
      </c>
      <c r="G37" s="36"/>
      <c r="H37" s="24"/>
    </row>
    <row r="38" spans="2:8" s="2" customFormat="1" ht="21.95" customHeight="1" x14ac:dyDescent="0.2">
      <c r="B38" s="25"/>
      <c r="C38" s="34"/>
      <c r="D38" s="21"/>
      <c r="E38" s="39"/>
      <c r="F38" s="20" t="e">
        <f t="shared" si="2"/>
        <v>#DIV/0!</v>
      </c>
      <c r="G38" s="36"/>
      <c r="H38" s="24"/>
    </row>
    <row r="39" spans="2:8" s="2" customFormat="1" ht="21.95" customHeight="1" x14ac:dyDescent="0.2">
      <c r="B39" s="25"/>
      <c r="C39" s="34"/>
      <c r="D39" s="21"/>
      <c r="E39" s="39"/>
      <c r="F39" s="20" t="e">
        <f t="shared" si="2"/>
        <v>#DIV/0!</v>
      </c>
      <c r="G39" s="36"/>
      <c r="H39" s="24"/>
    </row>
    <row r="40" spans="2:8" s="2" customFormat="1" ht="21.95" customHeight="1" x14ac:dyDescent="0.2">
      <c r="B40" s="25"/>
      <c r="C40" s="34"/>
      <c r="D40" s="21"/>
      <c r="E40" s="39"/>
      <c r="F40" s="20" t="e">
        <f t="shared" si="2"/>
        <v>#DIV/0!</v>
      </c>
      <c r="G40" s="36"/>
      <c r="H40" s="24"/>
    </row>
    <row r="41" spans="2:8" s="2" customFormat="1" ht="21.95" customHeight="1" x14ac:dyDescent="0.2">
      <c r="B41" s="25"/>
      <c r="C41" s="41" t="s">
        <v>27</v>
      </c>
      <c r="D41" s="42"/>
      <c r="E41" s="42"/>
      <c r="F41" s="42"/>
      <c r="G41" s="43"/>
      <c r="H41" s="24"/>
    </row>
    <row r="42" spans="2:8" s="2" customFormat="1" ht="21.95" customHeight="1" x14ac:dyDescent="0.2">
      <c r="B42" s="25"/>
      <c r="C42" s="26" t="s">
        <v>26</v>
      </c>
      <c r="D42" s="21">
        <v>18</v>
      </c>
      <c r="E42" s="39">
        <v>18</v>
      </c>
      <c r="F42" s="20">
        <f t="shared" ref="F42:F58" si="3">E42/D42</f>
        <v>1</v>
      </c>
      <c r="G42" s="36"/>
      <c r="H42" s="24"/>
    </row>
    <row r="43" spans="2:8" s="2" customFormat="1" ht="21.95" customHeight="1" x14ac:dyDescent="0.2">
      <c r="B43" s="25"/>
      <c r="C43" s="26" t="s">
        <v>24</v>
      </c>
      <c r="D43" s="21"/>
      <c r="E43" s="39"/>
      <c r="F43" s="20" t="e">
        <f t="shared" si="3"/>
        <v>#DIV/0!</v>
      </c>
      <c r="G43" s="36"/>
      <c r="H43" s="24"/>
    </row>
    <row r="44" spans="2:8" s="2" customFormat="1" ht="21.95" customHeight="1" x14ac:dyDescent="0.2">
      <c r="B44" s="25"/>
      <c r="C44" s="26" t="s">
        <v>23</v>
      </c>
      <c r="D44" s="21"/>
      <c r="E44" s="39"/>
      <c r="F44" s="20" t="e">
        <f t="shared" si="3"/>
        <v>#DIV/0!</v>
      </c>
      <c r="G44" s="36"/>
      <c r="H44" s="24"/>
    </row>
    <row r="45" spans="2:8" s="2" customFormat="1" ht="21.95" customHeight="1" x14ac:dyDescent="0.2">
      <c r="B45" s="25"/>
      <c r="C45" s="26" t="s">
        <v>22</v>
      </c>
      <c r="D45" s="21"/>
      <c r="E45" s="39"/>
      <c r="F45" s="20" t="e">
        <f t="shared" si="3"/>
        <v>#DIV/0!</v>
      </c>
      <c r="G45" s="36"/>
      <c r="H45" s="24"/>
    </row>
    <row r="46" spans="2:8" s="2" customFormat="1" ht="21.95" customHeight="1" x14ac:dyDescent="0.2">
      <c r="B46" s="25"/>
      <c r="C46" s="26" t="s">
        <v>21</v>
      </c>
      <c r="D46" s="21"/>
      <c r="E46" s="39"/>
      <c r="F46" s="20" t="e">
        <f t="shared" si="3"/>
        <v>#DIV/0!</v>
      </c>
      <c r="G46" s="36"/>
      <c r="H46" s="24"/>
    </row>
    <row r="47" spans="2:8" s="2" customFormat="1" ht="21.95" customHeight="1" x14ac:dyDescent="0.2">
      <c r="B47" s="25"/>
      <c r="C47" s="26" t="s">
        <v>20</v>
      </c>
      <c r="D47" s="21"/>
      <c r="E47" s="39"/>
      <c r="F47" s="20" t="e">
        <f t="shared" si="3"/>
        <v>#DIV/0!</v>
      </c>
      <c r="G47" s="36"/>
      <c r="H47" s="24"/>
    </row>
    <row r="48" spans="2:8" s="2" customFormat="1" ht="21.95" customHeight="1" x14ac:dyDescent="0.2">
      <c r="B48" s="25"/>
      <c r="C48" s="26" t="s">
        <v>25</v>
      </c>
      <c r="D48" s="21">
        <v>300</v>
      </c>
      <c r="E48" s="39">
        <v>360</v>
      </c>
      <c r="F48" s="20">
        <f t="shared" si="3"/>
        <v>1.2</v>
      </c>
      <c r="G48" s="36"/>
      <c r="H48" s="24"/>
    </row>
    <row r="49" spans="2:8" s="2" customFormat="1" ht="21.95" customHeight="1" x14ac:dyDescent="0.2">
      <c r="B49" s="25"/>
      <c r="C49" s="26" t="s">
        <v>24</v>
      </c>
      <c r="D49" s="21"/>
      <c r="E49" s="39"/>
      <c r="F49" s="20" t="e">
        <f t="shared" si="3"/>
        <v>#DIV/0!</v>
      </c>
      <c r="G49" s="36"/>
      <c r="H49" s="24"/>
    </row>
    <row r="50" spans="2:8" s="2" customFormat="1" ht="21.95" customHeight="1" x14ac:dyDescent="0.2">
      <c r="B50" s="25"/>
      <c r="C50" s="26" t="s">
        <v>23</v>
      </c>
      <c r="D50" s="21"/>
      <c r="E50" s="39"/>
      <c r="F50" s="20" t="e">
        <f t="shared" si="3"/>
        <v>#DIV/0!</v>
      </c>
      <c r="G50" s="36"/>
      <c r="H50" s="24"/>
    </row>
    <row r="51" spans="2:8" s="2" customFormat="1" ht="21.95" customHeight="1" x14ac:dyDescent="0.2">
      <c r="B51" s="25"/>
      <c r="C51" s="26" t="s">
        <v>22</v>
      </c>
      <c r="D51" s="21"/>
      <c r="E51" s="39"/>
      <c r="F51" s="20" t="e">
        <f t="shared" si="3"/>
        <v>#DIV/0!</v>
      </c>
      <c r="G51" s="36"/>
      <c r="H51" s="24"/>
    </row>
    <row r="52" spans="2:8" s="2" customFormat="1" ht="21.95" customHeight="1" x14ac:dyDescent="0.2">
      <c r="B52" s="25"/>
      <c r="C52" s="26" t="s">
        <v>21</v>
      </c>
      <c r="D52" s="21"/>
      <c r="E52" s="39"/>
      <c r="F52" s="20" t="e">
        <f t="shared" si="3"/>
        <v>#DIV/0!</v>
      </c>
      <c r="G52" s="36"/>
      <c r="H52" s="24"/>
    </row>
    <row r="53" spans="2:8" s="2" customFormat="1" ht="21.95" customHeight="1" x14ac:dyDescent="0.2">
      <c r="B53" s="25"/>
      <c r="C53" s="26" t="s">
        <v>20</v>
      </c>
      <c r="D53" s="21"/>
      <c r="E53" s="39"/>
      <c r="F53" s="20" t="e">
        <f t="shared" si="3"/>
        <v>#DIV/0!</v>
      </c>
      <c r="G53" s="36"/>
      <c r="H53" s="24"/>
    </row>
    <row r="54" spans="2:8" s="2" customFormat="1" ht="21.95" customHeight="1" x14ac:dyDescent="0.2">
      <c r="B54" s="25"/>
      <c r="C54" s="26" t="s">
        <v>19</v>
      </c>
      <c r="D54" s="21"/>
      <c r="E54" s="39"/>
      <c r="F54" s="20" t="e">
        <f t="shared" si="3"/>
        <v>#DIV/0!</v>
      </c>
      <c r="G54" s="36"/>
      <c r="H54" s="24"/>
    </row>
    <row r="55" spans="2:8" s="2" customFormat="1" ht="21.95" customHeight="1" x14ac:dyDescent="0.2">
      <c r="B55" s="25"/>
      <c r="C55" s="26" t="s">
        <v>57</v>
      </c>
      <c r="D55" s="21"/>
      <c r="E55" s="39"/>
      <c r="F55" s="20" t="e">
        <f t="shared" si="3"/>
        <v>#DIV/0!</v>
      </c>
      <c r="G55" s="36"/>
      <c r="H55" s="24"/>
    </row>
    <row r="56" spans="2:8" s="2" customFormat="1" ht="31.5" customHeight="1" x14ac:dyDescent="0.2">
      <c r="B56" s="25"/>
      <c r="C56" s="26" t="s">
        <v>18</v>
      </c>
      <c r="D56" s="21"/>
      <c r="E56" s="39"/>
      <c r="F56" s="20" t="e">
        <f t="shared" si="3"/>
        <v>#DIV/0!</v>
      </c>
      <c r="G56" s="36"/>
      <c r="H56" s="24"/>
    </row>
    <row r="57" spans="2:8" s="2" customFormat="1" ht="26.25" customHeight="1" x14ac:dyDescent="0.2">
      <c r="B57" s="25"/>
      <c r="C57" s="26" t="s">
        <v>17</v>
      </c>
      <c r="D57" s="21">
        <v>780</v>
      </c>
      <c r="E57" s="39">
        <v>815</v>
      </c>
      <c r="F57" s="20">
        <f t="shared" si="3"/>
        <v>1.0448717948717949</v>
      </c>
      <c r="G57" s="36"/>
      <c r="H57" s="24"/>
    </row>
    <row r="58" spans="2:8" s="2" customFormat="1" ht="21.95" customHeight="1" x14ac:dyDescent="0.2">
      <c r="B58" s="25"/>
      <c r="C58" s="26" t="s">
        <v>16</v>
      </c>
      <c r="D58" s="21">
        <v>300</v>
      </c>
      <c r="E58" s="39">
        <v>400</v>
      </c>
      <c r="F58" s="20">
        <f t="shared" si="3"/>
        <v>1.3333333333333333</v>
      </c>
      <c r="G58" s="36"/>
      <c r="H58" s="24"/>
    </row>
    <row r="59" spans="2:8" s="2" customFormat="1" ht="21.95" customHeight="1" x14ac:dyDescent="0.2">
      <c r="B59" s="25"/>
      <c r="C59" s="41" t="s">
        <v>15</v>
      </c>
      <c r="D59" s="42"/>
      <c r="E59" s="42"/>
      <c r="F59" s="42"/>
      <c r="G59" s="43"/>
      <c r="H59" s="24"/>
    </row>
    <row r="60" spans="2:8" s="2" customFormat="1" ht="21.95" customHeight="1" x14ac:dyDescent="0.2">
      <c r="B60" s="25"/>
      <c r="C60" s="22" t="s">
        <v>14</v>
      </c>
      <c r="D60" s="21"/>
      <c r="E60" s="21"/>
      <c r="F60" s="20" t="e">
        <f>E60/D60</f>
        <v>#DIV/0!</v>
      </c>
      <c r="G60" s="36"/>
      <c r="H60" s="24"/>
    </row>
    <row r="61" spans="2:8" s="2" customFormat="1" ht="21.95" customHeight="1" x14ac:dyDescent="0.2">
      <c r="B61" s="25"/>
      <c r="C61" s="34" t="s">
        <v>12</v>
      </c>
      <c r="D61" s="21"/>
      <c r="E61" s="35"/>
      <c r="F61" s="20" t="e">
        <f>E61/D61</f>
        <v>#DIV/0!</v>
      </c>
      <c r="G61" s="36"/>
      <c r="H61" s="24"/>
    </row>
    <row r="62" spans="2:8" s="2" customFormat="1" ht="21.95" customHeight="1" x14ac:dyDescent="0.2">
      <c r="B62" s="25"/>
      <c r="C62" s="34"/>
      <c r="D62" s="21"/>
      <c r="E62" s="35"/>
      <c r="F62" s="20" t="e">
        <f>E62/D62</f>
        <v>#DIV/0!</v>
      </c>
      <c r="G62" s="36"/>
      <c r="H62" s="24"/>
    </row>
    <row r="63" spans="2:8" s="2" customFormat="1" ht="21.95" customHeight="1" x14ac:dyDescent="0.2">
      <c r="B63" s="25"/>
      <c r="C63" s="34"/>
      <c r="D63" s="21"/>
      <c r="E63" s="39"/>
      <c r="F63" s="20" t="e">
        <f>E63/D63</f>
        <v>#DIV/0!</v>
      </c>
      <c r="G63" s="36"/>
      <c r="H63" s="24"/>
    </row>
    <row r="64" spans="2:8" s="2" customFormat="1" ht="21.95" customHeight="1" x14ac:dyDescent="0.2">
      <c r="B64" s="25"/>
      <c r="C64" s="34"/>
      <c r="D64" s="21"/>
      <c r="E64" s="35"/>
      <c r="F64" s="20" t="e">
        <f>E64/D64</f>
        <v>#DIV/0!</v>
      </c>
      <c r="G64" s="36"/>
      <c r="H64" s="24"/>
    </row>
    <row r="65" spans="2:10" s="2" customFormat="1" ht="21.95" customHeight="1" x14ac:dyDescent="0.2">
      <c r="B65" s="25"/>
      <c r="C65" s="41" t="s">
        <v>13</v>
      </c>
      <c r="D65" s="42"/>
      <c r="E65" s="42"/>
      <c r="F65" s="42"/>
      <c r="G65" s="43"/>
      <c r="H65" s="24"/>
    </row>
    <row r="66" spans="2:10" s="2" customFormat="1" ht="21.95" customHeight="1" x14ac:dyDescent="0.2">
      <c r="B66" s="25"/>
      <c r="C66" s="22" t="s">
        <v>59</v>
      </c>
      <c r="D66" s="40">
        <v>18</v>
      </c>
      <c r="E66" s="39">
        <v>23</v>
      </c>
      <c r="F66" s="20">
        <f t="shared" ref="F66:F76" si="4">E66/D66</f>
        <v>1.2777777777777777</v>
      </c>
      <c r="G66" s="36"/>
      <c r="H66" s="24"/>
    </row>
    <row r="67" spans="2:10" s="2" customFormat="1" ht="21.95" customHeight="1" x14ac:dyDescent="0.2">
      <c r="B67" s="25"/>
      <c r="C67" s="22" t="s">
        <v>60</v>
      </c>
      <c r="D67" s="40">
        <v>12</v>
      </c>
      <c r="E67" s="39">
        <v>17</v>
      </c>
      <c r="F67" s="20">
        <f t="shared" si="4"/>
        <v>1.4166666666666667</v>
      </c>
      <c r="G67" s="36"/>
      <c r="H67" s="24"/>
    </row>
    <row r="68" spans="2:10" s="2" customFormat="1" ht="21.95" customHeight="1" x14ac:dyDescent="0.2">
      <c r="B68" s="25"/>
      <c r="C68" s="22" t="s">
        <v>61</v>
      </c>
      <c r="D68" s="40">
        <v>60</v>
      </c>
      <c r="E68" s="39">
        <v>55</v>
      </c>
      <c r="F68" s="20">
        <f t="shared" si="4"/>
        <v>0.91666666666666663</v>
      </c>
      <c r="G68" s="36" t="s">
        <v>70</v>
      </c>
      <c r="H68" s="24"/>
    </row>
    <row r="69" spans="2:10" s="2" customFormat="1" ht="21.95" customHeight="1" x14ac:dyDescent="0.2">
      <c r="B69" s="25"/>
      <c r="C69" s="22" t="s">
        <v>62</v>
      </c>
      <c r="D69" s="40">
        <v>55</v>
      </c>
      <c r="E69" s="39">
        <v>60</v>
      </c>
      <c r="F69" s="20"/>
      <c r="G69" s="36"/>
      <c r="H69" s="24"/>
    </row>
    <row r="70" spans="2:10" s="2" customFormat="1" ht="21.95" customHeight="1" x14ac:dyDescent="0.2">
      <c r="B70" s="25"/>
      <c r="C70" s="22" t="s">
        <v>63</v>
      </c>
      <c r="D70" s="40">
        <v>2</v>
      </c>
      <c r="E70" s="39">
        <v>2</v>
      </c>
      <c r="F70" s="20">
        <f t="shared" si="4"/>
        <v>1</v>
      </c>
      <c r="G70" s="36"/>
      <c r="H70" s="24"/>
    </row>
    <row r="71" spans="2:10" s="2" customFormat="1" ht="21.95" customHeight="1" x14ac:dyDescent="0.2">
      <c r="B71" s="25"/>
      <c r="C71" s="22" t="s">
        <v>64</v>
      </c>
      <c r="D71" s="40">
        <v>50</v>
      </c>
      <c r="E71" s="39">
        <v>50</v>
      </c>
      <c r="F71" s="20"/>
      <c r="G71" s="36"/>
      <c r="H71" s="24"/>
    </row>
    <row r="72" spans="2:10" s="2" customFormat="1" ht="21.95" customHeight="1" x14ac:dyDescent="0.2">
      <c r="B72" s="25"/>
      <c r="C72" s="22" t="s">
        <v>65</v>
      </c>
      <c r="D72" s="40">
        <v>57</v>
      </c>
      <c r="E72" s="39">
        <v>70</v>
      </c>
      <c r="F72" s="20">
        <f t="shared" si="4"/>
        <v>1.2280701754385965</v>
      </c>
      <c r="G72" s="36"/>
      <c r="H72" s="24"/>
    </row>
    <row r="73" spans="2:10" ht="21.95" customHeight="1" x14ac:dyDescent="0.2">
      <c r="B73" s="23"/>
      <c r="C73" s="22" t="s">
        <v>66</v>
      </c>
      <c r="D73" s="40">
        <v>7</v>
      </c>
      <c r="E73" s="39">
        <v>9</v>
      </c>
      <c r="F73" s="20">
        <f t="shared" si="4"/>
        <v>1.2857142857142858</v>
      </c>
      <c r="G73" s="36"/>
      <c r="H73" s="44"/>
      <c r="J73" s="2"/>
    </row>
    <row r="74" spans="2:10" ht="21.95" customHeight="1" x14ac:dyDescent="0.2">
      <c r="B74" s="23"/>
      <c r="C74" s="34"/>
      <c r="D74" s="21"/>
      <c r="E74" s="38"/>
      <c r="F74" s="20"/>
      <c r="G74" s="36"/>
      <c r="H74" s="44"/>
      <c r="J74" s="2"/>
    </row>
    <row r="75" spans="2:10" ht="21.95" customHeight="1" x14ac:dyDescent="0.2">
      <c r="B75" s="46"/>
      <c r="C75" s="34"/>
      <c r="D75" s="21"/>
      <c r="E75" s="38"/>
      <c r="F75" s="20" t="e">
        <f t="shared" si="4"/>
        <v>#DIV/0!</v>
      </c>
      <c r="G75" s="36"/>
      <c r="H75" s="44"/>
    </row>
    <row r="76" spans="2:10" ht="21.95" customHeight="1" x14ac:dyDescent="0.2">
      <c r="B76" s="46"/>
      <c r="C76" s="34"/>
      <c r="D76" s="21"/>
      <c r="E76" s="38"/>
      <c r="F76" s="20" t="e">
        <f t="shared" si="4"/>
        <v>#DIV/0!</v>
      </c>
      <c r="G76" s="36"/>
      <c r="H76" s="44"/>
    </row>
    <row r="77" spans="2:10" s="3" customFormat="1" ht="18.75" customHeight="1" x14ac:dyDescent="0.2">
      <c r="B77" s="47"/>
      <c r="C77" s="48"/>
      <c r="D77" s="48"/>
      <c r="E77" s="48"/>
      <c r="F77" s="48"/>
      <c r="G77" s="48"/>
      <c r="H77" s="45"/>
    </row>
    <row r="78" spans="2:10" s="3" customFormat="1" ht="18.75" customHeight="1" x14ac:dyDescent="0.2">
      <c r="B78" s="4"/>
      <c r="C78" s="4"/>
      <c r="D78" s="4"/>
      <c r="E78" s="4"/>
      <c r="F78" s="4"/>
      <c r="G78" s="4"/>
      <c r="H78" s="4"/>
    </row>
    <row r="79" spans="2:10" s="3" customFormat="1" ht="24" customHeight="1" x14ac:dyDescent="0.2">
      <c r="B79" s="19"/>
      <c r="C79" s="18"/>
      <c r="D79" s="18"/>
      <c r="E79" s="18"/>
      <c r="F79" s="18"/>
      <c r="G79" s="18"/>
      <c r="H79" s="17"/>
    </row>
    <row r="80" spans="2:10" s="3" customFormat="1" ht="132.75" customHeight="1" x14ac:dyDescent="0.2">
      <c r="B80" s="16"/>
      <c r="C80" s="49" t="s">
        <v>53</v>
      </c>
      <c r="D80" s="50"/>
      <c r="E80" s="50"/>
      <c r="F80" s="50"/>
      <c r="G80" s="50"/>
      <c r="H80" s="15"/>
    </row>
    <row r="81" spans="2:9" s="3" customFormat="1" ht="18.75" hidden="1" customHeight="1" x14ac:dyDescent="0.2">
      <c r="B81" s="14"/>
      <c r="C81" s="13"/>
      <c r="D81" s="13"/>
      <c r="E81" s="13"/>
      <c r="F81" s="13"/>
      <c r="G81" s="13"/>
      <c r="H81" s="12"/>
      <c r="I81" s="4"/>
    </row>
    <row r="82" spans="2:9" s="3" customFormat="1" ht="18.75" hidden="1" customHeight="1" x14ac:dyDescent="0.2">
      <c r="C82" s="8" t="s">
        <v>11</v>
      </c>
      <c r="D82" s="8"/>
      <c r="E82" s="8"/>
      <c r="F82" s="8"/>
      <c r="G82" s="8" t="e">
        <f>IF(OR(#REF!="",#REF!=""),0,ROUND(((#REF!-#REF!)/30),0))</f>
        <v>#REF!</v>
      </c>
      <c r="H82" s="4"/>
      <c r="I82" s="4"/>
    </row>
    <row r="83" spans="2:9" s="3" customFormat="1" ht="18.75" hidden="1" customHeight="1" x14ac:dyDescent="0.2">
      <c r="C83" s="8" t="s">
        <v>10</v>
      </c>
      <c r="D83" s="8"/>
      <c r="E83" s="8"/>
      <c r="F83" s="8"/>
      <c r="G83" s="8"/>
      <c r="H83" s="4"/>
      <c r="I83" s="4"/>
    </row>
    <row r="84" spans="2:9" s="3" customFormat="1" ht="18.75" hidden="1" customHeight="1" x14ac:dyDescent="0.2">
      <c r="C84" s="8" t="s">
        <v>9</v>
      </c>
      <c r="D84" s="8"/>
      <c r="E84" s="8"/>
      <c r="F84" s="8"/>
      <c r="G84" s="8"/>
      <c r="H84" s="4"/>
      <c r="I84" s="4"/>
    </row>
    <row r="85" spans="2:9" s="3" customFormat="1" ht="18.75" hidden="1" customHeight="1" x14ac:dyDescent="0.2">
      <c r="C85" s="8" t="s">
        <v>8</v>
      </c>
      <c r="D85" s="8"/>
      <c r="E85" s="8"/>
      <c r="F85" s="8"/>
      <c r="G85" s="8"/>
      <c r="H85" s="4"/>
      <c r="I85" s="4"/>
    </row>
    <row r="86" spans="2:9" s="3" customFormat="1" ht="18.75" hidden="1" customHeight="1" x14ac:dyDescent="0.2">
      <c r="C86" s="8" t="s">
        <v>7</v>
      </c>
      <c r="D86" s="8"/>
      <c r="E86" s="8"/>
      <c r="F86" s="8"/>
      <c r="G86" s="8"/>
      <c r="H86" s="4"/>
      <c r="I86" s="4"/>
    </row>
    <row r="87" spans="2:9" s="3" customFormat="1" ht="18.75" hidden="1" customHeight="1" x14ac:dyDescent="0.2">
      <c r="C87" s="8" t="s">
        <v>6</v>
      </c>
      <c r="D87" s="8"/>
      <c r="E87" s="8"/>
      <c r="F87" s="8"/>
      <c r="G87" s="8"/>
      <c r="H87" s="4"/>
      <c r="I87" s="4"/>
    </row>
    <row r="88" spans="2:9" s="3" customFormat="1" ht="18.75" hidden="1" customHeight="1" x14ac:dyDescent="0.2">
      <c r="C88" s="8" t="s">
        <v>5</v>
      </c>
      <c r="D88" s="8"/>
      <c r="E88" s="8"/>
      <c r="F88" s="8"/>
      <c r="G88" s="8"/>
      <c r="H88" s="4"/>
      <c r="I88" s="4"/>
    </row>
    <row r="89" spans="2:9" s="3" customFormat="1" ht="18.75" hidden="1" customHeight="1" x14ac:dyDescent="0.2">
      <c r="C89" s="8"/>
      <c r="D89" s="8"/>
      <c r="E89" s="8"/>
      <c r="F89" s="8"/>
      <c r="G89" s="8"/>
      <c r="H89" s="4"/>
      <c r="I89" s="4"/>
    </row>
    <row r="90" spans="2:9" s="3" customFormat="1" ht="18.75" hidden="1" customHeight="1" x14ac:dyDescent="0.2">
      <c r="C90" s="8" t="s">
        <v>4</v>
      </c>
      <c r="D90" s="8"/>
      <c r="E90" s="8"/>
      <c r="F90" s="8"/>
      <c r="G90" s="8"/>
      <c r="H90" s="4"/>
      <c r="I90" s="4"/>
    </row>
    <row r="91" spans="2:9" s="3" customFormat="1" ht="18.75" hidden="1" customHeight="1" x14ac:dyDescent="0.2">
      <c r="C91" s="8" t="s">
        <v>3</v>
      </c>
      <c r="D91" s="8"/>
      <c r="E91" s="8"/>
      <c r="F91" s="8"/>
      <c r="G91" s="8"/>
      <c r="H91" s="4"/>
      <c r="I91" s="4"/>
    </row>
    <row r="92" spans="2:9" s="3" customFormat="1" ht="18.75" hidden="1" customHeight="1" x14ac:dyDescent="0.2">
      <c r="C92" s="8" t="s">
        <v>2</v>
      </c>
      <c r="D92" s="8"/>
      <c r="E92" s="8"/>
      <c r="F92" s="8"/>
      <c r="G92" s="8"/>
      <c r="H92" s="4"/>
      <c r="I92" s="4"/>
    </row>
    <row r="93" spans="2:9" s="3" customFormat="1" ht="16.5" customHeight="1" x14ac:dyDescent="0.2">
      <c r="B93" s="11"/>
      <c r="C93" s="10"/>
      <c r="D93" s="10"/>
      <c r="E93" s="10"/>
      <c r="F93" s="10"/>
      <c r="G93" s="10"/>
      <c r="H93" s="9"/>
      <c r="I93" s="4"/>
    </row>
    <row r="94" spans="2:9" s="3" customFormat="1" ht="18.75" customHeight="1" x14ac:dyDescent="0.2">
      <c r="C94" s="8" t="s">
        <v>1</v>
      </c>
      <c r="D94" s="8"/>
      <c r="E94" s="8"/>
      <c r="F94" s="8"/>
      <c r="G94" s="8"/>
      <c r="H94" s="4"/>
      <c r="I94" s="4"/>
    </row>
    <row r="95" spans="2:9" s="3" customFormat="1" ht="18.75" customHeight="1" x14ac:dyDescent="0.2">
      <c r="C95" s="4"/>
      <c r="D95" s="4"/>
      <c r="E95" s="4"/>
      <c r="F95" s="4"/>
      <c r="G95" s="4"/>
      <c r="H95" s="4"/>
      <c r="I95" s="4"/>
    </row>
    <row r="96" spans="2:9" s="3" customFormat="1" ht="18.75" customHeight="1" x14ac:dyDescent="0.2">
      <c r="C96" s="4" t="s">
        <v>0</v>
      </c>
      <c r="D96" s="4"/>
      <c r="E96" s="4"/>
      <c r="F96" s="4"/>
      <c r="G96" s="4"/>
      <c r="H96" s="4"/>
      <c r="I96" s="4"/>
    </row>
    <row r="97" spans="3:9" s="3" customFormat="1" ht="18.75" customHeight="1" x14ac:dyDescent="0.2">
      <c r="C97" s="4" t="s">
        <v>0</v>
      </c>
      <c r="D97" s="4"/>
      <c r="E97" s="4"/>
      <c r="F97" s="4"/>
      <c r="G97" s="4"/>
      <c r="H97" s="4"/>
      <c r="I97" s="4"/>
    </row>
    <row r="98" spans="3:9" s="3" customFormat="1" ht="18.75" customHeight="1" x14ac:dyDescent="0.2">
      <c r="C98" s="4"/>
      <c r="D98" s="4"/>
      <c r="E98" s="4"/>
      <c r="F98" s="4"/>
      <c r="G98" s="4"/>
      <c r="H98" s="4"/>
      <c r="I98" s="4"/>
    </row>
    <row r="99" spans="3:9" s="3" customFormat="1" ht="18.75" customHeight="1" x14ac:dyDescent="0.2">
      <c r="C99" s="4"/>
      <c r="D99" s="4"/>
      <c r="E99" s="4"/>
      <c r="F99" s="4"/>
      <c r="G99" s="4"/>
      <c r="H99" s="4"/>
      <c r="I99" s="4"/>
    </row>
    <row r="100" spans="3:9" s="3" customFormat="1" ht="18.75" customHeight="1" x14ac:dyDescent="0.2">
      <c r="C100" s="4"/>
      <c r="D100" s="4"/>
      <c r="E100" s="4"/>
      <c r="F100" s="4"/>
      <c r="G100" s="4"/>
      <c r="H100" s="4"/>
      <c r="I100" s="4"/>
    </row>
    <row r="101" spans="3:9" s="3" customFormat="1" ht="18.75" customHeight="1" x14ac:dyDescent="0.2">
      <c r="C101" s="4"/>
      <c r="D101" s="4"/>
      <c r="E101" s="4"/>
      <c r="F101" s="4"/>
      <c r="G101" s="4"/>
      <c r="H101" s="4"/>
      <c r="I101" s="4"/>
    </row>
    <row r="102" spans="3:9" s="3" customFormat="1" ht="18.75" customHeight="1" x14ac:dyDescent="0.2">
      <c r="C102" s="4"/>
      <c r="D102" s="4"/>
      <c r="E102" s="4"/>
      <c r="F102" s="4"/>
      <c r="G102" s="4"/>
      <c r="H102" s="4"/>
      <c r="I102" s="4"/>
    </row>
    <row r="103" spans="3:9" s="3" customFormat="1" ht="18.75" customHeight="1" x14ac:dyDescent="0.2">
      <c r="C103" s="4"/>
      <c r="D103" s="7"/>
      <c r="E103" s="7"/>
      <c r="F103" s="7"/>
      <c r="G103" s="4"/>
      <c r="H103" s="4"/>
      <c r="I103" s="4"/>
    </row>
    <row r="104" spans="3:9" s="3" customFormat="1" ht="18.75" customHeight="1" x14ac:dyDescent="0.2">
      <c r="C104" s="4"/>
      <c r="D104" s="6"/>
      <c r="E104" s="6"/>
      <c r="F104" s="6"/>
      <c r="G104" s="4"/>
      <c r="H104" s="4"/>
      <c r="I104" s="4"/>
    </row>
    <row r="105" spans="3:9" s="3" customFormat="1" ht="18.75" customHeight="1" x14ac:dyDescent="0.2">
      <c r="C105" s="4"/>
      <c r="D105" s="6"/>
      <c r="E105" s="6"/>
      <c r="F105" s="6"/>
      <c r="G105" s="4"/>
    </row>
    <row r="106" spans="3:9" s="3" customFormat="1" ht="18.75" customHeight="1" x14ac:dyDescent="0.2">
      <c r="C106" s="4"/>
      <c r="D106" s="5"/>
      <c r="E106" s="5"/>
      <c r="F106" s="5"/>
    </row>
    <row r="107" spans="3:9" ht="18.75" customHeight="1" x14ac:dyDescent="0.2">
      <c r="C107" s="4"/>
      <c r="D107" s="3"/>
      <c r="E107" s="3"/>
      <c r="F107" s="3"/>
      <c r="G107" s="3"/>
    </row>
    <row r="108" spans="3:9" ht="18.75" customHeight="1" x14ac:dyDescent="0.2">
      <c r="C108" s="2"/>
    </row>
    <row r="109" spans="3:9" ht="18.75" customHeight="1" x14ac:dyDescent="0.2">
      <c r="C109" s="2"/>
    </row>
    <row r="110" spans="3:9" ht="18.75" customHeight="1" x14ac:dyDescent="0.2">
      <c r="C110" s="2"/>
    </row>
    <row r="111" spans="3:9" ht="18.75" customHeight="1" x14ac:dyDescent="0.2">
      <c r="C111" s="2"/>
    </row>
    <row r="112" spans="3:9" ht="18.75" customHeight="1" x14ac:dyDescent="0.2">
      <c r="C112" s="2"/>
    </row>
    <row r="113" spans="3:3" ht="18.75" customHeight="1" x14ac:dyDescent="0.2">
      <c r="C113" s="2"/>
    </row>
    <row r="114" spans="3:3" ht="18.75" customHeight="1" x14ac:dyDescent="0.2">
      <c r="C114" s="2"/>
    </row>
    <row r="115" spans="3:3" ht="18.75" customHeight="1" x14ac:dyDescent="0.2">
      <c r="C115" s="2"/>
    </row>
    <row r="116" spans="3:3" ht="18.75" customHeight="1" x14ac:dyDescent="0.2">
      <c r="C116" s="2"/>
    </row>
    <row r="117" spans="3:3" ht="18.75" customHeight="1" x14ac:dyDescent="0.2">
      <c r="C117" s="2"/>
    </row>
  </sheetData>
  <sheetProtection password="FFFD" sheet="1" insertRows="0"/>
  <mergeCells count="14">
    <mergeCell ref="C80:G80"/>
    <mergeCell ref="D6:G6"/>
    <mergeCell ref="C3:G3"/>
    <mergeCell ref="C8:G8"/>
    <mergeCell ref="C24:G24"/>
    <mergeCell ref="C33:G33"/>
    <mergeCell ref="C41:G41"/>
    <mergeCell ref="D4:G4"/>
    <mergeCell ref="D5:G5"/>
    <mergeCell ref="C59:G59"/>
    <mergeCell ref="C65:G65"/>
    <mergeCell ref="H73:H77"/>
    <mergeCell ref="B75:B77"/>
    <mergeCell ref="C77:G77"/>
  </mergeCells>
  <pageMargins left="0.7" right="0.7" top="0.78740157499999996" bottom="0.78740157499999996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Indikatoren</vt:lpstr>
      <vt:lpstr>Indikatoren!Druckbereich</vt:lpstr>
    </vt:vector>
  </TitlesOfParts>
  <Company>Aussenministerium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peter.petrus</dc:creator>
  <cp:lastModifiedBy>FA, Arpad</cp:lastModifiedBy>
  <cp:lastPrinted>2018-04-18T08:09:26Z</cp:lastPrinted>
  <dcterms:created xsi:type="dcterms:W3CDTF">2018-04-16T09:43:52Z</dcterms:created>
  <dcterms:modified xsi:type="dcterms:W3CDTF">2026-04-29T11:20:21Z</dcterms:modified>
</cp:coreProperties>
</file>