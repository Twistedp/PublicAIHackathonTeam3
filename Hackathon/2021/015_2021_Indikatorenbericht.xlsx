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1 Tina Widmann\Die Chance\die chance 2021\Antrag Bund 2021\Endabrechnung Bund 2021\"/>
    </mc:Choice>
  </mc:AlternateContent>
  <workbookProtection workbookAlgorithmName="SHA-512" workbookHashValue="ysy5UDduV8XKUgwW2jtRB0sZa43ltYK4jI0Ks64krcf6iDE2Qv3wbJwxndnk6lzcKkk3NuFhsQschW5VMNBWbA==" workbookSaltValue="wQKHrURK/znYOuX9YXvCzw==" workbookSpinCount="100000" lockStructure="1"/>
  <bookViews>
    <workbookView xWindow="120" yWindow="140" windowWidth="26120" windowHeight="11310"/>
  </bookViews>
  <sheets>
    <sheet name="Indikatorenbericht" sheetId="1" r:id="rId1"/>
  </sheets>
  <externalReferences>
    <externalReference r:id="rId2"/>
    <externalReference r:id="rId3"/>
  </externalReferences>
  <definedNames>
    <definedName name="A_Ja_Nein_Liste">[1]sysAuswahl!$A$5:$A$6</definedName>
    <definedName name="A_Ja_Nein_Rev">[1]sysAuswahl!$F$5:$G$7</definedName>
    <definedName name="A_Ja_Nein_Wert">[1]sysAuswahl!$C$5:$D$7</definedName>
    <definedName name="A_MASSN_Liste">[1]sysAuswahl!$A$23:$A$31</definedName>
    <definedName name="A_MASSN_Rev">[1]sysAuswahl!$F$23:$G$32</definedName>
    <definedName name="A_MASSN_Wert">[1]sysAuswahl!$C$23:$D$32</definedName>
    <definedName name="A_ProjArt_Liste">[1]sysAuswahl!$A$14:$A$16</definedName>
    <definedName name="_xlnm.Print_Area" localSheetId="0">Indikatorenbericht!$B$2:$K$82,Indikatorenbericht!$B$84:$K$92,Indikatorenbericht!$M$2:$Q$82</definedName>
    <definedName name="F_FondsBez">[1]Eingabe_1_bis_4!$F$15</definedName>
    <definedName name="F_Massnahme">[1]Eingabe_1_bis_4!$F$19</definedName>
    <definedName name="F_MONSYS_Aktenzeichen">[1]Eingabe_1_bis_4!$F$7</definedName>
    <definedName name="F_MONSYS_Eingangsdatum">[1]Eingabe_1_bis_4!$F$5</definedName>
    <definedName name="F_MONSYS_eingegangenBei">[1]Eingabe_1_bis_4!$F$4</definedName>
    <definedName name="F_MONSYS_FassungVom">[1]Eingabe_1_bis_4!$F$6</definedName>
    <definedName name="F_MONSYS_Projektcode">[1]Eingabe_1_bis_4!$F$9</definedName>
    <definedName name="F_MONSYS_Vertragsnummer">[1]Eingabe_1_bis_4!$F$8</definedName>
    <definedName name="F_PA1_Ansprech">[1]Eingabe_5!$F$20</definedName>
    <definedName name="F_PA1_Email">[1]Eingabe_5!$F$26</definedName>
    <definedName name="F_PA1_Fax">[1]Eingabe_5!$F$24</definedName>
    <definedName name="F_PA1_Telefon">[1]Eingabe_5!$F$22</definedName>
    <definedName name="F_PA2_Ansprech">[1]Eingabe_5!$F$44</definedName>
    <definedName name="F_PA2_Email">[1]Eingabe_5!$F$50</definedName>
    <definedName name="F_PA2_Fax">[1]Eingabe_5!$F$48</definedName>
    <definedName name="F_PA2_Telefon">[1]Eingabe_5!$F$46</definedName>
    <definedName name="F_PK_KACode_L00">[1]Eingabe_6!$F$48</definedName>
    <definedName name="F_PK_KACode_L01">[1]Eingabe_6!$F$52</definedName>
    <definedName name="F_PK_KACode_L02">[1]Eingabe_6!$F$56</definedName>
    <definedName name="F_PK_KACode_L03">[1]Eingabe_6!$F$60</definedName>
    <definedName name="F_PK_KACode_L04">[1]Eingabe_6!$F$64</definedName>
    <definedName name="F_PK_KACode_L05">[1]Eingabe_6!$F$68</definedName>
    <definedName name="F_PK_KACode_L06">[1]Eingabe_6!$F$72</definedName>
    <definedName name="F_PK_KACode_L07">[1]Eingabe_6!$F$76</definedName>
    <definedName name="F_PK_KACode_L08">[1]Eingabe_6!$F$80</definedName>
    <definedName name="F_PK_KACode_L09">[1]Eingabe_6!$F$84</definedName>
    <definedName name="F_PK_PK_Notiz_L00">[1]Eingabe_6!$F$50</definedName>
    <definedName name="F_PK_PK_Notiz_L01">[1]Eingabe_6!$F$54</definedName>
    <definedName name="F_PK_PK_Notiz_L02">[1]Eingabe_6!$F$58</definedName>
    <definedName name="F_PK_PK_Notiz_L03">[1]Eingabe_6!$F$62</definedName>
    <definedName name="F_PK_PK_Notiz_L04">[1]Eingabe_6!$F$66</definedName>
    <definedName name="F_PK_PK_Notiz_L05">[1]Eingabe_6!$F$70</definedName>
    <definedName name="F_PK_PK_Notiz_L06">[1]Eingabe_6!$F$74</definedName>
    <definedName name="F_PK_PK_Notiz_L07">[1]Eingabe_6!$F$78</definedName>
    <definedName name="F_PK_PK_Notiz_L08">[1]Eingabe_6!$F$82</definedName>
    <definedName name="F_PK_PK_Notiz_L09">[1]Eingabe_6!$F$86</definedName>
    <definedName name="F_PK_Z01">[1]Eingabe_6!$F$34</definedName>
    <definedName name="F_PK_Z02">[1]Eingabe_6!$F$36</definedName>
    <definedName name="F_PK_Z03">[1]Eingabe_6!$F$38</definedName>
    <definedName name="F_PK_Z04">[1]Eingabe_6!$F$40</definedName>
    <definedName name="F_PR_AZVFS">[1]Eingabe_1_bis_4!$F$25</definedName>
    <definedName name="F_PR_FEAnsprech">[1]Eingabe_1_bis_4!$F$71</definedName>
    <definedName name="F_PR_FEAnsprech_Email">[1]Eingabe_1_bis_4!$F$77</definedName>
    <definedName name="F_PR_FEAnsprech_Fax">[1]Eingabe_1_bis_4!$F$75</definedName>
    <definedName name="F_PR_FEAnsprech_Telefon">[1]Eingabe_1_bis_4!$F$73</definedName>
    <definedName name="F_PR_FEBLZ">[1]Eingabe_1_bis_4!$F$87</definedName>
    <definedName name="F_PR_FEKontonr">[1]Eingabe_1_bis_4!$F$85</definedName>
    <definedName name="F_PR_FeMWST">[1]Eingabe_1_bis_4!$F$61</definedName>
    <definedName name="F_PR_FEZeichBerecht">[1]Eingabe_1_bis_4!$F$57</definedName>
    <definedName name="F_PR_Grenzland">[1]Eingabe_1_bis_4!$F$67</definedName>
    <definedName name="F_PR_Link">[1]Eingabe_1_bis_4!$F$81</definedName>
    <definedName name="F_PR_Projdf_anf">[1]Eingabe_6!$F$7</definedName>
    <definedName name="F_PR_Projdf_end">[1]Eingabe_6!$F$9</definedName>
    <definedName name="F_PR_Projektbeschreibung1">[1]Eingabe_6!$F$27</definedName>
    <definedName name="F_PR_Projektbeschreibung2">[1]Eingabe_6!$F$28</definedName>
    <definedName name="F_PR_Projinfo">[1]Eingabe_6!$F$25</definedName>
    <definedName name="F_PR_Projtitel">[1]Eingabe_1_bis_4!$F$23</definedName>
    <definedName name="F_PR_Standort">[1]Eingabe_6!$F$44</definedName>
    <definedName name="F_PR_Ziele">[1]Eingabe_6!$F$30</definedName>
    <definedName name="Handlungsfeld">'[2]Angaben zum Projekt'!$D$6</definedName>
    <definedName name="Maßnahmenbereich">#REF!</definedName>
    <definedName name="Sprache_und_Bildung">Indikatorenbericht!#REF!</definedName>
    <definedName name="Version_Dok">[1]Version!$B$1</definedName>
  </definedNames>
  <calcPr calcId="162913"/>
</workbook>
</file>

<file path=xl/calcChain.xml><?xml version="1.0" encoding="utf-8"?>
<calcChain xmlns="http://schemas.openxmlformats.org/spreadsheetml/2006/main">
  <c r="E51" i="1" l="1"/>
  <c r="F51" i="1"/>
  <c r="G51" i="1" s="1"/>
  <c r="F52" i="1"/>
  <c r="G52" i="1" s="1"/>
  <c r="F31" i="1"/>
  <c r="G31" i="1" s="1"/>
  <c r="E31" i="1"/>
  <c r="G72" i="1"/>
  <c r="G73" i="1"/>
  <c r="G74" i="1"/>
  <c r="G75" i="1"/>
  <c r="G76" i="1"/>
  <c r="G65" i="1"/>
  <c r="G11" i="1"/>
  <c r="G12" i="1"/>
  <c r="G13" i="1"/>
  <c r="E52" i="1"/>
  <c r="G15" i="1"/>
  <c r="G79" i="1"/>
  <c r="G80" i="1"/>
  <c r="G81" i="1"/>
  <c r="G53" i="1"/>
  <c r="G54" i="1"/>
  <c r="G55" i="1"/>
  <c r="G56" i="1"/>
  <c r="G57" i="1"/>
  <c r="G58" i="1"/>
  <c r="G59" i="1"/>
  <c r="G60" i="1"/>
  <c r="G61" i="1"/>
  <c r="G62" i="1"/>
  <c r="G63" i="1"/>
  <c r="G64" i="1"/>
  <c r="G66" i="1"/>
  <c r="G67" i="1"/>
  <c r="G68" i="1"/>
  <c r="G69" i="1"/>
  <c r="G44" i="1"/>
  <c r="G45" i="1"/>
  <c r="G46" i="1"/>
  <c r="G47" i="1"/>
  <c r="G48" i="1"/>
  <c r="G49" i="1"/>
  <c r="G43" i="1"/>
  <c r="G40" i="1"/>
  <c r="G41" i="1"/>
  <c r="G35" i="1"/>
  <c r="G36" i="1"/>
  <c r="G71" i="1"/>
  <c r="G10" i="1"/>
  <c r="G78" i="1"/>
  <c r="G39" i="1"/>
  <c r="G38" i="1"/>
  <c r="G34" i="1"/>
  <c r="G33" i="1"/>
  <c r="G30" i="1"/>
  <c r="G29" i="1"/>
  <c r="G28" i="1"/>
  <c r="G27" i="1"/>
  <c r="G26" i="1"/>
  <c r="G25" i="1"/>
  <c r="G24" i="1"/>
  <c r="G23" i="1"/>
  <c r="G22" i="1"/>
  <c r="G16" i="1"/>
  <c r="G17" i="1"/>
  <c r="G18" i="1"/>
  <c r="G19" i="1"/>
  <c r="G20" i="1"/>
</calcChain>
</file>

<file path=xl/sharedStrings.xml><?xml version="1.0" encoding="utf-8"?>
<sst xmlns="http://schemas.openxmlformats.org/spreadsheetml/2006/main" count="203" uniqueCount="150">
  <si>
    <t>Frauen</t>
  </si>
  <si>
    <t>Deutsch</t>
  </si>
  <si>
    <t>Sport und Freizeit</t>
  </si>
  <si>
    <t>Interkultureller Dialog</t>
  </si>
  <si>
    <t>Gesundheit und Soziales</t>
  </si>
  <si>
    <t>Rechtsstaat und Werte</t>
  </si>
  <si>
    <t>Arbeit und Beruf</t>
  </si>
  <si>
    <t>Sprache und Bildung</t>
  </si>
  <si>
    <t>Anzahl der durchgeführten Studien / Forschungsarbeiten</t>
  </si>
  <si>
    <t>Anzahl der Beratungs-/Betreuungsstunden</t>
  </si>
  <si>
    <t>Erfüllt in %</t>
  </si>
  <si>
    <t>Projekttitel</t>
  </si>
  <si>
    <t>Projektnummer</t>
  </si>
  <si>
    <t>- davon Asylberechtigte</t>
  </si>
  <si>
    <t>- davon subsidiär Schutzberechtigte</t>
  </si>
  <si>
    <t>- davon unbegleitete minderjährige Flüchtlinge</t>
  </si>
  <si>
    <t>- davon Frauen</t>
  </si>
  <si>
    <t>- davon für Personen unter 18 Jahre</t>
  </si>
  <si>
    <t>- davon Personen unter 18 Jahre</t>
  </si>
  <si>
    <t>Anzahl der Sprachkurse (=Summe Alphabetisierung bis B2)</t>
  </si>
  <si>
    <t>Beschreibung</t>
  </si>
  <si>
    <t>Anzahl der Beratungs-/Betreuungs-/Coachingstunden</t>
  </si>
  <si>
    <t>Anzahl der Informationsveranstaltungen</t>
  </si>
  <si>
    <t>Anzahl der Hausbesuche</t>
  </si>
  <si>
    <t>Ausfüllhilfe</t>
  </si>
  <si>
    <t>- von diesen geleistete Gesamtstunden</t>
  </si>
  <si>
    <t>Anzahl der beratenen, betreuten oder gecoachten Personen</t>
  </si>
  <si>
    <t>- davon Anzahl A1 Kurse</t>
  </si>
  <si>
    <t>- davon Anzahl A2 Kurse</t>
  </si>
  <si>
    <t>- davon Anzahl B1 Kurse</t>
  </si>
  <si>
    <t>- davon Anzahl B2 Kurse</t>
  </si>
  <si>
    <t>- davon Anzahl Alphabetisierungskurse</t>
  </si>
  <si>
    <t>- davon ÖIF zertifiziert</t>
  </si>
  <si>
    <t>Kapazität an Betreuungsplätzen im Projekt</t>
  </si>
  <si>
    <t>Wie viele Betreuungsplätze bietet ihr Projekt dauerhaft? Diese Angabe ist bei besonders langandauernder Betreuung nötig.</t>
  </si>
  <si>
    <t>Anzahl der niederschwelligen Deutschlerntreffen</t>
  </si>
  <si>
    <t>- davon fachsprachliche Deutschkurse</t>
  </si>
  <si>
    <t>--- Kursplätze in Alphabetisierung</t>
  </si>
  <si>
    <t>--- Kursplätze in A1</t>
  </si>
  <si>
    <t>--- Kursplätze in A2</t>
  </si>
  <si>
    <t>--- Kursplätze in B1</t>
  </si>
  <si>
    <t>--- Kursplätze in B2</t>
  </si>
  <si>
    <t>--- Kursplätze in fachsprachlichen Deutschkursen</t>
  </si>
  <si>
    <t>Anzahl der beratenen oder betreuten Personen</t>
  </si>
  <si>
    <t>--- davon Personen unter 18 Jahre</t>
  </si>
  <si>
    <t>Burgenland</t>
  </si>
  <si>
    <t>Kärnten</t>
  </si>
  <si>
    <t>Niederösterreich</t>
  </si>
  <si>
    <t>Bitte auswählen!</t>
  </si>
  <si>
    <t>Erreichte Personen durch Printmedien</t>
  </si>
  <si>
    <t>Erreichte Personen durch digitale Medien</t>
  </si>
  <si>
    <t>Anzahl der Veranstaltungen, bei denen über das Projekt informiert wird und um Teilnehmerinnen und Teilnehmer geworben oder die Mehrheitsbevölkerung über das Projekt informiert wird.</t>
  </si>
  <si>
    <t>Anzahl der Deutschkursteilnehmerinnen und -teilnehmer gesamt</t>
  </si>
  <si>
    <t>Tragen Sie die Gesamtzahl an Personen ein, die an den Deutschkursen insgesamt teilnehmen. Wenn eine Person z.B. an einem A1 Kurs teilnimmt und in Folge an einem A2 Kurs, dann ist diese Person nur einmal zu zählen.</t>
  </si>
  <si>
    <t>Anzahl der Unterrichtseinheiten gesamt</t>
  </si>
  <si>
    <t>Kategorie A - Anzahl der Einzelveranstaltungen kurz</t>
  </si>
  <si>
    <t>Kategorie B - Anzahl der Einzelveranstaltungen lang</t>
  </si>
  <si>
    <t>Kategorie C - Anzahl der Veranstaltungen mehrtägig</t>
  </si>
  <si>
    <t>Kategorie D - Anzahl der Konferenzen</t>
  </si>
  <si>
    <t>Anzahl der Veranstaltungstunden gesamt</t>
  </si>
  <si>
    <t>Anzahl der Veranstaltungsteilnehmerinnen und -teilnehmer gesamt</t>
  </si>
  <si>
    <t>Veranstaltungen der Kategorie D  erfüllen folgende Charakteristika: ein- oder mehrtägige Konferenz (Tagung, Symposium, etc) mit zahlreichen Teilnehmerinnen und Teilnehmer sowie ausgewählten Vortragenden  mit nachvollziehbaren Ergebnissen, wie einem Tagungsband etc.</t>
  </si>
  <si>
    <t>Öffentlicheitsarbeit und Medienreichweite</t>
  </si>
  <si>
    <t>Teilnehmerinnen und Teilnehmer</t>
  </si>
  <si>
    <t>Anzahl der Projektteilnehmerinnen und -teilnehmer gesamt</t>
  </si>
  <si>
    <t>- davon unter 18 Jahre</t>
  </si>
  <si>
    <t>Bereich 1 Veranstaltungen
(keine Informationsveranstaltungen)</t>
  </si>
  <si>
    <t>Bereich 2a Einzelberatung/-betreuung 
(max. 2 Personen)</t>
  </si>
  <si>
    <t>Bereich 2b Gruppenberatung/-betreuung 
(min. 3 Personen)</t>
  </si>
  <si>
    <t>Bereich 3b Niederschwellige Deutschlernangebote</t>
  </si>
  <si>
    <t>Anzahl der Deutschkurse (Bereich 3a) und niederschwellige Deutschlerntreffen (Bereich 3b) mit Kinderbetreuung</t>
  </si>
  <si>
    <t>Bereich 4 Sonstige Indikatoren</t>
  </si>
  <si>
    <t>Anzahl an Ehrenamtlichen, Buddies, Mentor/innen, Multiplikator/innen, etc.</t>
  </si>
  <si>
    <t>Diese Kategorie umfasst ausschließlich Informationen über das Projekt, welche beispielsweise zur Akquise notwendig sind, um  Teilnehmerinnen und Teilnehmer für das Projekt zu gewinnen oder die Mehrheitsbevölkerung über das Projekt aufzuklären, jedoch nicht die Umsetzung von Projektmaßnahmen.</t>
  </si>
  <si>
    <t>Darunter sind z.B. soziale Medien, die Webseite, Newsletter und andere digitale Maßnahmen zu zählen.</t>
  </si>
  <si>
    <t>Hierunter fallen z.B. Flyer, Broschüren, inhaltliche Inserate mit Erklärungstext zum Projekt, Berichte in Printmedien über das Projekt, etc.</t>
  </si>
  <si>
    <t>Diese Kategorie umfasst alle Teilnehmerinnen und Teilnehmer im Projekt, ohne jene Personen, die als Besucherinnen und Besucher unter den Informationsveranstaltungen angegeben sind.</t>
  </si>
  <si>
    <t>Die Gesamtteilnehmerzahl ergibt sich aus den Angaben in den Bereichen 1 bis 3 und wird automatisch berechnet.</t>
  </si>
  <si>
    <t>Kinder, Jugendliche und Elternarbeit</t>
  </si>
  <si>
    <t>Für den Fall, dass mehrere Familien gleichzeitig eine Maßnahme wahrnehmen, handelt es sich um eine Gruppenberatung/-betreuung.</t>
  </si>
  <si>
    <t>Niederschwellige Deutschlernangebote werden unter "Bereich 3b" berücksichtigt.</t>
  </si>
  <si>
    <t>Wie viele Ehrenamtliche, Buddies, Mentor/innen, Multiplikator/innen und andere Freiwillige arbeiten in ihrem Projekt mit?</t>
  </si>
  <si>
    <r>
      <t>Bereich 3a Deutschkurse</t>
    </r>
    <r>
      <rPr>
        <b/>
        <sz val="11"/>
        <color indexed="9"/>
        <rFont val="Calibri"/>
        <family val="2"/>
      </rPr>
      <t xml:space="preserve"> </t>
    </r>
  </si>
  <si>
    <t>Anzahl SOLL</t>
  </si>
  <si>
    <t>Anzahl IST</t>
  </si>
  <si>
    <t>Sämtliche in der Projektbeschreibung angegebenen Aktivitäten wie Workshops etc, mit Ausnahme von beratende Maßnahmen (unter 2a-2c), Deutschkursangebote (unter 3a-3b) und Studien bzw. Forschungsarbeiten (unter 4), sind im Bereich 1 aufzuzählen. Vermerken Sie in der Spalte D "Beschreibung", die jeweils in der Projektbeschreibung festgehaltene Aktivität.</t>
  </si>
  <si>
    <t>- Anzahl der Besucherinnen und Besucher</t>
  </si>
  <si>
    <t>- Anzahl der Konferenzteilnehmerinnen und -teilnehmer</t>
  </si>
  <si>
    <t>- Anzahl der Veranstaltungsteilnehmerinnen und -teilnehmer</t>
  </si>
  <si>
    <t>-  Anzahl der Veranstaltungsteilnehmerinnen und -teilnehmer</t>
  </si>
  <si>
    <t xml:space="preserve">Tragen Sie die Anzahl der Teilnehmerinnen und Teilnehmer mit Teilnahme an einer zertifizierten Abschlussprüfung ein. </t>
  </si>
  <si>
    <t>- Anzahl der Teilnehmerinnen und Teilnehmer</t>
  </si>
  <si>
    <t>- Anzahl der betreuten Kinder</t>
  </si>
  <si>
    <t>- Anzahl der Teilnehmerinnen und Teilnehmer, die Elternteil betreuter Kinder sind</t>
  </si>
  <si>
    <t>Veranstaltungen der Kategorie A erfüllen folgende Charakteristika: Einzelveranstaltung zu einem inhaltlichem Thema mit  max. 3 Stunden (z.B. einmaliger Schulbesuch, kurze Veranstaltungen, etc).</t>
  </si>
  <si>
    <t>Veranstaltungen der Kategorie B erfüllen folgende Charakteristika:  Einzelveranstaltung zu einem inhaltlichen Thema mit mehr als 3 bis max. 8 Stunden (z.B. Workshop, halbtägige Veranstaltungen, etc).</t>
  </si>
  <si>
    <t>Veranstaltungen der Kategorie C erfüllen folgende Charakteristika: mehrtägige Teilveranstaltungen, in Summe mehr als 30 Stunden (z.B. ein Kurs zu einem Thema über ein Semester zu je 2-4 Stunden pro Woche, ein- bis zweiwöchiges Vollzeit-Seminar, etc).</t>
  </si>
  <si>
    <t>Die Anzahl der Veranstaltungsteilnehmerinnen und -teilnehmer gesamt berechnet sich automatisch aus den in den Kategorien A bis D gemachten Angaben.</t>
  </si>
  <si>
    <t xml:space="preserve">Die Angaben zur Anzahl der Teilnehmerinnen und Teilnehmer, die Eltern betreuter Kinder sind, werden zur Vermeidung von Doppelzählung nicht in die Gesamtzahl der Projektteilnehmerinnen und -teilnehmer gesamt (Zeile 21) einberechnet. </t>
  </si>
  <si>
    <t>Bitte spezifizieren Sie, wieviele der unter Bereich 3a Anzahl der Sprachkurse und unter Bereich 3b Anzahl der niederschwelligen Deutschlerntreffen mit Kinderbetreuung stattfinden. Die Anzahl kann die Summe der beiden genannten Angebote nicht übersteigen! Zur Vermeidung von Doppelzählung werden diese nicht in die Anzahl der Sprachkurse (Zeile 58) einberechnet.</t>
  </si>
  <si>
    <t>Anteil positiv absolvierter Abschlussprüfungen</t>
  </si>
  <si>
    <t xml:space="preserve">Anzahl der zertifizierten Abschlussprüfungen </t>
  </si>
  <si>
    <t>- Anzahl der besuchten Familien</t>
  </si>
  <si>
    <t>- Anzahl der Personen</t>
  </si>
  <si>
    <t>Anzahl der Kursplätze gesamt (=Summe Alphabetisierung bis B2)</t>
  </si>
  <si>
    <t>Bitte tragen Sie den Prozentanteil der  positiv absolvierten Abschlussprüfungen ein.  Tragen Sie den Wert ohne "%"-Zeichen ein.</t>
  </si>
  <si>
    <t>Tragen Sie die Gesamtzahl der Unterrichtseinheiten sämtlicher Deutschkurse ein. Geben Sie an, wie die Unterrichtseinheiten berechnet werden inklusive wie viele Minuten eine Unterrichtseinheit beträgt.</t>
  </si>
  <si>
    <t>Die Gesamtanzahl der Kurse bzw. Kursplätze wird jeweils aus den unten angeführten Angaben zu den Sprachniveaus Alphabetisierung  bis B2   automatisch berechnet.</t>
  </si>
  <si>
    <t xml:space="preserve">Bitte spezifizieren Sie in der Spalte "Beschreibung" auf welchen Sprachniveaus die fachsprachlichen Kurse angeboten werden.  </t>
  </si>
  <si>
    <t>Bereich 2c Familienberatung/-betreuung                      (pro Familie)</t>
  </si>
  <si>
    <t>Anmerkungen</t>
  </si>
  <si>
    <t>ANZAHL IST</t>
  </si>
  <si>
    <t>Berichtszeitraum</t>
  </si>
  <si>
    <r>
      <rPr>
        <b/>
        <u/>
        <sz val="11"/>
        <rFont val="Calibri"/>
        <family val="2"/>
      </rPr>
      <t xml:space="preserve">Ausfüllhilfe:
</t>
    </r>
    <r>
      <rPr>
        <sz val="11"/>
        <rFont val="Calibri"/>
        <family val="2"/>
      </rPr>
      <t xml:space="preserve">
Bitte übernehmen Sie in der Spalte E "Anzahl SOLL" die vertraglich festgelegten Werte und geben Sie in der Spalte F "Anzahl IST" die bis zum Stichtag erreichten Zielzahlen an. </t>
    </r>
  </si>
  <si>
    <t>Projektträger/-in</t>
  </si>
  <si>
    <r>
      <t xml:space="preserve">Indikatorenbericht
</t>
    </r>
    <r>
      <rPr>
        <b/>
        <sz val="11"/>
        <color indexed="9"/>
        <rFont val="Calibri"/>
        <family val="2"/>
      </rPr>
      <t>Nationale Integrationsförderung 2021</t>
    </r>
  </si>
  <si>
    <t>die chance Agentur g gmbH</t>
  </si>
  <si>
    <t xml:space="preserve">die chance </t>
  </si>
  <si>
    <t>03-15-2021</t>
  </si>
  <si>
    <t>1.1.2021 - 31.12.2021</t>
  </si>
  <si>
    <t>Hompage, Instagram, Facebook, Whatsapp, Mail, Microsoft Teams, Zoom, Webinare</t>
  </si>
  <si>
    <t>BIM, BOBI, Jobivent in verschiedenen Bezirken, Berufsinformationsstand in migr. Communities</t>
  </si>
  <si>
    <t>direkt beim Stand</t>
  </si>
  <si>
    <t>chanceKolleg mit Kinderbetreuung, niederschwelliges Sprachtraining, Bildungsberatung, Information zu heimbasierter Elternarbeit Mentaltrainig; Antimobbing, Gewaltprävention</t>
  </si>
  <si>
    <t>Berufsorientierung, Bewerbung, Ausbildungstraining, Gewaltprävention, Antimobbig, Mentaltraining,ChanceKolleg, Kompetenztraining</t>
  </si>
  <si>
    <t>Berufsorientierung, Bewerbung, Ausbildungstraining, Gewaltprävention, Antimobbig, Mentaltraining,ChanceKolleg, Kompetenztraining, Native Speaker</t>
  </si>
  <si>
    <t>Vorträge, Key Note Speaker, Webinare, soziale Netzwerktreffen, Ausbildung PH, Workshops, Jugendtreffs, migr. Communities, Aufsuchen von Hot Spots der Jugendlichen</t>
  </si>
  <si>
    <t>diverse Workshops, Webinare</t>
  </si>
  <si>
    <t>Teamkonferenzen,runder Tisch- Konferenzen mit Schulen, Polizei, Institutionen über KandidatInnen, Soziale Netzwerktreffen</t>
  </si>
  <si>
    <t>Ausbildungs- Bewerbungs- Lern-Sprach-Mentaltraining, Arbeitscoaching, Supervision Buddy, Vermittlung Praktikums/Arbeitsstelle</t>
  </si>
  <si>
    <t>chanceKolleg für außerordentliche SchülerInnen,berufsspezifisches Sprachtraining,Sprach/ Medien/Digital/Kompetenzerwerb, Übersetzung</t>
  </si>
  <si>
    <t>aufsuchende Bildungsberatung, Unterstützung bei heimbasierter Elternarbeit bzw. bei autoritativem Erziehungsstil und/oder patriarchalischen Familienverhältnissen</t>
  </si>
  <si>
    <t>chanceKolleg für Frauen und für  Personen, die bildungsfern sind</t>
  </si>
  <si>
    <t>chance Kolleg für Frauen mit Kinderbetreuung</t>
  </si>
  <si>
    <t>chanceBuddy/FAIRbesserer werden ausgebildet, in Unternehmen und Schulen eingesetzt</t>
  </si>
  <si>
    <t>konnten aufgrund von Corona nur eingeschränkt durchgeführt werden</t>
  </si>
  <si>
    <t>ehrenamtlich</t>
  </si>
  <si>
    <t>es wurden Klassen zusammengefasst für Online Webinar</t>
  </si>
  <si>
    <t>auch online durchgeführt</t>
  </si>
  <si>
    <t>aufsuchend wurde oft  online ersetzt</t>
  </si>
  <si>
    <t xml:space="preserve">weniger Veranstaltungen wegen Corona, online jedoch leichter mehr Teilnehmer erreicht </t>
  </si>
  <si>
    <t>inklusive Elternhotline und aufsuchen online plus 120 Peronen durch Infomaterial erreicht</t>
  </si>
  <si>
    <t>Gruppenberatungen konnten aufgrund von corona nur eingeschränkt durchgeführt werden</t>
  </si>
  <si>
    <t>es fand sehr viel online statt</t>
  </si>
  <si>
    <t>es war nur eine aufgrund von Corona persönlich möglich</t>
  </si>
  <si>
    <t>wir waren  ohne Stand präsent, hatten  direkten Kontakt mit 47 Besucherinnen</t>
  </si>
  <si>
    <t>durch online wurde immer gleich alle Klassen einer Jahrgangsstufe zusammengelegt</t>
  </si>
  <si>
    <t>Salzburger Nachrichten Sonderbeilage jeder Haushalt, Schulen, Folder, Flyer, Jahresbericht, Berichterstattung Zeitungen</t>
  </si>
  <si>
    <t>wurde leider in der Anzahl Soll falsch angegeben, es wurden die Schulklassen vergessen</t>
  </si>
  <si>
    <t xml:space="preserve">war wegen Covid Bestimmungen (Lockdown für Ungeimpfte, kleiner Gruppen, usw.) persönlich nur eingeschränkt möglich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</si>
</sst>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quot;\ * #,##0.00_-;\-&quot;€&quot;\ * #,##0.00_-;_-&quot;€&quot;\ * &quot;-&quot;??_-;_-@_-"/>
  </numFmts>
  <fonts count="16" x14ac:knownFonts="1">
    <font>
      <sz val="10"/>
      <name val="Arial"/>
    </font>
    <font>
      <sz val="10"/>
      <name val="Arial"/>
      <family val="2"/>
    </font>
    <font>
      <sz val="10"/>
      <name val="Arial"/>
      <family val="2"/>
    </font>
    <font>
      <sz val="11"/>
      <color indexed="8"/>
      <name val="Calibri"/>
      <family val="2"/>
    </font>
    <font>
      <sz val="11"/>
      <color indexed="9"/>
      <name val="Calibri"/>
      <family val="2"/>
    </font>
    <font>
      <b/>
      <sz val="11"/>
      <color indexed="9"/>
      <name val="Calibri"/>
      <family val="2"/>
    </font>
    <font>
      <sz val="11"/>
      <name val="Calibri"/>
      <family val="2"/>
    </font>
    <font>
      <b/>
      <u/>
      <sz val="11"/>
      <name val="Calibri"/>
      <family val="2"/>
    </font>
    <font>
      <sz val="11"/>
      <color theme="0"/>
      <name val="Calibri"/>
      <family val="2"/>
      <scheme val="minor"/>
    </font>
    <font>
      <b/>
      <sz val="11"/>
      <color theme="0"/>
      <name val="Calibri"/>
      <family val="2"/>
      <scheme val="minor"/>
    </font>
    <font>
      <b/>
      <sz val="11"/>
      <name val="Calibri"/>
      <family val="2"/>
      <scheme val="minor"/>
    </font>
    <font>
      <sz val="11"/>
      <name val="Calibri"/>
      <family val="2"/>
      <scheme val="minor"/>
    </font>
    <font>
      <sz val="11"/>
      <color theme="0" tint="-0.14999847407452621"/>
      <name val="Calibri"/>
      <family val="2"/>
      <scheme val="minor"/>
    </font>
    <font>
      <b/>
      <sz val="10"/>
      <color theme="0"/>
      <name val="Calibri"/>
      <family val="2"/>
      <scheme val="minor"/>
    </font>
    <font>
      <b/>
      <sz val="18"/>
      <color theme="0"/>
      <name val="Calibri"/>
      <family val="2"/>
      <scheme val="minor"/>
    </font>
    <font>
      <b/>
      <sz val="10"/>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DDDDDD"/>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0"/>
        <bgColor indexed="64"/>
      </patternFill>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23">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4" fontId="1" fillId="0" borderId="0" applyFont="0" applyFill="0" applyBorder="0" applyAlignment="0" applyProtection="0"/>
  </cellStyleXfs>
  <cellXfs count="159">
    <xf numFmtId="0" fontId="0" fillId="0" borderId="0" xfId="0"/>
    <xf numFmtId="3" fontId="10" fillId="0" borderId="1" xfId="0" applyNumberFormat="1" applyFont="1" applyFill="1" applyBorder="1" applyAlignment="1" applyProtection="1">
      <alignment horizontal="center" vertical="center"/>
      <protection locked="0"/>
    </xf>
    <xf numFmtId="3" fontId="11" fillId="0" borderId="1" xfId="0" applyNumberFormat="1" applyFont="1" applyFill="1" applyBorder="1" applyAlignment="1" applyProtection="1">
      <alignment horizontal="center" vertical="center"/>
      <protection locked="0"/>
    </xf>
    <xf numFmtId="3" fontId="10" fillId="16" borderId="1" xfId="0" applyNumberFormat="1" applyFont="1" applyFill="1" applyBorder="1" applyAlignment="1" applyProtection="1">
      <alignment horizontal="center" vertical="center"/>
      <protection locked="0"/>
    </xf>
    <xf numFmtId="3" fontId="11" fillId="16" borderId="1" xfId="0" applyNumberFormat="1" applyFont="1" applyFill="1" applyBorder="1" applyAlignment="1" applyProtection="1">
      <alignment horizontal="center" vertical="center"/>
      <protection locked="0"/>
    </xf>
    <xf numFmtId="3" fontId="10" fillId="17" borderId="1" xfId="0" applyNumberFormat="1" applyFont="1" applyFill="1" applyBorder="1" applyAlignment="1" applyProtection="1">
      <alignment horizontal="center" vertical="center"/>
    </xf>
    <xf numFmtId="0" fontId="11" fillId="0" borderId="2" xfId="0" applyFont="1" applyFill="1" applyBorder="1" applyProtection="1"/>
    <xf numFmtId="0" fontId="11" fillId="0" borderId="3" xfId="0" applyFont="1" applyFill="1" applyBorder="1" applyProtection="1"/>
    <xf numFmtId="0" fontId="11" fillId="0" borderId="3" xfId="0" applyFont="1" applyFill="1" applyBorder="1" applyAlignment="1" applyProtection="1">
      <alignment horizontal="center"/>
    </xf>
    <xf numFmtId="0" fontId="11" fillId="0" borderId="4" xfId="0" applyFont="1" applyFill="1" applyBorder="1" applyProtection="1"/>
    <xf numFmtId="0" fontId="11" fillId="18" borderId="0" xfId="0" applyFont="1" applyFill="1" applyProtection="1"/>
    <xf numFmtId="0" fontId="11" fillId="0" borderId="5" xfId="0" applyFont="1" applyFill="1" applyBorder="1" applyProtection="1"/>
    <xf numFmtId="0" fontId="8" fillId="0" borderId="6" xfId="0" applyFont="1" applyFill="1" applyBorder="1" applyProtection="1"/>
    <xf numFmtId="0" fontId="12" fillId="19" borderId="0" xfId="0" applyFont="1" applyFill="1" applyProtection="1"/>
    <xf numFmtId="0" fontId="11" fillId="0" borderId="7" xfId="0" applyFont="1" applyFill="1" applyBorder="1" applyProtection="1"/>
    <xf numFmtId="0" fontId="10" fillId="20" borderId="1" xfId="0" applyFont="1" applyFill="1" applyBorder="1" applyAlignment="1" applyProtection="1">
      <alignment horizontal="left" vertical="center" wrapText="1"/>
    </xf>
    <xf numFmtId="0" fontId="9" fillId="21" borderId="1" xfId="0" applyFont="1" applyFill="1" applyBorder="1" applyAlignment="1" applyProtection="1">
      <alignment vertical="center"/>
    </xf>
    <xf numFmtId="0" fontId="9" fillId="22" borderId="1" xfId="0" applyFont="1" applyFill="1" applyBorder="1" applyAlignment="1" applyProtection="1">
      <alignment horizontal="left" vertical="center" wrapText="1"/>
    </xf>
    <xf numFmtId="9" fontId="10" fillId="20" borderId="1" xfId="0" applyNumberFormat="1" applyFont="1" applyFill="1" applyBorder="1" applyAlignment="1" applyProtection="1">
      <alignment horizontal="center" vertical="center"/>
    </xf>
    <xf numFmtId="0" fontId="10" fillId="23" borderId="1" xfId="0" applyFont="1" applyFill="1" applyBorder="1" applyAlignment="1" applyProtection="1">
      <alignment horizontal="left" vertical="center" wrapText="1"/>
    </xf>
    <xf numFmtId="9" fontId="10" fillId="23" borderId="1" xfId="0" applyNumberFormat="1" applyFont="1" applyFill="1" applyBorder="1" applyAlignment="1" applyProtection="1">
      <alignment horizontal="center" vertical="center"/>
    </xf>
    <xf numFmtId="0" fontId="10" fillId="23" borderId="1" xfId="0" quotePrefix="1" applyFont="1" applyFill="1" applyBorder="1" applyAlignment="1" applyProtection="1">
      <alignment horizontal="left" vertical="center" wrapText="1"/>
    </xf>
    <xf numFmtId="0" fontId="9" fillId="21" borderId="8" xfId="0" applyFont="1" applyFill="1" applyBorder="1" applyAlignment="1" applyProtection="1">
      <alignment vertical="center" wrapText="1"/>
    </xf>
    <xf numFmtId="0" fontId="9" fillId="21" borderId="1" xfId="0" applyFont="1" applyFill="1" applyBorder="1" applyAlignment="1" applyProtection="1">
      <alignment vertical="center" wrapText="1"/>
    </xf>
    <xf numFmtId="0" fontId="11" fillId="0" borderId="9" xfId="0" applyFont="1" applyFill="1" applyBorder="1" applyAlignment="1" applyProtection="1">
      <alignment horizontal="center"/>
    </xf>
    <xf numFmtId="0" fontId="11" fillId="0" borderId="10" xfId="0" applyFont="1" applyFill="1" applyBorder="1" applyAlignment="1" applyProtection="1">
      <alignment horizontal="center"/>
    </xf>
    <xf numFmtId="0" fontId="11" fillId="18" borderId="0" xfId="0" applyFont="1" applyFill="1" applyAlignment="1" applyProtection="1">
      <alignment vertical="center"/>
    </xf>
    <xf numFmtId="0" fontId="11" fillId="0" borderId="9" xfId="0" applyFont="1" applyFill="1" applyBorder="1" applyAlignment="1" applyProtection="1">
      <alignment vertical="center"/>
    </xf>
    <xf numFmtId="0" fontId="11" fillId="0" borderId="11" xfId="0" applyFont="1" applyFill="1" applyBorder="1" applyAlignment="1" applyProtection="1">
      <alignment vertical="center"/>
    </xf>
    <xf numFmtId="0" fontId="11" fillId="0" borderId="10" xfId="0" applyFont="1" applyFill="1" applyBorder="1" applyAlignment="1" applyProtection="1">
      <alignment vertical="center"/>
    </xf>
    <xf numFmtId="0" fontId="11" fillId="18" borderId="0" xfId="0" applyFont="1" applyFill="1" applyAlignment="1" applyProtection="1">
      <alignment horizontal="center" vertical="center"/>
    </xf>
    <xf numFmtId="0" fontId="11" fillId="0" borderId="2" xfId="0" applyFont="1" applyFill="1" applyBorder="1" applyAlignment="1" applyProtection="1">
      <alignment vertical="center"/>
    </xf>
    <xf numFmtId="0" fontId="11" fillId="0" borderId="3" xfId="0" applyFont="1" applyFill="1" applyBorder="1" applyAlignment="1" applyProtection="1">
      <alignment vertical="center"/>
    </xf>
    <xf numFmtId="0" fontId="11" fillId="0" borderId="3" xfId="0" applyFont="1" applyFill="1" applyBorder="1" applyAlignment="1" applyProtection="1">
      <alignment horizontal="center" vertical="center"/>
    </xf>
    <xf numFmtId="0" fontId="11" fillId="0" borderId="4" xfId="0" applyFont="1" applyFill="1" applyBorder="1" applyAlignment="1" applyProtection="1">
      <alignment vertical="center"/>
    </xf>
    <xf numFmtId="0" fontId="11" fillId="0" borderId="5" xfId="0" applyFont="1" applyFill="1" applyBorder="1" applyAlignment="1" applyProtection="1">
      <alignment vertical="center"/>
    </xf>
    <xf numFmtId="0" fontId="11" fillId="0" borderId="7" xfId="0" applyFont="1" applyFill="1" applyBorder="1" applyAlignment="1" applyProtection="1">
      <alignment vertical="center"/>
    </xf>
    <xf numFmtId="0" fontId="11" fillId="0" borderId="11" xfId="0" applyFont="1" applyFill="1" applyBorder="1" applyAlignment="1" applyProtection="1">
      <alignment horizontal="center" vertical="center"/>
    </xf>
    <xf numFmtId="0" fontId="12" fillId="18" borderId="0" xfId="0" applyFont="1" applyFill="1" applyAlignment="1" applyProtection="1">
      <alignment vertical="center"/>
    </xf>
    <xf numFmtId="1" fontId="11" fillId="18" borderId="0" xfId="0" applyNumberFormat="1" applyFont="1" applyFill="1" applyAlignment="1" applyProtection="1">
      <alignment vertical="center"/>
    </xf>
    <xf numFmtId="44" fontId="11" fillId="18" borderId="0" xfId="0" applyNumberFormat="1" applyFont="1" applyFill="1" applyAlignment="1" applyProtection="1">
      <alignment vertical="center"/>
    </xf>
    <xf numFmtId="0" fontId="11" fillId="18" borderId="0" xfId="0" applyFont="1" applyFill="1" applyAlignment="1" applyProtection="1">
      <alignment horizontal="center"/>
    </xf>
    <xf numFmtId="0" fontId="11" fillId="23" borderId="1" xfId="0" quotePrefix="1" applyFont="1" applyFill="1" applyBorder="1" applyAlignment="1" applyProtection="1">
      <alignment horizontal="left" vertical="center" wrapText="1"/>
    </xf>
    <xf numFmtId="0" fontId="11" fillId="20" borderId="1" xfId="0" quotePrefix="1" applyFont="1" applyFill="1" applyBorder="1" applyAlignment="1" applyProtection="1">
      <alignment horizontal="left" vertical="center" wrapText="1"/>
    </xf>
    <xf numFmtId="0" fontId="11" fillId="23" borderId="8" xfId="0" quotePrefix="1" applyFont="1" applyFill="1" applyBorder="1" applyAlignment="1" applyProtection="1">
      <alignment horizontal="left" vertical="center" wrapText="1"/>
    </xf>
    <xf numFmtId="0" fontId="11" fillId="20" borderId="1" xfId="0" applyFont="1" applyFill="1" applyBorder="1" applyAlignment="1" applyProtection="1">
      <alignment horizontal="left" vertical="center" wrapText="1"/>
    </xf>
    <xf numFmtId="0" fontId="11" fillId="23" borderId="1" xfId="0" applyFont="1" applyFill="1" applyBorder="1" applyAlignment="1" applyProtection="1">
      <alignment horizontal="left" vertical="center" wrapText="1"/>
    </xf>
    <xf numFmtId="0" fontId="11" fillId="0" borderId="1" xfId="0" applyFont="1" applyFill="1" applyBorder="1" applyAlignment="1" applyProtection="1">
      <alignment horizontal="center" vertical="center" wrapText="1"/>
      <protection locked="0"/>
    </xf>
    <xf numFmtId="0" fontId="11" fillId="16" borderId="1" xfId="0" applyFont="1" applyFill="1" applyBorder="1" applyAlignment="1" applyProtection="1">
      <alignment horizontal="center" vertical="center" wrapText="1"/>
      <protection locked="0"/>
    </xf>
    <xf numFmtId="9" fontId="11" fillId="20" borderId="1" xfId="0" applyNumberFormat="1" applyFont="1" applyFill="1" applyBorder="1" applyAlignment="1" applyProtection="1">
      <alignment horizontal="center" vertical="center"/>
    </xf>
    <xf numFmtId="9" fontId="11" fillId="23" borderId="1" xfId="0" applyNumberFormat="1" applyFont="1" applyFill="1" applyBorder="1" applyAlignment="1" applyProtection="1">
      <alignment horizontal="center" vertical="center"/>
    </xf>
    <xf numFmtId="3" fontId="10" fillId="24" borderId="1" xfId="0" applyNumberFormat="1" applyFont="1" applyFill="1" applyBorder="1" applyAlignment="1" applyProtection="1">
      <alignment horizontal="center" vertical="center"/>
      <protection locked="0"/>
    </xf>
    <xf numFmtId="3" fontId="11" fillId="24" borderId="1" xfId="0" applyNumberFormat="1" applyFont="1" applyFill="1" applyBorder="1" applyAlignment="1" applyProtection="1">
      <alignment horizontal="center" vertical="center"/>
      <protection locked="0"/>
    </xf>
    <xf numFmtId="0" fontId="9" fillId="21" borderId="8" xfId="0" applyFont="1" applyFill="1" applyBorder="1" applyAlignment="1" applyProtection="1">
      <alignment horizontal="center" vertical="center"/>
    </xf>
    <xf numFmtId="0" fontId="9" fillId="21" borderId="12" xfId="0" applyFont="1" applyFill="1" applyBorder="1" applyAlignment="1" applyProtection="1">
      <alignment horizontal="center" vertical="center"/>
    </xf>
    <xf numFmtId="0" fontId="9" fillId="21" borderId="1" xfId="0" applyFont="1" applyFill="1" applyBorder="1" applyAlignment="1" applyProtection="1">
      <alignment horizontal="center" vertical="center"/>
    </xf>
    <xf numFmtId="0" fontId="11" fillId="0" borderId="0" xfId="0" applyFont="1" applyFill="1" applyBorder="1" applyAlignment="1" applyProtection="1">
      <alignment horizontal="left" vertical="center" wrapText="1"/>
    </xf>
    <xf numFmtId="0" fontId="11" fillId="0" borderId="0" xfId="0" applyFont="1" applyFill="1" applyProtection="1"/>
    <xf numFmtId="0" fontId="13" fillId="21" borderId="1" xfId="0" applyFont="1" applyFill="1" applyBorder="1" applyAlignment="1" applyProtection="1">
      <alignment horizontal="center" vertical="center" wrapText="1"/>
    </xf>
    <xf numFmtId="0" fontId="8" fillId="0" borderId="7" xfId="0" applyFont="1" applyFill="1" applyBorder="1" applyProtection="1"/>
    <xf numFmtId="0" fontId="8" fillId="0" borderId="0" xfId="0" applyFont="1" applyFill="1" applyBorder="1" applyProtection="1"/>
    <xf numFmtId="0" fontId="11" fillId="0" borderId="0" xfId="0" applyFont="1" applyFill="1" applyBorder="1" applyProtection="1"/>
    <xf numFmtId="3" fontId="10" fillId="0" borderId="1" xfId="0" applyNumberFormat="1" applyFont="1" applyBorder="1" applyAlignment="1" applyProtection="1">
      <alignment horizontal="center" vertical="center"/>
      <protection locked="0"/>
    </xf>
    <xf numFmtId="0" fontId="10" fillId="0" borderId="1" xfId="0" applyFont="1" applyFill="1" applyBorder="1" applyAlignment="1" applyProtection="1">
      <alignment horizontal="center" vertical="center" wrapText="1"/>
      <protection locked="0"/>
    </xf>
    <xf numFmtId="3" fontId="15" fillId="16" borderId="1" xfId="0" applyNumberFormat="1" applyFont="1" applyFill="1" applyBorder="1" applyAlignment="1" applyProtection="1">
      <alignment horizontal="center" vertical="center"/>
      <protection locked="0"/>
    </xf>
    <xf numFmtId="3" fontId="15" fillId="0" borderId="1" xfId="0" applyNumberFormat="1" applyFont="1" applyFill="1" applyBorder="1" applyAlignment="1" applyProtection="1">
      <alignment horizontal="center" vertical="center"/>
      <protection locked="0"/>
    </xf>
    <xf numFmtId="0" fontId="11" fillId="16" borderId="1" xfId="0" quotePrefix="1" applyFont="1" applyFill="1" applyBorder="1" applyAlignment="1" applyProtection="1">
      <alignment horizontal="center" vertical="center" wrapText="1"/>
      <protection locked="0"/>
    </xf>
    <xf numFmtId="0" fontId="11" fillId="0" borderId="1" xfId="0" quotePrefix="1" applyFont="1" applyFill="1" applyBorder="1" applyAlignment="1" applyProtection="1">
      <alignment horizontal="center" vertical="center" wrapText="1"/>
      <protection locked="0"/>
    </xf>
    <xf numFmtId="3" fontId="15" fillId="0" borderId="8" xfId="0" applyNumberFormat="1" applyFont="1" applyFill="1" applyBorder="1" applyAlignment="1" applyProtection="1">
      <alignment horizontal="center" vertical="center"/>
      <protection locked="0"/>
    </xf>
    <xf numFmtId="3" fontId="15" fillId="16" borderId="8" xfId="0" applyNumberFormat="1" applyFont="1" applyFill="1" applyBorder="1" applyAlignment="1" applyProtection="1">
      <alignment horizontal="center" vertical="center"/>
      <protection locked="0"/>
    </xf>
    <xf numFmtId="0" fontId="11" fillId="25" borderId="1" xfId="0" applyFont="1" applyFill="1" applyBorder="1" applyAlignment="1" applyProtection="1">
      <alignment horizontal="left" vertical="center"/>
    </xf>
    <xf numFmtId="0" fontId="11" fillId="0" borderId="13" xfId="0" applyFont="1" applyFill="1" applyBorder="1" applyAlignment="1" applyProtection="1">
      <alignment horizontal="center" vertical="center" wrapText="1"/>
      <protection locked="0"/>
    </xf>
    <xf numFmtId="0" fontId="11" fillId="0" borderId="14" xfId="0" applyFont="1" applyFill="1" applyBorder="1" applyAlignment="1" applyProtection="1">
      <alignment horizontal="center" vertical="center" wrapText="1"/>
      <protection locked="0"/>
    </xf>
    <xf numFmtId="0" fontId="10" fillId="25" borderId="14" xfId="0" applyFont="1" applyFill="1" applyBorder="1" applyAlignment="1" applyProtection="1">
      <alignment horizontal="left" vertical="center" wrapText="1"/>
    </xf>
    <xf numFmtId="0" fontId="11" fillId="0" borderId="1" xfId="0" applyFont="1" applyFill="1" applyBorder="1" applyAlignment="1" applyProtection="1">
      <alignment horizontal="left" vertical="center"/>
    </xf>
    <xf numFmtId="0" fontId="11" fillId="16" borderId="1" xfId="0" applyFont="1" applyFill="1" applyBorder="1" applyAlignment="1" applyProtection="1">
      <alignment horizontal="left" vertical="center"/>
    </xf>
    <xf numFmtId="0" fontId="11" fillId="0" borderId="1" xfId="0" applyFont="1" applyFill="1" applyBorder="1" applyAlignment="1" applyProtection="1">
      <alignment horizontal="left" vertical="center" wrapText="1"/>
    </xf>
    <xf numFmtId="3" fontId="11" fillId="0" borderId="8" xfId="0" applyNumberFormat="1" applyFont="1" applyFill="1" applyBorder="1" applyAlignment="1" applyProtection="1">
      <alignment horizontal="center" vertical="center"/>
      <protection locked="0"/>
    </xf>
    <xf numFmtId="3" fontId="11" fillId="0" borderId="15" xfId="0" applyNumberFormat="1" applyFont="1" applyFill="1" applyBorder="1" applyAlignment="1" applyProtection="1">
      <alignment horizontal="center" vertical="center"/>
      <protection locked="0"/>
    </xf>
    <xf numFmtId="3" fontId="11" fillId="0" borderId="12" xfId="0" applyNumberFormat="1" applyFont="1" applyFill="1" applyBorder="1" applyAlignment="1" applyProtection="1">
      <alignment horizontal="center" vertical="center"/>
      <protection locked="0"/>
    </xf>
    <xf numFmtId="0" fontId="11" fillId="16" borderId="13" xfId="0" applyFont="1" applyFill="1" applyBorder="1" applyAlignment="1" applyProtection="1">
      <alignment horizontal="center" vertical="center" wrapText="1"/>
      <protection locked="0"/>
    </xf>
    <xf numFmtId="0" fontId="11" fillId="16" borderId="14" xfId="0" applyFont="1" applyFill="1" applyBorder="1" applyAlignment="1" applyProtection="1">
      <alignment horizontal="center" vertical="center" wrapText="1"/>
      <protection locked="0"/>
    </xf>
    <xf numFmtId="0" fontId="11" fillId="0" borderId="13" xfId="0" quotePrefix="1" applyFont="1" applyFill="1" applyBorder="1" applyAlignment="1" applyProtection="1">
      <alignment horizontal="center" vertical="center" wrapText="1"/>
      <protection locked="0"/>
    </xf>
    <xf numFmtId="0" fontId="11" fillId="0" borderId="6" xfId="0" quotePrefix="1" applyFont="1" applyFill="1" applyBorder="1" applyAlignment="1" applyProtection="1">
      <alignment horizontal="center" vertical="center" wrapText="1"/>
      <protection locked="0"/>
    </xf>
    <xf numFmtId="0" fontId="11" fillId="0" borderId="14" xfId="0" quotePrefix="1" applyFont="1" applyFill="1" applyBorder="1" applyAlignment="1" applyProtection="1">
      <alignment horizontal="center" vertical="center" wrapText="1"/>
      <protection locked="0"/>
    </xf>
    <xf numFmtId="0" fontId="9" fillId="21" borderId="8" xfId="0" applyFont="1" applyFill="1" applyBorder="1" applyAlignment="1" applyProtection="1">
      <alignment horizontal="center" vertical="center"/>
    </xf>
    <xf numFmtId="0" fontId="9" fillId="21" borderId="15" xfId="0" applyFont="1" applyFill="1" applyBorder="1" applyAlignment="1" applyProtection="1">
      <alignment horizontal="center" vertical="center"/>
    </xf>
    <xf numFmtId="0" fontId="9" fillId="21" borderId="12" xfId="0" applyFont="1" applyFill="1" applyBorder="1" applyAlignment="1" applyProtection="1">
      <alignment horizontal="center" vertical="center"/>
    </xf>
    <xf numFmtId="0" fontId="11" fillId="0" borderId="8" xfId="0" applyFont="1" applyFill="1" applyBorder="1" applyAlignment="1" applyProtection="1">
      <alignment horizontal="left" vertical="center" wrapText="1"/>
    </xf>
    <xf numFmtId="0" fontId="11" fillId="0" borderId="15" xfId="0" applyFont="1" applyFill="1" applyBorder="1" applyAlignment="1" applyProtection="1">
      <alignment horizontal="left" vertical="center" wrapText="1"/>
    </xf>
    <xf numFmtId="0" fontId="11" fillId="0" borderId="12" xfId="0" applyFont="1" applyFill="1" applyBorder="1" applyAlignment="1" applyProtection="1">
      <alignment horizontal="left" vertical="center" wrapText="1"/>
    </xf>
    <xf numFmtId="0" fontId="11" fillId="25" borderId="8" xfId="0" applyFont="1" applyFill="1" applyBorder="1" applyAlignment="1" applyProtection="1">
      <alignment horizontal="left" vertical="center" wrapText="1"/>
    </xf>
    <xf numFmtId="0" fontId="11" fillId="25" borderId="15" xfId="0" applyFont="1" applyFill="1" applyBorder="1" applyAlignment="1" applyProtection="1">
      <alignment horizontal="left" vertical="center" wrapText="1"/>
    </xf>
    <xf numFmtId="0" fontId="11" fillId="25" borderId="12" xfId="0" applyFont="1" applyFill="1" applyBorder="1" applyAlignment="1" applyProtection="1">
      <alignment horizontal="left" vertical="center" wrapText="1"/>
    </xf>
    <xf numFmtId="0" fontId="11" fillId="0" borderId="8" xfId="0" applyFont="1" applyFill="1" applyBorder="1" applyAlignment="1" applyProtection="1">
      <alignment horizontal="left"/>
    </xf>
    <xf numFmtId="0" fontId="11" fillId="0" borderId="15" xfId="0" applyFont="1" applyFill="1" applyBorder="1" applyAlignment="1" applyProtection="1">
      <alignment horizontal="left"/>
    </xf>
    <xf numFmtId="0" fontId="11" fillId="0" borderId="12" xfId="0" applyFont="1" applyFill="1" applyBorder="1" applyAlignment="1" applyProtection="1">
      <alignment horizontal="left"/>
    </xf>
    <xf numFmtId="0" fontId="14" fillId="21" borderId="1" xfId="0" applyFont="1" applyFill="1" applyBorder="1" applyAlignment="1" applyProtection="1">
      <alignment horizontal="center" vertical="center" wrapText="1"/>
    </xf>
    <xf numFmtId="0" fontId="11" fillId="16" borderId="2" xfId="0" applyFont="1" applyFill="1" applyBorder="1" applyAlignment="1" applyProtection="1">
      <alignment horizontal="left" vertical="center" wrapText="1"/>
    </xf>
    <xf numFmtId="0" fontId="11" fillId="16" borderId="3" xfId="0" applyFont="1" applyFill="1" applyBorder="1" applyAlignment="1" applyProtection="1">
      <alignment horizontal="left" vertical="center" wrapText="1"/>
    </xf>
    <xf numFmtId="0" fontId="11" fillId="16" borderId="4" xfId="0" applyFont="1" applyFill="1" applyBorder="1" applyAlignment="1" applyProtection="1">
      <alignment horizontal="left" vertical="center" wrapText="1"/>
    </xf>
    <xf numFmtId="0" fontId="11" fillId="16" borderId="1" xfId="0" applyFont="1" applyFill="1" applyBorder="1" applyAlignment="1" applyProtection="1">
      <alignment horizontal="left" vertical="center" wrapText="1"/>
    </xf>
    <xf numFmtId="0" fontId="10" fillId="24" borderId="8" xfId="0" applyFont="1" applyFill="1" applyBorder="1" applyAlignment="1" applyProtection="1">
      <alignment horizontal="left" vertical="center" wrapText="1"/>
      <protection locked="0"/>
    </xf>
    <xf numFmtId="0" fontId="10" fillId="24" borderId="15" xfId="0" applyFont="1" applyFill="1" applyBorder="1" applyAlignment="1" applyProtection="1">
      <alignment horizontal="left" vertical="center" wrapText="1"/>
      <protection locked="0"/>
    </xf>
    <xf numFmtId="0" fontId="10" fillId="24" borderId="12" xfId="0" applyFont="1" applyFill="1" applyBorder="1" applyAlignment="1" applyProtection="1">
      <alignment horizontal="left" vertical="center" wrapText="1"/>
      <protection locked="0"/>
    </xf>
    <xf numFmtId="0" fontId="6" fillId="0" borderId="0" xfId="0" applyFont="1" applyFill="1" applyBorder="1" applyAlignment="1" applyProtection="1">
      <alignment vertical="center" wrapText="1"/>
    </xf>
    <xf numFmtId="0" fontId="11" fillId="0" borderId="0" xfId="0" applyFont="1" applyFill="1" applyBorder="1" applyAlignment="1" applyProtection="1">
      <alignment vertical="center" wrapText="1"/>
    </xf>
    <xf numFmtId="0" fontId="11" fillId="0" borderId="0" xfId="0" applyFont="1" applyFill="1" applyBorder="1" applyAlignment="1" applyProtection="1">
      <alignment vertical="center"/>
    </xf>
    <xf numFmtId="0" fontId="11" fillId="0" borderId="8" xfId="0" applyFont="1" applyFill="1" applyBorder="1" applyAlignment="1" applyProtection="1">
      <alignment horizontal="left" vertical="center"/>
    </xf>
    <xf numFmtId="0" fontId="11" fillId="0" borderId="15" xfId="0" applyFont="1" applyFill="1" applyBorder="1" applyAlignment="1" applyProtection="1">
      <alignment horizontal="left" vertical="center"/>
    </xf>
    <xf numFmtId="0" fontId="11" fillId="0" borderId="12" xfId="0" applyFont="1" applyFill="1" applyBorder="1" applyAlignment="1" applyProtection="1">
      <alignment horizontal="left" vertical="center"/>
    </xf>
    <xf numFmtId="0" fontId="11" fillId="0" borderId="1" xfId="0" applyFont="1" applyFill="1" applyBorder="1" applyAlignment="1" applyProtection="1">
      <alignment horizontal="center"/>
    </xf>
    <xf numFmtId="0" fontId="11" fillId="16" borderId="1" xfId="0" applyFont="1" applyFill="1" applyBorder="1" applyAlignment="1" applyProtection="1">
      <alignment horizontal="center"/>
    </xf>
    <xf numFmtId="0" fontId="10" fillId="24" borderId="1" xfId="0" applyFont="1" applyFill="1" applyBorder="1" applyAlignment="1" applyProtection="1">
      <alignment horizontal="left" vertical="center" wrapText="1"/>
      <protection locked="0"/>
    </xf>
    <xf numFmtId="0" fontId="10" fillId="0" borderId="15" xfId="0" applyFont="1" applyFill="1" applyBorder="1" applyAlignment="1" applyProtection="1">
      <alignment horizontal="center" vertical="center"/>
    </xf>
    <xf numFmtId="0" fontId="10" fillId="25" borderId="14" xfId="0" applyFont="1" applyFill="1" applyBorder="1" applyAlignment="1" applyProtection="1">
      <alignment horizontal="left" vertical="center"/>
    </xf>
    <xf numFmtId="0" fontId="11" fillId="16" borderId="8" xfId="0" applyFont="1" applyFill="1" applyBorder="1" applyAlignment="1" applyProtection="1">
      <alignment horizontal="center" vertical="center" wrapText="1"/>
    </xf>
    <xf numFmtId="0" fontId="11" fillId="16" borderId="15" xfId="0" applyFont="1" applyFill="1" applyBorder="1" applyAlignment="1" applyProtection="1">
      <alignment horizontal="center" vertical="center" wrapText="1"/>
    </xf>
    <xf numFmtId="0" fontId="11" fillId="16" borderId="12" xfId="0" applyFont="1" applyFill="1" applyBorder="1" applyAlignment="1" applyProtection="1">
      <alignment horizontal="center" vertical="center" wrapText="1"/>
    </xf>
    <xf numFmtId="0" fontId="11" fillId="24" borderId="9" xfId="0" applyFont="1" applyFill="1" applyBorder="1" applyAlignment="1" applyProtection="1">
      <alignment horizontal="left" vertical="center"/>
    </xf>
    <xf numFmtId="0" fontId="11" fillId="24" borderId="11" xfId="0" applyFont="1" applyFill="1" applyBorder="1" applyAlignment="1" applyProtection="1">
      <alignment horizontal="left" vertical="center"/>
    </xf>
    <xf numFmtId="0" fontId="11" fillId="24" borderId="10" xfId="0" applyFont="1" applyFill="1" applyBorder="1" applyAlignment="1" applyProtection="1">
      <alignment horizontal="left" vertical="center"/>
    </xf>
    <xf numFmtId="0" fontId="11" fillId="25" borderId="8" xfId="0" applyFont="1" applyFill="1" applyBorder="1" applyAlignment="1" applyProtection="1">
      <alignment horizontal="left" vertical="center"/>
    </xf>
    <xf numFmtId="0" fontId="11" fillId="25" borderId="15" xfId="0" applyFont="1" applyFill="1" applyBorder="1" applyAlignment="1" applyProtection="1">
      <alignment horizontal="left" vertical="center"/>
    </xf>
    <xf numFmtId="0" fontId="11" fillId="25" borderId="12" xfId="0" applyFont="1" applyFill="1" applyBorder="1" applyAlignment="1" applyProtection="1">
      <alignment horizontal="left" vertical="center"/>
    </xf>
    <xf numFmtId="0" fontId="11" fillId="0" borderId="8" xfId="0" applyFont="1" applyFill="1" applyBorder="1" applyAlignment="1" applyProtection="1">
      <alignment horizontal="center" vertical="center"/>
    </xf>
    <xf numFmtId="0" fontId="11" fillId="0" borderId="15" xfId="0" applyFont="1" applyFill="1" applyBorder="1" applyAlignment="1" applyProtection="1">
      <alignment horizontal="center" vertical="center"/>
    </xf>
    <xf numFmtId="0" fontId="11" fillId="0" borderId="12" xfId="0" applyFont="1" applyFill="1" applyBorder="1" applyAlignment="1" applyProtection="1">
      <alignment horizontal="center" vertical="center"/>
    </xf>
    <xf numFmtId="0" fontId="11" fillId="16" borderId="9" xfId="0" applyFont="1" applyFill="1" applyBorder="1" applyAlignment="1" applyProtection="1">
      <alignment horizontal="left" vertical="center" wrapText="1"/>
    </xf>
    <xf numFmtId="0" fontId="11" fillId="16" borderId="11" xfId="0" applyFont="1" applyFill="1" applyBorder="1" applyAlignment="1" applyProtection="1">
      <alignment horizontal="left" vertical="center" wrapText="1"/>
    </xf>
    <xf numFmtId="0" fontId="11" fillId="16" borderId="10" xfId="0" applyFont="1" applyFill="1" applyBorder="1" applyAlignment="1" applyProtection="1">
      <alignment horizontal="left" vertical="center" wrapText="1"/>
    </xf>
    <xf numFmtId="0" fontId="11" fillId="0" borderId="2" xfId="0" applyFont="1" applyFill="1" applyBorder="1" applyAlignment="1" applyProtection="1">
      <alignment horizontal="left" vertical="center" wrapText="1"/>
    </xf>
    <xf numFmtId="0" fontId="11" fillId="0" borderId="3" xfId="0" applyFont="1" applyFill="1" applyBorder="1" applyAlignment="1" applyProtection="1">
      <alignment horizontal="left" vertical="center" wrapText="1"/>
    </xf>
    <xf numFmtId="0" fontId="11" fillId="0" borderId="4" xfId="0" applyFont="1" applyFill="1" applyBorder="1" applyAlignment="1" applyProtection="1">
      <alignment horizontal="left" vertical="center" wrapText="1"/>
    </xf>
    <xf numFmtId="0" fontId="11" fillId="0" borderId="9" xfId="0" applyFont="1" applyFill="1" applyBorder="1" applyAlignment="1" applyProtection="1">
      <alignment horizontal="left" vertical="center" wrapText="1"/>
    </xf>
    <xf numFmtId="0" fontId="11" fillId="0" borderId="11" xfId="0" applyFont="1" applyFill="1" applyBorder="1" applyAlignment="1" applyProtection="1">
      <alignment horizontal="left" vertical="center" wrapText="1"/>
    </xf>
    <xf numFmtId="0" fontId="11" fillId="0" borderId="10" xfId="0" applyFont="1" applyFill="1" applyBorder="1" applyAlignment="1" applyProtection="1">
      <alignment horizontal="left" vertical="center" wrapText="1"/>
    </xf>
    <xf numFmtId="0" fontId="11" fillId="16" borderId="8" xfId="0" applyFont="1" applyFill="1" applyBorder="1" applyAlignment="1" applyProtection="1">
      <alignment horizontal="left" vertical="center"/>
    </xf>
    <xf numFmtId="0" fontId="11" fillId="16" borderId="15" xfId="0" applyFont="1" applyFill="1" applyBorder="1" applyAlignment="1" applyProtection="1">
      <alignment horizontal="left" vertical="center"/>
    </xf>
    <xf numFmtId="0" fontId="11" fillId="16" borderId="12" xfId="0" applyFont="1" applyFill="1" applyBorder="1" applyAlignment="1" applyProtection="1">
      <alignment horizontal="left" vertical="center"/>
    </xf>
    <xf numFmtId="0" fontId="11" fillId="0" borderId="5" xfId="0" applyFont="1" applyFill="1" applyBorder="1" applyAlignment="1" applyProtection="1">
      <alignment horizontal="left" vertical="center" wrapText="1"/>
    </xf>
    <xf numFmtId="0" fontId="11" fillId="0" borderId="0" xfId="0" applyFont="1" applyFill="1" applyBorder="1" applyAlignment="1" applyProtection="1">
      <alignment horizontal="left" vertical="center" wrapText="1"/>
    </xf>
    <xf numFmtId="0" fontId="11" fillId="0" borderId="7" xfId="0" applyFont="1" applyFill="1" applyBorder="1" applyAlignment="1" applyProtection="1">
      <alignment horizontal="left" vertical="center" wrapText="1"/>
    </xf>
    <xf numFmtId="0" fontId="11" fillId="16" borderId="8" xfId="0" applyFont="1" applyFill="1" applyBorder="1" applyAlignment="1" applyProtection="1">
      <alignment horizontal="center" vertical="center"/>
    </xf>
    <xf numFmtId="0" fontId="11" fillId="16" borderId="15" xfId="0" applyFont="1" applyFill="1" applyBorder="1" applyAlignment="1" applyProtection="1">
      <alignment horizontal="center" vertical="center"/>
    </xf>
    <xf numFmtId="0" fontId="11" fillId="16" borderId="12" xfId="0" applyFont="1" applyFill="1" applyBorder="1" applyAlignment="1" applyProtection="1">
      <alignment horizontal="center" vertical="center"/>
    </xf>
    <xf numFmtId="0" fontId="10" fillId="25" borderId="8" xfId="0" applyFont="1" applyFill="1" applyBorder="1" applyAlignment="1" applyProtection="1">
      <alignment horizontal="left" vertical="center" wrapText="1"/>
    </xf>
    <xf numFmtId="0" fontId="10" fillId="25" borderId="15" xfId="0" applyFont="1" applyFill="1" applyBorder="1" applyAlignment="1" applyProtection="1">
      <alignment horizontal="left" vertical="center" wrapText="1"/>
    </xf>
    <xf numFmtId="0" fontId="10" fillId="25" borderId="12" xfId="0" applyFont="1" applyFill="1" applyBorder="1" applyAlignment="1" applyProtection="1">
      <alignment horizontal="left" vertical="center" wrapText="1"/>
    </xf>
    <xf numFmtId="0" fontId="11" fillId="25" borderId="14" xfId="0" applyFont="1" applyFill="1" applyBorder="1" applyAlignment="1" applyProtection="1">
      <alignment horizontal="left" vertical="center"/>
    </xf>
    <xf numFmtId="0" fontId="11" fillId="16" borderId="13" xfId="0" quotePrefix="1" applyFont="1" applyFill="1" applyBorder="1" applyAlignment="1" applyProtection="1">
      <alignment horizontal="center" vertical="center" wrapText="1"/>
      <protection locked="0"/>
    </xf>
    <xf numFmtId="0" fontId="11" fillId="16" borderId="14" xfId="0" quotePrefix="1" applyFont="1" applyFill="1" applyBorder="1" applyAlignment="1" applyProtection="1">
      <alignment horizontal="center" vertical="center" wrapText="1"/>
      <protection locked="0"/>
    </xf>
    <xf numFmtId="0" fontId="11" fillId="16" borderId="6" xfId="0" applyFont="1" applyFill="1" applyBorder="1" applyAlignment="1" applyProtection="1">
      <alignment horizontal="center" vertical="center" wrapText="1"/>
      <protection locked="0"/>
    </xf>
    <xf numFmtId="0" fontId="11" fillId="24" borderId="13" xfId="0" applyFont="1" applyFill="1" applyBorder="1" applyAlignment="1" applyProtection="1">
      <alignment horizontal="center" vertical="center" wrapText="1"/>
      <protection locked="0"/>
    </xf>
    <xf numFmtId="0" fontId="11" fillId="24" borderId="6" xfId="0" applyFont="1" applyFill="1" applyBorder="1" applyAlignment="1" applyProtection="1">
      <alignment horizontal="center" vertical="center" wrapText="1"/>
      <protection locked="0"/>
    </xf>
    <xf numFmtId="0" fontId="11" fillId="24" borderId="14" xfId="0" applyFont="1" applyFill="1" applyBorder="1" applyAlignment="1" applyProtection="1">
      <alignment horizontal="center" vertical="center" wrapText="1"/>
      <protection locked="0"/>
    </xf>
    <xf numFmtId="0" fontId="11" fillId="24" borderId="13" xfId="0" quotePrefix="1" applyFont="1" applyFill="1" applyBorder="1" applyAlignment="1" applyProtection="1">
      <alignment horizontal="center" vertical="center" wrapText="1"/>
      <protection locked="0"/>
    </xf>
    <xf numFmtId="0" fontId="11" fillId="24" borderId="6" xfId="0" quotePrefix="1" applyFont="1" applyFill="1" applyBorder="1" applyAlignment="1" applyProtection="1">
      <alignment horizontal="center" vertical="center" wrapText="1"/>
      <protection locked="0"/>
    </xf>
    <xf numFmtId="0" fontId="11" fillId="24" borderId="14" xfId="0" quotePrefix="1" applyFont="1" applyFill="1" applyBorder="1" applyAlignment="1" applyProtection="1">
      <alignment horizontal="center" vertical="center" wrapText="1"/>
      <protection locked="0"/>
    </xf>
  </cellXfs>
  <cellStyles count="23">
    <cellStyle name="20% - Akzent1" xfId="1"/>
    <cellStyle name="20% - Akzent2" xfId="2"/>
    <cellStyle name="20% - Akzent3" xfId="3"/>
    <cellStyle name="20% - Akzent4" xfId="4"/>
    <cellStyle name="20% - Akzent5" xfId="5"/>
    <cellStyle name="20% - Akzent6" xfId="6"/>
    <cellStyle name="40% - Akzent1" xfId="7"/>
    <cellStyle name="40% - Akzent2" xfId="8"/>
    <cellStyle name="40% - Akzent3" xfId="9"/>
    <cellStyle name="40% - Akzent4" xfId="10"/>
    <cellStyle name="40% - Akzent5" xfId="11"/>
    <cellStyle name="40% - Akzent6" xfId="12"/>
    <cellStyle name="60% - Akzent1" xfId="13"/>
    <cellStyle name="60% - Akzent2" xfId="14"/>
    <cellStyle name="60% - Akzent3" xfId="15"/>
    <cellStyle name="60% - Akzent4" xfId="16"/>
    <cellStyle name="60% - Akzent5" xfId="17"/>
    <cellStyle name="60% - Akzent6" xfId="18"/>
    <cellStyle name="Euro" xfId="19"/>
    <cellStyle name="Prozent 2" xfId="20"/>
    <cellStyle name="Standard" xfId="0" builtinId="0"/>
    <cellStyle name="Standard 2" xfId="21"/>
    <cellStyle name="Währung 2" xfId="22"/>
  </cellStyles>
  <dxfs count="5">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ntegrationsfonds.local\Pers&#246;nliche%20Dateien\Dokumente%20und%20Einstellungen\haitze1\Lokale%20Einstellungen\Temporary%20Internet%20Files\OLKC4\Anlage_2__Projekteinreichung_zum_EFF_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t-vie-hq-fs04\shared$\SEKTION%20VIII\VIII.3\3_NATIONAL\4_AUFRUF\Aufruf_2017\1_Aufruf\finale_Unterlagen\2_Antragsformula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sfer"/>
      <sheetName val="Navigation"/>
      <sheetName val="Hinweise"/>
      <sheetName val="Eingabe_1_bis_4"/>
      <sheetName val="Eingabe_5"/>
      <sheetName val="Eingabe_6"/>
      <sheetName val="Druck0"/>
      <sheetName val="Druck1"/>
      <sheetName val="Druck2"/>
      <sheetName val="sysHilfe"/>
      <sheetName val="sysAuswahl"/>
      <sheetName val="sysTextGen"/>
      <sheetName val="sysGUI"/>
      <sheetName val="Version"/>
      <sheetName val="Cockpit"/>
      <sheetName val="HT"/>
      <sheetName val="Datenquelle"/>
    </sheetNames>
    <sheetDataSet>
      <sheetData sheetId="0"/>
      <sheetData sheetId="1"/>
      <sheetData sheetId="2"/>
      <sheetData sheetId="3">
        <row r="15">
          <cell r="F15" t="str">
            <v>EFF 2010</v>
          </cell>
        </row>
      </sheetData>
      <sheetData sheetId="4"/>
      <sheetData sheetId="5"/>
      <sheetData sheetId="6"/>
      <sheetData sheetId="7"/>
      <sheetData sheetId="8"/>
      <sheetData sheetId="9"/>
      <sheetData sheetId="10">
        <row r="5">
          <cell r="A5" t="str">
            <v>JA</v>
          </cell>
          <cell r="C5" t="str">
            <v>JA</v>
          </cell>
          <cell r="D5">
            <v>1</v>
          </cell>
          <cell r="F5">
            <v>1</v>
          </cell>
          <cell r="G5" t="str">
            <v>JA</v>
          </cell>
        </row>
        <row r="6">
          <cell r="A6" t="str">
            <v>NEIN</v>
          </cell>
          <cell r="C6" t="str">
            <v>NEIN</v>
          </cell>
          <cell r="D6">
            <v>0</v>
          </cell>
          <cell r="F6">
            <v>0</v>
          </cell>
          <cell r="G6" t="str">
            <v>NEIN</v>
          </cell>
        </row>
        <row r="7">
          <cell r="C7">
            <v>0</v>
          </cell>
        </row>
        <row r="14">
          <cell r="A14" t="str">
            <v>Fortsetzungsprojekt</v>
          </cell>
        </row>
        <row r="15">
          <cell r="A15" t="str">
            <v>Erweiterung einer üblichen Aktivität</v>
          </cell>
        </row>
        <row r="16">
          <cell r="A16" t="str">
            <v>neue Aktivität/innovativer Charakter</v>
          </cell>
        </row>
        <row r="23">
          <cell r="A23" t="str">
            <v>Maßnahme zu 1.0: Psychologische und psychotherapeutische Betreuung</v>
          </cell>
          <cell r="C23" t="str">
            <v>Maßnahme zu 1.0: Psychologische und psychotherapeutische Betreuung</v>
          </cell>
          <cell r="D23" t="str">
            <v>M_EFF_1.1.1</v>
          </cell>
          <cell r="F23" t="str">
            <v>M_EFF_1.1.1</v>
          </cell>
          <cell r="G23" t="str">
            <v>Maßnahme zu 1.0: Psychologische und psychotherapeutische Betreuung</v>
          </cell>
        </row>
        <row r="24">
          <cell r="A24" t="str">
            <v>Maßnahme zu 1.0: Unterstützung zur Durchführung von Überstellungen nach der Dublinverordnung</v>
          </cell>
          <cell r="C24" t="str">
            <v>Maßnahme zu 1.0: Unterstützung zur Durchführung von Überstellungen nach der Dublinverordnung</v>
          </cell>
          <cell r="D24" t="str">
            <v>M_EFF_1.1.2</v>
          </cell>
          <cell r="F24" t="str">
            <v>M_EFF_1.1.2</v>
          </cell>
          <cell r="G24" t="str">
            <v>Maßnahme zu 1.0: Unterstützung zur Durchführung von Überstellungen nach der Dublinverordnung</v>
          </cell>
        </row>
        <row r="25">
          <cell r="A25" t="str">
            <v>Maßnahme zu 1.0: Information der ortsansässigen Bevölkerung</v>
          </cell>
          <cell r="C25" t="str">
            <v>Maßnahme zu 1.0: Information der ortsansässigen Bevölkerung</v>
          </cell>
          <cell r="D25" t="str">
            <v>M_EFF_1.1.3</v>
          </cell>
          <cell r="F25" t="str">
            <v>M_EFF_1.1.3</v>
          </cell>
          <cell r="G25" t="str">
            <v>Maßnahme zu 1.0: Information der ortsansässigen Bevölkerung</v>
          </cell>
        </row>
        <row r="26">
          <cell r="A26" t="str">
            <v>Maßnahme zu 1.0: Beratung im asylrechtlichen Verfahren</v>
          </cell>
          <cell r="C26" t="str">
            <v>Maßnahme zu 1.0: Beratung im asylrechtlichen Verfahren</v>
          </cell>
          <cell r="D26" t="str">
            <v>M_EFF_1.1.4</v>
          </cell>
          <cell r="F26" t="str">
            <v>M_EFF_1.1.4</v>
          </cell>
          <cell r="G26" t="str">
            <v>Maßnahme zu 1.0: Beratung im asylrechtlichen Verfahren</v>
          </cell>
        </row>
        <row r="27">
          <cell r="A27" t="str">
            <v>Maßnahme zu 1.0: Starthilfe zur Integration</v>
          </cell>
          <cell r="C27" t="str">
            <v>Maßnahme zu 1.0: Starthilfe zur Integration</v>
          </cell>
          <cell r="D27" t="str">
            <v>M_EFF_1.1.5</v>
          </cell>
          <cell r="F27" t="str">
            <v>M_EFF_1.1.5</v>
          </cell>
          <cell r="G27" t="str">
            <v>Maßnahme zu 1.0: Starthilfe zur Integration</v>
          </cell>
        </row>
        <row r="28">
          <cell r="A28" t="str">
            <v>Maßnahme zu 1.0: Ausbau der sprachlichen Kompetenz</v>
          </cell>
          <cell r="C28" t="str">
            <v>Maßnahme zu 1.0: Ausbau der sprachlichen Kompetenz</v>
          </cell>
          <cell r="D28" t="str">
            <v>M_EFF_1.1.6</v>
          </cell>
          <cell r="F28" t="str">
            <v>M_EFF_1.1.6</v>
          </cell>
          <cell r="G28" t="str">
            <v>Maßnahme zu 1.0: Ausbau der sprachlichen Kompetenz</v>
          </cell>
        </row>
        <row r="29">
          <cell r="A29" t="str">
            <v>Maßnahme zu 1.0: Arbeitsmarktintegration</v>
          </cell>
          <cell r="C29" t="str">
            <v>Maßnahme zu 1.0: Arbeitsmarktintegration</v>
          </cell>
          <cell r="D29" t="str">
            <v>M_EFF_1.1.7</v>
          </cell>
          <cell r="F29" t="str">
            <v>M_EFF_1.1.7</v>
          </cell>
          <cell r="G29" t="str">
            <v>Maßnahme zu 1.0: Arbeitsmarktintegration</v>
          </cell>
        </row>
        <row r="30">
          <cell r="A30" t="str">
            <v>Maßnahme zu 2.0: Qualitätssicherung und Strukturverbesserung der Asylverwaltung</v>
          </cell>
          <cell r="C30" t="str">
            <v>Maßnahme zu 2.0: Qualitätssicherung und Strukturverbesserung der Asylverwaltung</v>
          </cell>
          <cell r="D30" t="str">
            <v>M_EFF_2.1.1</v>
          </cell>
          <cell r="F30" t="str">
            <v>M_EFF_2.1.1</v>
          </cell>
          <cell r="G30" t="str">
            <v>Maßnahme zu 2.0: Qualitätssicherung und Strukturverbesserung der Asylverwaltung</v>
          </cell>
        </row>
        <row r="31">
          <cell r="A31" t="str">
            <v>Maßnahme zu 2.3: Länderdokumentation und Länderinformation zur Unterstützung im Asylverfahren</v>
          </cell>
          <cell r="C31" t="str">
            <v>Maßnahme zu 2.3: Länderdokumentation und Länderinformation zur Unterstützung im Asylverfahren</v>
          </cell>
          <cell r="D31" t="str">
            <v>M_EFF_2.4.1</v>
          </cell>
          <cell r="F31" t="str">
            <v>M_EFF_2.4.1</v>
          </cell>
          <cell r="G31" t="str">
            <v>Maßnahme zu 2.3: Länderdokumentation und Länderinformation zur Unterstützung im Asylverfahren</v>
          </cell>
        </row>
        <row r="32">
          <cell r="C32">
            <v>0</v>
          </cell>
        </row>
      </sheetData>
      <sheetData sheetId="11"/>
      <sheetData sheetId="12"/>
      <sheetData sheetId="13">
        <row r="1">
          <cell r="B1" t="str">
            <v>Version EFF 1.04 (B 73), 03.03.2010</v>
          </cell>
        </row>
      </sheetData>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Angaben zum Förderungswerber"/>
      <sheetName val="Angaben zu Projektpartnern"/>
      <sheetName val="Angaben zum Projekt"/>
      <sheetName val="Stammdaten Indikatoren"/>
      <sheetName val="Indikatoren 1"/>
      <sheetName val="Indikatoren 2"/>
      <sheetName val="Indikatoren 3"/>
      <sheetName val="Indikatoren 4"/>
      <sheetName val="Indikatoren 5"/>
      <sheetName val="Indikatoren 6"/>
      <sheetName val="Indikatoren 7"/>
      <sheetName val="Indikatoren 8"/>
      <sheetName val="Indikatoren 9"/>
      <sheetName val="Indikatoren 10"/>
      <sheetName val="Indikatoren 11"/>
      <sheetName val="Indikatoren 12"/>
      <sheetName val="Indikatoren 13"/>
      <sheetName val="Indikatoren 14"/>
      <sheetName val="Indikatoren 15"/>
      <sheetName val="Indikatoren 16"/>
      <sheetName val="Indikatoren 17"/>
      <sheetName val="Indikatoren 18"/>
      <sheetName val="Indikatoren 19"/>
      <sheetName val="Indikatoren 20"/>
      <sheetName val="Indikatoren 21"/>
      <sheetName val="Indikatoren 22"/>
      <sheetName val="Indikatoren 23"/>
      <sheetName val="Indikatoren 24"/>
      <sheetName val="Indikatoren 25"/>
      <sheetName val="Indikatoren 26"/>
      <sheetName val="Indikatoren 27"/>
      <sheetName val="Indikator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79998168889431442"/>
    <pageSetUpPr fitToPage="1"/>
  </sheetPr>
  <dimension ref="B2:Q97"/>
  <sheetViews>
    <sheetView showGridLines="0" tabSelected="1" zoomScale="70" zoomScaleNormal="70" workbookViewId="0">
      <selection activeCell="H75" sqref="H75:J75"/>
    </sheetView>
  </sheetViews>
  <sheetFormatPr baseColWidth="10" defaultColWidth="11.453125" defaultRowHeight="14.5" x14ac:dyDescent="0.35"/>
  <cols>
    <col min="1" max="2" width="3.7265625" style="10" customWidth="1"/>
    <col min="3" max="3" width="62.26953125" style="10" customWidth="1"/>
    <col min="4" max="4" width="36.7265625" style="41" customWidth="1"/>
    <col min="5" max="6" width="11.6328125" style="10" customWidth="1"/>
    <col min="7" max="7" width="6.6328125" style="10" customWidth="1"/>
    <col min="8" max="8" width="12.1796875" style="10" bestFit="1" customWidth="1"/>
    <col min="9" max="9" width="6.7265625" style="10" customWidth="1"/>
    <col min="10" max="10" width="25.7265625" style="10" customWidth="1"/>
    <col min="11" max="11" width="3.7265625" style="10" customWidth="1"/>
    <col min="12" max="12" width="1.7265625" style="10" customWidth="1"/>
    <col min="13" max="13" width="3.7265625" style="10" hidden="1" customWidth="1"/>
    <col min="14" max="15" width="40.7265625" style="10" hidden="1" customWidth="1"/>
    <col min="16" max="16" width="48.26953125" style="10" hidden="1" customWidth="1"/>
    <col min="17" max="17" width="3.7265625" style="10" hidden="1" customWidth="1"/>
    <col min="18" max="21" width="0" style="10" hidden="1" customWidth="1"/>
    <col min="22" max="16384" width="11.453125" style="10"/>
  </cols>
  <sheetData>
    <row r="2" spans="2:17" x14ac:dyDescent="0.35">
      <c r="B2" s="6"/>
      <c r="C2" s="7"/>
      <c r="D2" s="8"/>
      <c r="E2" s="7"/>
      <c r="F2" s="7"/>
      <c r="G2" s="7"/>
      <c r="H2" s="7"/>
      <c r="I2" s="7"/>
      <c r="J2" s="7"/>
      <c r="K2" s="9"/>
      <c r="M2" s="6"/>
      <c r="N2" s="7"/>
      <c r="O2" s="7"/>
      <c r="P2" s="7"/>
      <c r="Q2" s="9"/>
    </row>
    <row r="3" spans="2:17" ht="52" customHeight="1" x14ac:dyDescent="0.35">
      <c r="B3" s="11"/>
      <c r="C3" s="97" t="s">
        <v>115</v>
      </c>
      <c r="D3" s="97"/>
      <c r="E3" s="97"/>
      <c r="F3" s="97"/>
      <c r="G3" s="97"/>
      <c r="H3" s="97"/>
      <c r="I3" s="97"/>
      <c r="J3" s="97"/>
      <c r="K3" s="12" t="s">
        <v>48</v>
      </c>
      <c r="L3" s="13" t="s">
        <v>48</v>
      </c>
      <c r="M3" s="12" t="s">
        <v>48</v>
      </c>
      <c r="N3" s="85" t="s">
        <v>24</v>
      </c>
      <c r="O3" s="86"/>
      <c r="P3" s="87"/>
      <c r="Q3" s="14"/>
    </row>
    <row r="4" spans="2:17" x14ac:dyDescent="0.35">
      <c r="B4" s="11"/>
      <c r="C4" s="15" t="s">
        <v>114</v>
      </c>
      <c r="D4" s="113" t="s">
        <v>116</v>
      </c>
      <c r="E4" s="113"/>
      <c r="F4" s="113"/>
      <c r="G4" s="113"/>
      <c r="H4" s="113"/>
      <c r="I4" s="113"/>
      <c r="J4" s="113"/>
      <c r="K4" s="12" t="s">
        <v>7</v>
      </c>
      <c r="L4" s="13" t="s">
        <v>0</v>
      </c>
      <c r="M4" s="12" t="s">
        <v>45</v>
      </c>
      <c r="N4" s="94"/>
      <c r="O4" s="95"/>
      <c r="P4" s="96"/>
      <c r="Q4" s="14"/>
    </row>
    <row r="5" spans="2:17" x14ac:dyDescent="0.35">
      <c r="B5" s="11"/>
      <c r="C5" s="15" t="s">
        <v>11</v>
      </c>
      <c r="D5" s="102" t="s">
        <v>117</v>
      </c>
      <c r="E5" s="103"/>
      <c r="F5" s="103"/>
      <c r="G5" s="103"/>
      <c r="H5" s="103"/>
      <c r="I5" s="103"/>
      <c r="J5" s="104"/>
      <c r="K5" s="12" t="s">
        <v>6</v>
      </c>
      <c r="L5" s="13" t="s">
        <v>1</v>
      </c>
      <c r="M5" s="12" t="s">
        <v>46</v>
      </c>
      <c r="N5" s="94"/>
      <c r="O5" s="95"/>
      <c r="P5" s="96"/>
      <c r="Q5" s="14"/>
    </row>
    <row r="6" spans="2:17" x14ac:dyDescent="0.35">
      <c r="B6" s="11"/>
      <c r="C6" s="15" t="s">
        <v>12</v>
      </c>
      <c r="D6" s="102" t="s">
        <v>118</v>
      </c>
      <c r="E6" s="103"/>
      <c r="F6" s="103"/>
      <c r="G6" s="103"/>
      <c r="H6" s="103"/>
      <c r="I6" s="103"/>
      <c r="J6" s="104"/>
      <c r="K6" s="12" t="s">
        <v>5</v>
      </c>
      <c r="L6" s="13" t="s">
        <v>78</v>
      </c>
      <c r="M6" s="12" t="s">
        <v>47</v>
      </c>
      <c r="N6" s="88"/>
      <c r="O6" s="89"/>
      <c r="P6" s="90"/>
      <c r="Q6" s="14"/>
    </row>
    <row r="7" spans="2:17" x14ac:dyDescent="0.35">
      <c r="B7" s="11"/>
      <c r="C7" s="15" t="s">
        <v>112</v>
      </c>
      <c r="D7" s="102" t="s">
        <v>119</v>
      </c>
      <c r="E7" s="103"/>
      <c r="F7" s="103"/>
      <c r="G7" s="103"/>
      <c r="H7" s="103"/>
      <c r="I7" s="103"/>
      <c r="J7" s="104"/>
      <c r="K7" s="59"/>
      <c r="L7" s="13"/>
      <c r="M7" s="60"/>
      <c r="N7" s="56"/>
      <c r="O7" s="56"/>
      <c r="P7" s="56"/>
      <c r="Q7" s="61"/>
    </row>
    <row r="8" spans="2:17" x14ac:dyDescent="0.35">
      <c r="B8" s="11"/>
      <c r="C8" s="57"/>
      <c r="D8" s="57"/>
      <c r="E8" s="57"/>
      <c r="F8" s="57"/>
      <c r="G8" s="57"/>
      <c r="H8" s="57"/>
      <c r="I8" s="57"/>
      <c r="J8" s="57"/>
      <c r="K8" s="14"/>
    </row>
    <row r="9" spans="2:17" ht="29" x14ac:dyDescent="0.35">
      <c r="B9" s="11"/>
      <c r="C9" s="16" t="s">
        <v>62</v>
      </c>
      <c r="D9" s="55" t="s">
        <v>20</v>
      </c>
      <c r="E9" s="55" t="s">
        <v>83</v>
      </c>
      <c r="F9" s="58" t="s">
        <v>111</v>
      </c>
      <c r="G9" s="17" t="s">
        <v>10</v>
      </c>
      <c r="H9" s="85" t="s">
        <v>110</v>
      </c>
      <c r="I9" s="86"/>
      <c r="J9" s="86"/>
      <c r="K9" s="14"/>
      <c r="M9" s="11"/>
      <c r="N9" s="91" t="s">
        <v>73</v>
      </c>
      <c r="O9" s="92"/>
      <c r="P9" s="93"/>
      <c r="Q9" s="14"/>
    </row>
    <row r="10" spans="2:17" ht="43.5" x14ac:dyDescent="0.35">
      <c r="B10" s="11"/>
      <c r="C10" s="45" t="s">
        <v>50</v>
      </c>
      <c r="D10" s="47" t="s">
        <v>120</v>
      </c>
      <c r="E10" s="2">
        <v>30000</v>
      </c>
      <c r="F10" s="2">
        <v>35000</v>
      </c>
      <c r="G10" s="49">
        <f>IF(F10=0, "",IF(E10=0,"",F10/E10))</f>
        <v>1.1666666666666667</v>
      </c>
      <c r="H10" s="77"/>
      <c r="I10" s="78"/>
      <c r="J10" s="79"/>
      <c r="K10" s="14"/>
      <c r="M10" s="11"/>
      <c r="N10" s="88" t="s">
        <v>74</v>
      </c>
      <c r="O10" s="89"/>
      <c r="P10" s="90"/>
      <c r="Q10" s="14"/>
    </row>
    <row r="11" spans="2:17" ht="43.5" x14ac:dyDescent="0.35">
      <c r="B11" s="11"/>
      <c r="C11" s="46" t="s">
        <v>49</v>
      </c>
      <c r="D11" s="48" t="s">
        <v>147</v>
      </c>
      <c r="E11" s="4">
        <v>160000</v>
      </c>
      <c r="F11" s="4">
        <v>254000</v>
      </c>
      <c r="G11" s="50">
        <f>IF(F11=0, "",IF(E11=0,"",F11/E11))</f>
        <v>1.5874999999999999</v>
      </c>
      <c r="H11" s="77"/>
      <c r="I11" s="78"/>
      <c r="J11" s="79"/>
      <c r="K11" s="14"/>
      <c r="M11" s="11"/>
      <c r="N11" s="98" t="s">
        <v>75</v>
      </c>
      <c r="O11" s="99"/>
      <c r="P11" s="100"/>
      <c r="Q11" s="14"/>
    </row>
    <row r="12" spans="2:17" ht="43.5" x14ac:dyDescent="0.35">
      <c r="B12" s="11"/>
      <c r="C12" s="45" t="s">
        <v>22</v>
      </c>
      <c r="D12" s="47" t="s">
        <v>121</v>
      </c>
      <c r="E12" s="2">
        <v>15</v>
      </c>
      <c r="F12" s="2">
        <v>1</v>
      </c>
      <c r="G12" s="49">
        <f>IF(F12=0, "",IF(E12=0,"",F12/E12))</f>
        <v>6.6666666666666666E-2</v>
      </c>
      <c r="H12" s="77" t="s">
        <v>144</v>
      </c>
      <c r="I12" s="78"/>
      <c r="J12" s="79"/>
      <c r="K12" s="14"/>
      <c r="M12" s="11"/>
      <c r="N12" s="88" t="s">
        <v>51</v>
      </c>
      <c r="O12" s="89"/>
      <c r="P12" s="90"/>
      <c r="Q12" s="14"/>
    </row>
    <row r="13" spans="2:17" x14ac:dyDescent="0.35">
      <c r="B13" s="11"/>
      <c r="C13" s="42" t="s">
        <v>86</v>
      </c>
      <c r="D13" s="48" t="s">
        <v>122</v>
      </c>
      <c r="E13" s="4">
        <v>150</v>
      </c>
      <c r="F13" s="4">
        <v>47</v>
      </c>
      <c r="G13" s="50">
        <f>IF(F13=0, "",IF(E13=0,"",F13/E13))</f>
        <v>0.31333333333333335</v>
      </c>
      <c r="H13" s="77" t="s">
        <v>145</v>
      </c>
      <c r="I13" s="78"/>
      <c r="J13" s="79"/>
      <c r="K13" s="14"/>
      <c r="M13" s="11"/>
      <c r="N13" s="101"/>
      <c r="O13" s="101"/>
      <c r="P13" s="101"/>
      <c r="Q13" s="14"/>
    </row>
    <row r="14" spans="2:17" ht="29" x14ac:dyDescent="0.35">
      <c r="B14" s="11"/>
      <c r="C14" s="16" t="s">
        <v>63</v>
      </c>
      <c r="D14" s="54" t="s">
        <v>20</v>
      </c>
      <c r="E14" s="53" t="s">
        <v>83</v>
      </c>
      <c r="F14" s="55" t="s">
        <v>84</v>
      </c>
      <c r="G14" s="17" t="s">
        <v>10</v>
      </c>
      <c r="H14" s="85" t="s">
        <v>110</v>
      </c>
      <c r="I14" s="86"/>
      <c r="J14" s="86"/>
      <c r="K14" s="14"/>
      <c r="M14" s="11"/>
      <c r="N14" s="91" t="s">
        <v>76</v>
      </c>
      <c r="O14" s="92"/>
      <c r="P14" s="93"/>
      <c r="Q14" s="14"/>
    </row>
    <row r="15" spans="2:17" x14ac:dyDescent="0.35">
      <c r="B15" s="11"/>
      <c r="C15" s="15" t="s">
        <v>64</v>
      </c>
      <c r="D15" s="47"/>
      <c r="E15" s="63">
        <v>3950</v>
      </c>
      <c r="F15" s="63">
        <v>4046</v>
      </c>
      <c r="G15" s="18">
        <f>IF(F15=0,"",IF(E15=0,"",F15/E15))</f>
        <v>1.0243037974683544</v>
      </c>
      <c r="H15" s="77"/>
      <c r="I15" s="78"/>
      <c r="J15" s="79"/>
      <c r="K15" s="14"/>
      <c r="M15" s="11"/>
      <c r="N15" s="134" t="s">
        <v>77</v>
      </c>
      <c r="O15" s="135"/>
      <c r="P15" s="136"/>
      <c r="Q15" s="14"/>
    </row>
    <row r="16" spans="2:17" ht="72.5" x14ac:dyDescent="0.35">
      <c r="B16" s="11"/>
      <c r="C16" s="42" t="s">
        <v>16</v>
      </c>
      <c r="D16" s="66" t="s">
        <v>123</v>
      </c>
      <c r="E16" s="64">
        <v>150</v>
      </c>
      <c r="F16" s="64">
        <v>1916</v>
      </c>
      <c r="G16" s="50">
        <f t="shared" ref="G16:G79" si="0">IF(F16=0, "",IF(E16=0,"",F16/E16))</f>
        <v>12.773333333333333</v>
      </c>
      <c r="H16" s="77" t="s">
        <v>148</v>
      </c>
      <c r="I16" s="78"/>
      <c r="J16" s="79"/>
      <c r="K16" s="14"/>
      <c r="M16" s="11"/>
      <c r="N16" s="112"/>
      <c r="O16" s="112"/>
      <c r="P16" s="112"/>
      <c r="Q16" s="14"/>
    </row>
    <row r="17" spans="2:17" ht="58" x14ac:dyDescent="0.35">
      <c r="B17" s="11"/>
      <c r="C17" s="43" t="s">
        <v>65</v>
      </c>
      <c r="D17" s="67" t="s">
        <v>124</v>
      </c>
      <c r="E17" s="65">
        <v>3150</v>
      </c>
      <c r="F17" s="65">
        <v>3237</v>
      </c>
      <c r="G17" s="49">
        <f t="shared" si="0"/>
        <v>1.0276190476190477</v>
      </c>
      <c r="H17" s="77"/>
      <c r="I17" s="78"/>
      <c r="J17" s="79"/>
      <c r="K17" s="14"/>
      <c r="M17" s="11"/>
      <c r="N17" s="111"/>
      <c r="O17" s="111"/>
      <c r="P17" s="111"/>
      <c r="Q17" s="14"/>
    </row>
    <row r="18" spans="2:17" ht="58" x14ac:dyDescent="0.35">
      <c r="B18" s="11"/>
      <c r="C18" s="42" t="s">
        <v>13</v>
      </c>
      <c r="D18" s="66" t="s">
        <v>125</v>
      </c>
      <c r="E18" s="64">
        <v>180</v>
      </c>
      <c r="F18" s="64">
        <v>210</v>
      </c>
      <c r="G18" s="50">
        <f t="shared" si="0"/>
        <v>1.1666666666666667</v>
      </c>
      <c r="H18" s="77"/>
      <c r="I18" s="78"/>
      <c r="J18" s="79"/>
      <c r="K18" s="14"/>
      <c r="M18" s="11"/>
      <c r="N18" s="112"/>
      <c r="O18" s="112"/>
      <c r="P18" s="112"/>
      <c r="Q18" s="14"/>
    </row>
    <row r="19" spans="2:17" ht="58" x14ac:dyDescent="0.35">
      <c r="B19" s="11"/>
      <c r="C19" s="43" t="s">
        <v>14</v>
      </c>
      <c r="D19" s="47" t="s">
        <v>125</v>
      </c>
      <c r="E19" s="65">
        <v>8</v>
      </c>
      <c r="F19" s="65">
        <v>25</v>
      </c>
      <c r="G19" s="49">
        <f t="shared" si="0"/>
        <v>3.125</v>
      </c>
      <c r="H19" s="77"/>
      <c r="I19" s="78"/>
      <c r="J19" s="79"/>
      <c r="K19" s="14"/>
      <c r="M19" s="11"/>
      <c r="N19" s="111"/>
      <c r="O19" s="111"/>
      <c r="P19" s="111"/>
      <c r="Q19" s="14"/>
    </row>
    <row r="20" spans="2:17" ht="58" x14ac:dyDescent="0.35">
      <c r="B20" s="11"/>
      <c r="C20" s="44" t="s">
        <v>15</v>
      </c>
      <c r="D20" s="48" t="s">
        <v>125</v>
      </c>
      <c r="E20" s="64">
        <v>5</v>
      </c>
      <c r="F20" s="64">
        <v>8</v>
      </c>
      <c r="G20" s="50">
        <f t="shared" si="0"/>
        <v>1.6</v>
      </c>
      <c r="H20" s="77"/>
      <c r="I20" s="78"/>
      <c r="J20" s="79"/>
      <c r="K20" s="14"/>
      <c r="M20" s="11"/>
      <c r="N20" s="112"/>
      <c r="O20" s="112"/>
      <c r="P20" s="112"/>
      <c r="Q20" s="14"/>
    </row>
    <row r="21" spans="2:17" ht="29" x14ac:dyDescent="0.35">
      <c r="B21" s="11"/>
      <c r="C21" s="22" t="s">
        <v>66</v>
      </c>
      <c r="D21" s="54" t="s">
        <v>20</v>
      </c>
      <c r="E21" s="53" t="s">
        <v>83</v>
      </c>
      <c r="F21" s="55" t="s">
        <v>84</v>
      </c>
      <c r="G21" s="17" t="s">
        <v>10</v>
      </c>
      <c r="H21" s="85" t="s">
        <v>110</v>
      </c>
      <c r="I21" s="86"/>
      <c r="J21" s="86"/>
      <c r="K21" s="14"/>
      <c r="M21" s="11"/>
      <c r="N21" s="146" t="s">
        <v>85</v>
      </c>
      <c r="O21" s="147"/>
      <c r="P21" s="148"/>
      <c r="Q21" s="14"/>
    </row>
    <row r="22" spans="2:17" x14ac:dyDescent="0.35">
      <c r="B22" s="11"/>
      <c r="C22" s="45" t="s">
        <v>55</v>
      </c>
      <c r="D22" s="71" t="s">
        <v>126</v>
      </c>
      <c r="E22" s="65">
        <v>20</v>
      </c>
      <c r="F22" s="2">
        <v>22</v>
      </c>
      <c r="G22" s="49">
        <f t="shared" si="0"/>
        <v>1.1000000000000001</v>
      </c>
      <c r="H22" s="77" t="s">
        <v>143</v>
      </c>
      <c r="I22" s="78"/>
      <c r="J22" s="79"/>
      <c r="K22" s="14"/>
      <c r="M22" s="11"/>
      <c r="N22" s="131" t="s">
        <v>94</v>
      </c>
      <c r="O22" s="132"/>
      <c r="P22" s="133"/>
      <c r="Q22" s="14"/>
    </row>
    <row r="23" spans="2:17" x14ac:dyDescent="0.35">
      <c r="B23" s="11"/>
      <c r="C23" s="43" t="s">
        <v>88</v>
      </c>
      <c r="D23" s="72"/>
      <c r="E23" s="65">
        <v>400</v>
      </c>
      <c r="F23" s="2">
        <v>454</v>
      </c>
      <c r="G23" s="49">
        <f t="shared" si="0"/>
        <v>1.135</v>
      </c>
      <c r="H23" s="77"/>
      <c r="I23" s="78"/>
      <c r="J23" s="79"/>
      <c r="K23" s="14"/>
      <c r="M23" s="11"/>
      <c r="N23" s="134"/>
      <c r="O23" s="135"/>
      <c r="P23" s="136"/>
      <c r="Q23" s="14"/>
    </row>
    <row r="24" spans="2:17" x14ac:dyDescent="0.35">
      <c r="B24" s="11"/>
      <c r="C24" s="46" t="s">
        <v>56</v>
      </c>
      <c r="D24" s="80" t="s">
        <v>127</v>
      </c>
      <c r="E24" s="64">
        <v>100</v>
      </c>
      <c r="F24" s="4">
        <v>75</v>
      </c>
      <c r="G24" s="50">
        <f t="shared" si="0"/>
        <v>0.75</v>
      </c>
      <c r="H24" s="77" t="s">
        <v>137</v>
      </c>
      <c r="I24" s="78"/>
      <c r="J24" s="79"/>
      <c r="K24" s="14"/>
      <c r="M24" s="11"/>
      <c r="N24" s="98" t="s">
        <v>95</v>
      </c>
      <c r="O24" s="99"/>
      <c r="P24" s="100"/>
      <c r="Q24" s="14"/>
    </row>
    <row r="25" spans="2:17" x14ac:dyDescent="0.35">
      <c r="B25" s="11"/>
      <c r="C25" s="42" t="s">
        <v>89</v>
      </c>
      <c r="D25" s="81"/>
      <c r="E25" s="64">
        <v>2500</v>
      </c>
      <c r="F25" s="4">
        <v>2653</v>
      </c>
      <c r="G25" s="50">
        <f t="shared" si="0"/>
        <v>1.0611999999999999</v>
      </c>
      <c r="H25" s="77" t="s">
        <v>146</v>
      </c>
      <c r="I25" s="78"/>
      <c r="J25" s="79"/>
      <c r="K25" s="14"/>
      <c r="M25" s="11"/>
      <c r="N25" s="128"/>
      <c r="O25" s="129"/>
      <c r="P25" s="130"/>
      <c r="Q25" s="14"/>
    </row>
    <row r="26" spans="2:17" x14ac:dyDescent="0.35">
      <c r="B26" s="11"/>
      <c r="C26" s="45" t="s">
        <v>57</v>
      </c>
      <c r="D26" s="71"/>
      <c r="E26" s="65"/>
      <c r="F26" s="2"/>
      <c r="G26" s="49" t="str">
        <f t="shared" si="0"/>
        <v/>
      </c>
      <c r="H26" s="77"/>
      <c r="I26" s="78"/>
      <c r="J26" s="79"/>
      <c r="K26" s="14"/>
      <c r="M26" s="11"/>
      <c r="N26" s="131" t="s">
        <v>96</v>
      </c>
      <c r="O26" s="132"/>
      <c r="P26" s="133"/>
      <c r="Q26" s="14"/>
    </row>
    <row r="27" spans="2:17" x14ac:dyDescent="0.35">
      <c r="B27" s="11"/>
      <c r="C27" s="43" t="s">
        <v>88</v>
      </c>
      <c r="D27" s="72"/>
      <c r="E27" s="65"/>
      <c r="F27" s="2"/>
      <c r="G27" s="49" t="str">
        <f t="shared" si="0"/>
        <v/>
      </c>
      <c r="H27" s="77"/>
      <c r="I27" s="78"/>
      <c r="J27" s="79"/>
      <c r="K27" s="14"/>
      <c r="M27" s="11"/>
      <c r="N27" s="134"/>
      <c r="O27" s="135"/>
      <c r="P27" s="136"/>
      <c r="Q27" s="14"/>
    </row>
    <row r="28" spans="2:17" x14ac:dyDescent="0.35">
      <c r="B28" s="11"/>
      <c r="C28" s="46" t="s">
        <v>58</v>
      </c>
      <c r="D28" s="80" t="s">
        <v>128</v>
      </c>
      <c r="E28" s="64">
        <v>8</v>
      </c>
      <c r="F28" s="4">
        <v>15</v>
      </c>
      <c r="G28" s="50">
        <f t="shared" si="0"/>
        <v>1.875</v>
      </c>
      <c r="H28" s="77"/>
      <c r="I28" s="78"/>
      <c r="J28" s="79"/>
      <c r="K28" s="14"/>
      <c r="M28" s="11"/>
      <c r="N28" s="98" t="s">
        <v>61</v>
      </c>
      <c r="O28" s="99"/>
      <c r="P28" s="100"/>
      <c r="Q28" s="14"/>
    </row>
    <row r="29" spans="2:17" x14ac:dyDescent="0.35">
      <c r="B29" s="11"/>
      <c r="C29" s="42" t="s">
        <v>87</v>
      </c>
      <c r="D29" s="81"/>
      <c r="E29" s="64">
        <v>240</v>
      </c>
      <c r="F29" s="4">
        <v>175</v>
      </c>
      <c r="G29" s="50">
        <f t="shared" si="0"/>
        <v>0.72916666666666663</v>
      </c>
      <c r="H29" s="77"/>
      <c r="I29" s="78"/>
      <c r="J29" s="79"/>
      <c r="K29" s="14"/>
      <c r="M29" s="11"/>
      <c r="N29" s="128"/>
      <c r="O29" s="129"/>
      <c r="P29" s="130"/>
      <c r="Q29" s="14"/>
    </row>
    <row r="30" spans="2:17" x14ac:dyDescent="0.35">
      <c r="B30" s="11"/>
      <c r="C30" s="15" t="s">
        <v>59</v>
      </c>
      <c r="D30" s="71"/>
      <c r="E30" s="65">
        <v>600</v>
      </c>
      <c r="F30" s="62">
        <v>420</v>
      </c>
      <c r="G30" s="49">
        <f t="shared" si="0"/>
        <v>0.7</v>
      </c>
      <c r="H30" s="77" t="s">
        <v>140</v>
      </c>
      <c r="I30" s="78"/>
      <c r="J30" s="79"/>
      <c r="K30" s="14"/>
      <c r="M30" s="11"/>
      <c r="N30" s="131"/>
      <c r="O30" s="132"/>
      <c r="P30" s="133"/>
      <c r="Q30" s="14"/>
    </row>
    <row r="31" spans="2:17" x14ac:dyDescent="0.35">
      <c r="B31" s="11"/>
      <c r="C31" s="15" t="s">
        <v>60</v>
      </c>
      <c r="D31" s="72"/>
      <c r="E31" s="5">
        <f>E23+E25+E27+E29</f>
        <v>3140</v>
      </c>
      <c r="F31" s="5">
        <f>F23+F25+F27+F29</f>
        <v>3282</v>
      </c>
      <c r="G31" s="18">
        <f t="shared" si="0"/>
        <v>1.0452229299363058</v>
      </c>
      <c r="H31" s="77"/>
      <c r="I31" s="78"/>
      <c r="J31" s="79"/>
      <c r="K31" s="14"/>
      <c r="M31" s="11"/>
      <c r="N31" s="131" t="s">
        <v>97</v>
      </c>
      <c r="O31" s="132"/>
      <c r="P31" s="133"/>
      <c r="Q31" s="14"/>
    </row>
    <row r="32" spans="2:17" ht="29" x14ac:dyDescent="0.35">
      <c r="B32" s="11"/>
      <c r="C32" s="23" t="s">
        <v>67</v>
      </c>
      <c r="D32" s="54" t="s">
        <v>20</v>
      </c>
      <c r="E32" s="53" t="s">
        <v>83</v>
      </c>
      <c r="F32" s="55" t="s">
        <v>84</v>
      </c>
      <c r="G32" s="17" t="s">
        <v>10</v>
      </c>
      <c r="H32" s="85" t="s">
        <v>110</v>
      </c>
      <c r="I32" s="86"/>
      <c r="J32" s="86"/>
      <c r="K32" s="14"/>
      <c r="M32" s="11"/>
      <c r="N32" s="70"/>
      <c r="O32" s="70"/>
      <c r="P32" s="70"/>
      <c r="Q32" s="14"/>
    </row>
    <row r="33" spans="2:17" x14ac:dyDescent="0.35">
      <c r="B33" s="11"/>
      <c r="C33" s="15" t="s">
        <v>21</v>
      </c>
      <c r="D33" s="71" t="s">
        <v>129</v>
      </c>
      <c r="E33" s="1">
        <v>4700</v>
      </c>
      <c r="F33" s="65">
        <v>6600</v>
      </c>
      <c r="G33" s="18">
        <f>IF(F33=0, "",IF(E33=0,"",F33/E33))</f>
        <v>1.4042553191489362</v>
      </c>
      <c r="H33" s="77"/>
      <c r="I33" s="78"/>
      <c r="J33" s="79"/>
      <c r="K33" s="14"/>
      <c r="M33" s="11"/>
      <c r="N33" s="74"/>
      <c r="O33" s="74"/>
      <c r="P33" s="74"/>
      <c r="Q33" s="14"/>
    </row>
    <row r="34" spans="2:17" x14ac:dyDescent="0.35">
      <c r="B34" s="11"/>
      <c r="C34" s="45" t="s">
        <v>17</v>
      </c>
      <c r="D34" s="72"/>
      <c r="E34" s="2">
        <v>3800</v>
      </c>
      <c r="F34" s="65">
        <v>5280</v>
      </c>
      <c r="G34" s="49">
        <f>IF(F34=0, "",IF(E34=0,"",F34/E34))</f>
        <v>1.3894736842105264</v>
      </c>
      <c r="H34" s="77"/>
      <c r="I34" s="78"/>
      <c r="J34" s="79"/>
      <c r="K34" s="14"/>
      <c r="M34" s="11"/>
      <c r="N34" s="74"/>
      <c r="O34" s="74"/>
      <c r="P34" s="74"/>
      <c r="Q34" s="14"/>
    </row>
    <row r="35" spans="2:17" x14ac:dyDescent="0.35">
      <c r="B35" s="11"/>
      <c r="C35" s="21" t="s">
        <v>26</v>
      </c>
      <c r="D35" s="80"/>
      <c r="E35" s="3">
        <v>270</v>
      </c>
      <c r="F35" s="64">
        <v>272</v>
      </c>
      <c r="G35" s="20">
        <f>IF(F35=0, "",IF(E35=0,"",F35/E35))</f>
        <v>1.0074074074074073</v>
      </c>
      <c r="H35" s="77"/>
      <c r="I35" s="78"/>
      <c r="J35" s="79"/>
      <c r="K35" s="14"/>
      <c r="M35" s="11"/>
      <c r="N35" s="75"/>
      <c r="O35" s="75"/>
      <c r="P35" s="75"/>
      <c r="Q35" s="14"/>
    </row>
    <row r="36" spans="2:17" x14ac:dyDescent="0.35">
      <c r="B36" s="11"/>
      <c r="C36" s="42" t="s">
        <v>18</v>
      </c>
      <c r="D36" s="81"/>
      <c r="E36" s="4">
        <v>180</v>
      </c>
      <c r="F36" s="64">
        <v>215</v>
      </c>
      <c r="G36" s="50">
        <f>IF(F36=0, "",IF(E36=0,"",F36/E36))</f>
        <v>1.1944444444444444</v>
      </c>
      <c r="H36" s="77"/>
      <c r="I36" s="78"/>
      <c r="J36" s="79"/>
      <c r="K36" s="14"/>
      <c r="M36" s="11"/>
      <c r="N36" s="75"/>
      <c r="O36" s="75"/>
      <c r="P36" s="75"/>
      <c r="Q36" s="14"/>
    </row>
    <row r="37" spans="2:17" ht="29" x14ac:dyDescent="0.35">
      <c r="B37" s="11"/>
      <c r="C37" s="23" t="s">
        <v>68</v>
      </c>
      <c r="D37" s="54" t="s">
        <v>20</v>
      </c>
      <c r="E37" s="53" t="s">
        <v>83</v>
      </c>
      <c r="F37" s="55" t="s">
        <v>84</v>
      </c>
      <c r="G37" s="17" t="s">
        <v>10</v>
      </c>
      <c r="H37" s="85" t="s">
        <v>110</v>
      </c>
      <c r="I37" s="86"/>
      <c r="J37" s="86"/>
      <c r="K37" s="14"/>
      <c r="M37" s="11"/>
      <c r="N37" s="149"/>
      <c r="O37" s="149"/>
      <c r="P37" s="149"/>
      <c r="Q37" s="14"/>
    </row>
    <row r="38" spans="2:17" x14ac:dyDescent="0.35">
      <c r="B38" s="11"/>
      <c r="C38" s="15" t="s">
        <v>9</v>
      </c>
      <c r="D38" s="71" t="s">
        <v>130</v>
      </c>
      <c r="E38" s="1">
        <v>180</v>
      </c>
      <c r="F38" s="65">
        <v>175</v>
      </c>
      <c r="G38" s="18">
        <f t="shared" si="0"/>
        <v>0.97222222222222221</v>
      </c>
      <c r="H38" s="77" t="s">
        <v>138</v>
      </c>
      <c r="I38" s="78"/>
      <c r="J38" s="79"/>
      <c r="K38" s="14"/>
      <c r="M38" s="11"/>
      <c r="N38" s="74"/>
      <c r="O38" s="74"/>
      <c r="P38" s="74"/>
      <c r="Q38" s="14"/>
    </row>
    <row r="39" spans="2:17" x14ac:dyDescent="0.35">
      <c r="B39" s="11"/>
      <c r="C39" s="45" t="s">
        <v>17</v>
      </c>
      <c r="D39" s="72"/>
      <c r="E39" s="2">
        <v>180</v>
      </c>
      <c r="F39" s="65">
        <v>160</v>
      </c>
      <c r="G39" s="49">
        <f t="shared" si="0"/>
        <v>0.88888888888888884</v>
      </c>
      <c r="H39" s="77" t="s">
        <v>142</v>
      </c>
      <c r="I39" s="78"/>
      <c r="J39" s="79"/>
      <c r="K39" s="14"/>
      <c r="M39" s="11"/>
      <c r="N39" s="74"/>
      <c r="O39" s="74"/>
      <c r="P39" s="74"/>
      <c r="Q39" s="14"/>
    </row>
    <row r="40" spans="2:17" x14ac:dyDescent="0.35">
      <c r="B40" s="11"/>
      <c r="C40" s="21" t="s">
        <v>43</v>
      </c>
      <c r="D40" s="80"/>
      <c r="E40" s="3">
        <v>60</v>
      </c>
      <c r="F40" s="64">
        <v>45</v>
      </c>
      <c r="G40" s="20">
        <f t="shared" si="0"/>
        <v>0.75</v>
      </c>
      <c r="H40" s="77"/>
      <c r="I40" s="78"/>
      <c r="J40" s="79"/>
      <c r="K40" s="14"/>
      <c r="M40" s="11"/>
      <c r="N40" s="75"/>
      <c r="O40" s="75"/>
      <c r="P40" s="75"/>
      <c r="Q40" s="14"/>
    </row>
    <row r="41" spans="2:17" x14ac:dyDescent="0.35">
      <c r="B41" s="11"/>
      <c r="C41" s="42" t="s">
        <v>18</v>
      </c>
      <c r="D41" s="81"/>
      <c r="E41" s="4">
        <v>60</v>
      </c>
      <c r="F41" s="64">
        <v>35</v>
      </c>
      <c r="G41" s="50">
        <f t="shared" si="0"/>
        <v>0.58333333333333337</v>
      </c>
      <c r="H41" s="77"/>
      <c r="I41" s="78"/>
      <c r="J41" s="79"/>
      <c r="K41" s="14"/>
      <c r="M41" s="11"/>
      <c r="N41" s="75"/>
      <c r="O41" s="75"/>
      <c r="P41" s="75"/>
      <c r="Q41" s="14"/>
    </row>
    <row r="42" spans="2:17" ht="29" x14ac:dyDescent="0.35">
      <c r="B42" s="11"/>
      <c r="C42" s="23" t="s">
        <v>109</v>
      </c>
      <c r="D42" s="54" t="s">
        <v>20</v>
      </c>
      <c r="E42" s="53" t="s">
        <v>83</v>
      </c>
      <c r="F42" s="55" t="s">
        <v>84</v>
      </c>
      <c r="G42" s="17" t="s">
        <v>10</v>
      </c>
      <c r="H42" s="85" t="s">
        <v>110</v>
      </c>
      <c r="I42" s="86"/>
      <c r="J42" s="86"/>
      <c r="K42" s="14"/>
      <c r="M42" s="11"/>
      <c r="N42" s="73" t="s">
        <v>79</v>
      </c>
      <c r="O42" s="73"/>
      <c r="P42" s="73"/>
      <c r="Q42" s="14"/>
    </row>
    <row r="43" spans="2:17" x14ac:dyDescent="0.35">
      <c r="B43" s="11"/>
      <c r="C43" s="15" t="s">
        <v>23</v>
      </c>
      <c r="D43" s="82" t="s">
        <v>131</v>
      </c>
      <c r="E43" s="68">
        <v>100</v>
      </c>
      <c r="F43" s="1">
        <v>40</v>
      </c>
      <c r="G43" s="18">
        <f t="shared" si="0"/>
        <v>0.4</v>
      </c>
      <c r="H43" s="77" t="s">
        <v>135</v>
      </c>
      <c r="I43" s="78"/>
      <c r="J43" s="79"/>
      <c r="K43" s="14"/>
      <c r="M43" s="11"/>
      <c r="N43" s="74"/>
      <c r="O43" s="74"/>
      <c r="P43" s="74"/>
      <c r="Q43" s="14"/>
    </row>
    <row r="44" spans="2:17" x14ac:dyDescent="0.35">
      <c r="B44" s="11"/>
      <c r="C44" s="43" t="s">
        <v>102</v>
      </c>
      <c r="D44" s="83"/>
      <c r="E44" s="68">
        <v>100</v>
      </c>
      <c r="F44" s="2">
        <v>40</v>
      </c>
      <c r="G44" s="49">
        <f t="shared" si="0"/>
        <v>0.4</v>
      </c>
      <c r="H44" s="77"/>
      <c r="I44" s="78"/>
      <c r="J44" s="79"/>
      <c r="K44" s="14"/>
      <c r="M44" s="11"/>
      <c r="N44" s="74"/>
      <c r="O44" s="74"/>
      <c r="P44" s="74"/>
      <c r="Q44" s="14"/>
    </row>
    <row r="45" spans="2:17" x14ac:dyDescent="0.35">
      <c r="B45" s="11"/>
      <c r="C45" s="43" t="s">
        <v>103</v>
      </c>
      <c r="D45" s="84"/>
      <c r="E45" s="68">
        <v>250</v>
      </c>
      <c r="F45" s="52">
        <v>75</v>
      </c>
      <c r="G45" s="49">
        <f t="shared" si="0"/>
        <v>0.3</v>
      </c>
      <c r="H45" s="77"/>
      <c r="I45" s="78"/>
      <c r="J45" s="79"/>
      <c r="K45" s="14"/>
      <c r="M45" s="11"/>
      <c r="N45" s="74"/>
      <c r="O45" s="74"/>
      <c r="P45" s="74"/>
      <c r="Q45" s="14"/>
    </row>
    <row r="46" spans="2:17" x14ac:dyDescent="0.35">
      <c r="B46" s="11"/>
      <c r="C46" s="19" t="s">
        <v>9</v>
      </c>
      <c r="D46" s="150"/>
      <c r="E46" s="69">
        <v>300</v>
      </c>
      <c r="F46" s="3">
        <v>350</v>
      </c>
      <c r="G46" s="20">
        <f t="shared" si="0"/>
        <v>1.1666666666666667</v>
      </c>
      <c r="H46" s="77" t="s">
        <v>139</v>
      </c>
      <c r="I46" s="78"/>
      <c r="J46" s="79"/>
      <c r="K46" s="14"/>
      <c r="M46" s="11"/>
      <c r="N46" s="75"/>
      <c r="O46" s="75"/>
      <c r="P46" s="75"/>
      <c r="Q46" s="14"/>
    </row>
    <row r="47" spans="2:17" x14ac:dyDescent="0.35">
      <c r="B47" s="11"/>
      <c r="C47" s="42" t="s">
        <v>17</v>
      </c>
      <c r="D47" s="151"/>
      <c r="E47" s="69">
        <v>0</v>
      </c>
      <c r="F47" s="4">
        <v>0</v>
      </c>
      <c r="G47" s="50" t="str">
        <f t="shared" si="0"/>
        <v/>
      </c>
      <c r="H47" s="77"/>
      <c r="I47" s="78"/>
      <c r="J47" s="79"/>
      <c r="K47" s="14"/>
      <c r="M47" s="11"/>
      <c r="N47" s="75"/>
      <c r="O47" s="75"/>
      <c r="P47" s="75"/>
      <c r="Q47" s="14"/>
    </row>
    <row r="48" spans="2:17" x14ac:dyDescent="0.35">
      <c r="B48" s="11"/>
      <c r="C48" s="15" t="s">
        <v>43</v>
      </c>
      <c r="D48" s="82"/>
      <c r="E48" s="68">
        <v>230</v>
      </c>
      <c r="F48" s="51">
        <v>310</v>
      </c>
      <c r="G48" s="18">
        <f t="shared" si="0"/>
        <v>1.3478260869565217</v>
      </c>
      <c r="H48" s="77" t="s">
        <v>141</v>
      </c>
      <c r="I48" s="78"/>
      <c r="J48" s="79"/>
      <c r="K48" s="14"/>
      <c r="M48" s="11"/>
      <c r="N48" s="74"/>
      <c r="O48" s="74"/>
      <c r="P48" s="74"/>
      <c r="Q48" s="14"/>
    </row>
    <row r="49" spans="2:17" x14ac:dyDescent="0.35">
      <c r="B49" s="11"/>
      <c r="C49" s="43" t="s">
        <v>18</v>
      </c>
      <c r="D49" s="84"/>
      <c r="E49" s="68">
        <v>0</v>
      </c>
      <c r="F49" s="2">
        <v>0</v>
      </c>
      <c r="G49" s="49" t="str">
        <f t="shared" si="0"/>
        <v/>
      </c>
      <c r="H49" s="77"/>
      <c r="I49" s="78"/>
      <c r="J49" s="79"/>
      <c r="K49" s="14"/>
      <c r="M49" s="11"/>
      <c r="N49" s="74"/>
      <c r="O49" s="74"/>
      <c r="P49" s="74"/>
      <c r="Q49" s="14"/>
    </row>
    <row r="50" spans="2:17" ht="29" x14ac:dyDescent="0.35">
      <c r="B50" s="11"/>
      <c r="C50" s="16" t="s">
        <v>82</v>
      </c>
      <c r="D50" s="54" t="s">
        <v>20</v>
      </c>
      <c r="E50" s="53" t="s">
        <v>83</v>
      </c>
      <c r="F50" s="55" t="s">
        <v>84</v>
      </c>
      <c r="G50" s="17" t="s">
        <v>10</v>
      </c>
      <c r="H50" s="85" t="s">
        <v>110</v>
      </c>
      <c r="I50" s="86"/>
      <c r="J50" s="86"/>
      <c r="K50" s="14"/>
      <c r="M50" s="11"/>
      <c r="N50" s="115" t="s">
        <v>80</v>
      </c>
      <c r="O50" s="115"/>
      <c r="P50" s="115"/>
      <c r="Q50" s="14"/>
    </row>
    <row r="51" spans="2:17" x14ac:dyDescent="0.35">
      <c r="B51" s="11"/>
      <c r="C51" s="15" t="s">
        <v>104</v>
      </c>
      <c r="D51" s="71"/>
      <c r="E51" s="5">
        <f>E54+E56+E58+E60+E62</f>
        <v>0</v>
      </c>
      <c r="F51" s="5">
        <f>F54+F56+F58+F60+F62</f>
        <v>0</v>
      </c>
      <c r="G51" s="18" t="str">
        <f>IF(F51=0, "",IF(E51=0,"",F51/E51))</f>
        <v/>
      </c>
      <c r="H51" s="77"/>
      <c r="I51" s="78"/>
      <c r="J51" s="79"/>
      <c r="K51" s="14"/>
      <c r="M51" s="11"/>
      <c r="N51" s="76" t="s">
        <v>107</v>
      </c>
      <c r="O51" s="76"/>
      <c r="P51" s="76"/>
      <c r="Q51" s="14"/>
    </row>
    <row r="52" spans="2:17" x14ac:dyDescent="0.35">
      <c r="B52" s="11"/>
      <c r="C52" s="15" t="s">
        <v>19</v>
      </c>
      <c r="D52" s="72"/>
      <c r="E52" s="5">
        <f>E53+E55+E57+E59+E61</f>
        <v>0</v>
      </c>
      <c r="F52" s="5">
        <f>F53+F55+F57+F59+F61</f>
        <v>0</v>
      </c>
      <c r="G52" s="18" t="str">
        <f>IF(F52=0, "",IF(E52=0,"",F52/E52))</f>
        <v/>
      </c>
      <c r="H52" s="77"/>
      <c r="I52" s="78"/>
      <c r="J52" s="79"/>
      <c r="K52" s="14"/>
      <c r="M52" s="11"/>
      <c r="N52" s="76"/>
      <c r="O52" s="76"/>
      <c r="P52" s="76"/>
      <c r="Q52" s="14"/>
    </row>
    <row r="53" spans="2:17" x14ac:dyDescent="0.35">
      <c r="B53" s="11"/>
      <c r="C53" s="42" t="s">
        <v>31</v>
      </c>
      <c r="D53" s="150"/>
      <c r="E53" s="4"/>
      <c r="F53" s="4"/>
      <c r="G53" s="50" t="str">
        <f t="shared" si="0"/>
        <v/>
      </c>
      <c r="H53" s="77"/>
      <c r="I53" s="78"/>
      <c r="J53" s="79"/>
      <c r="K53" s="14"/>
      <c r="M53" s="11"/>
      <c r="N53" s="101"/>
      <c r="O53" s="101"/>
      <c r="P53" s="101"/>
      <c r="Q53" s="14"/>
    </row>
    <row r="54" spans="2:17" x14ac:dyDescent="0.35">
      <c r="B54" s="11"/>
      <c r="C54" s="42" t="s">
        <v>37</v>
      </c>
      <c r="D54" s="151"/>
      <c r="E54" s="4"/>
      <c r="F54" s="4"/>
      <c r="G54" s="50" t="str">
        <f t="shared" si="0"/>
        <v/>
      </c>
      <c r="H54" s="77"/>
      <c r="I54" s="78"/>
      <c r="J54" s="79"/>
      <c r="K54" s="14"/>
      <c r="M54" s="11"/>
      <c r="N54" s="101"/>
      <c r="O54" s="101"/>
      <c r="P54" s="101"/>
      <c r="Q54" s="14"/>
    </row>
    <row r="55" spans="2:17" x14ac:dyDescent="0.35">
      <c r="B55" s="11"/>
      <c r="C55" s="43" t="s">
        <v>27</v>
      </c>
      <c r="D55" s="82"/>
      <c r="E55" s="2"/>
      <c r="F55" s="2"/>
      <c r="G55" s="49" t="str">
        <f t="shared" si="0"/>
        <v/>
      </c>
      <c r="H55" s="77"/>
      <c r="I55" s="78"/>
      <c r="J55" s="79"/>
      <c r="K55" s="14"/>
      <c r="M55" s="11"/>
      <c r="N55" s="76"/>
      <c r="O55" s="76"/>
      <c r="P55" s="76"/>
      <c r="Q55" s="14"/>
    </row>
    <row r="56" spans="2:17" x14ac:dyDescent="0.35">
      <c r="B56" s="11"/>
      <c r="C56" s="43" t="s">
        <v>38</v>
      </c>
      <c r="D56" s="84"/>
      <c r="E56" s="2"/>
      <c r="F56" s="2"/>
      <c r="G56" s="49" t="str">
        <f t="shared" si="0"/>
        <v/>
      </c>
      <c r="H56" s="77"/>
      <c r="I56" s="78"/>
      <c r="J56" s="79"/>
      <c r="K56" s="14"/>
      <c r="M56" s="11"/>
      <c r="N56" s="76"/>
      <c r="O56" s="76"/>
      <c r="P56" s="76"/>
      <c r="Q56" s="14"/>
    </row>
    <row r="57" spans="2:17" x14ac:dyDescent="0.35">
      <c r="B57" s="11"/>
      <c r="C57" s="42" t="s">
        <v>28</v>
      </c>
      <c r="D57" s="80"/>
      <c r="E57" s="4"/>
      <c r="F57" s="4"/>
      <c r="G57" s="50" t="str">
        <f t="shared" si="0"/>
        <v/>
      </c>
      <c r="H57" s="77"/>
      <c r="I57" s="78"/>
      <c r="J57" s="79"/>
      <c r="K57" s="14"/>
      <c r="M57" s="11"/>
      <c r="N57" s="101"/>
      <c r="O57" s="101"/>
      <c r="P57" s="101"/>
      <c r="Q57" s="14"/>
    </row>
    <row r="58" spans="2:17" x14ac:dyDescent="0.35">
      <c r="B58" s="11"/>
      <c r="C58" s="42" t="s">
        <v>39</v>
      </c>
      <c r="D58" s="81"/>
      <c r="E58" s="4"/>
      <c r="F58" s="4"/>
      <c r="G58" s="50" t="str">
        <f t="shared" si="0"/>
        <v/>
      </c>
      <c r="H58" s="77"/>
      <c r="I58" s="78"/>
      <c r="J58" s="79"/>
      <c r="K58" s="14"/>
      <c r="M58" s="11"/>
      <c r="N58" s="101"/>
      <c r="O58" s="101"/>
      <c r="P58" s="101"/>
      <c r="Q58" s="14"/>
    </row>
    <row r="59" spans="2:17" x14ac:dyDescent="0.35">
      <c r="B59" s="11"/>
      <c r="C59" s="43" t="s">
        <v>29</v>
      </c>
      <c r="D59" s="82"/>
      <c r="E59" s="2"/>
      <c r="F59" s="2"/>
      <c r="G59" s="49" t="str">
        <f t="shared" si="0"/>
        <v/>
      </c>
      <c r="H59" s="77"/>
      <c r="I59" s="78"/>
      <c r="J59" s="79"/>
      <c r="K59" s="14"/>
      <c r="M59" s="11"/>
      <c r="N59" s="76"/>
      <c r="O59" s="76"/>
      <c r="P59" s="76"/>
      <c r="Q59" s="14"/>
    </row>
    <row r="60" spans="2:17" x14ac:dyDescent="0.35">
      <c r="B60" s="11"/>
      <c r="C60" s="43" t="s">
        <v>40</v>
      </c>
      <c r="D60" s="84"/>
      <c r="E60" s="2"/>
      <c r="F60" s="2"/>
      <c r="G60" s="49" t="str">
        <f t="shared" si="0"/>
        <v/>
      </c>
      <c r="H60" s="77"/>
      <c r="I60" s="78"/>
      <c r="J60" s="79"/>
      <c r="K60" s="14"/>
      <c r="M60" s="11"/>
      <c r="N60" s="76"/>
      <c r="O60" s="76"/>
      <c r="P60" s="76"/>
      <c r="Q60" s="14"/>
    </row>
    <row r="61" spans="2:17" x14ac:dyDescent="0.35">
      <c r="B61" s="11"/>
      <c r="C61" s="42" t="s">
        <v>30</v>
      </c>
      <c r="D61" s="150"/>
      <c r="E61" s="4"/>
      <c r="F61" s="4"/>
      <c r="G61" s="50" t="str">
        <f t="shared" si="0"/>
        <v/>
      </c>
      <c r="H61" s="77"/>
      <c r="I61" s="78"/>
      <c r="J61" s="79"/>
      <c r="K61" s="14"/>
      <c r="M61" s="11"/>
      <c r="N61" s="101"/>
      <c r="O61" s="101"/>
      <c r="P61" s="101"/>
      <c r="Q61" s="14"/>
    </row>
    <row r="62" spans="2:17" x14ac:dyDescent="0.35">
      <c r="B62" s="11"/>
      <c r="C62" s="42" t="s">
        <v>41</v>
      </c>
      <c r="D62" s="151"/>
      <c r="E62" s="4"/>
      <c r="F62" s="4"/>
      <c r="G62" s="50" t="str">
        <f t="shared" si="0"/>
        <v/>
      </c>
      <c r="H62" s="77"/>
      <c r="I62" s="78"/>
      <c r="J62" s="79"/>
      <c r="K62" s="14"/>
      <c r="M62" s="11"/>
      <c r="N62" s="101"/>
      <c r="O62" s="101"/>
      <c r="P62" s="101"/>
      <c r="Q62" s="14"/>
    </row>
    <row r="63" spans="2:17" x14ac:dyDescent="0.35">
      <c r="B63" s="11"/>
      <c r="C63" s="43" t="s">
        <v>36</v>
      </c>
      <c r="D63" s="82"/>
      <c r="E63" s="2"/>
      <c r="F63" s="2"/>
      <c r="G63" s="49" t="str">
        <f t="shared" si="0"/>
        <v/>
      </c>
      <c r="H63" s="77"/>
      <c r="I63" s="78"/>
      <c r="J63" s="79"/>
      <c r="K63" s="14"/>
      <c r="M63" s="11"/>
      <c r="N63" s="140" t="s">
        <v>108</v>
      </c>
      <c r="O63" s="141"/>
      <c r="P63" s="142"/>
      <c r="Q63" s="14"/>
    </row>
    <row r="64" spans="2:17" x14ac:dyDescent="0.35">
      <c r="B64" s="11"/>
      <c r="C64" s="43" t="s">
        <v>42</v>
      </c>
      <c r="D64" s="84"/>
      <c r="E64" s="2"/>
      <c r="F64" s="2"/>
      <c r="G64" s="49" t="str">
        <f t="shared" si="0"/>
        <v/>
      </c>
      <c r="H64" s="77"/>
      <c r="I64" s="78"/>
      <c r="J64" s="79"/>
      <c r="K64" s="14"/>
      <c r="M64" s="11"/>
      <c r="N64" s="134"/>
      <c r="O64" s="135"/>
      <c r="P64" s="136"/>
      <c r="Q64" s="14"/>
    </row>
    <row r="65" spans="2:17" x14ac:dyDescent="0.35">
      <c r="B65" s="11"/>
      <c r="C65" s="19" t="s">
        <v>52</v>
      </c>
      <c r="D65" s="150"/>
      <c r="E65" s="3"/>
      <c r="F65" s="3"/>
      <c r="G65" s="20" t="str">
        <f t="shared" si="0"/>
        <v/>
      </c>
      <c r="H65" s="77"/>
      <c r="I65" s="78"/>
      <c r="J65" s="79"/>
      <c r="K65" s="14"/>
      <c r="M65" s="11"/>
      <c r="N65" s="98" t="s">
        <v>53</v>
      </c>
      <c r="O65" s="99"/>
      <c r="P65" s="100"/>
      <c r="Q65" s="14"/>
    </row>
    <row r="66" spans="2:17" x14ac:dyDescent="0.35">
      <c r="B66" s="11"/>
      <c r="C66" s="19" t="s">
        <v>54</v>
      </c>
      <c r="D66" s="151"/>
      <c r="E66" s="3"/>
      <c r="F66" s="3"/>
      <c r="G66" s="20" t="str">
        <f t="shared" si="0"/>
        <v/>
      </c>
      <c r="H66" s="77"/>
      <c r="I66" s="78"/>
      <c r="J66" s="79"/>
      <c r="K66" s="14"/>
      <c r="M66" s="11"/>
      <c r="N66" s="98" t="s">
        <v>106</v>
      </c>
      <c r="O66" s="99"/>
      <c r="P66" s="100"/>
      <c r="Q66" s="14"/>
    </row>
    <row r="67" spans="2:17" x14ac:dyDescent="0.35">
      <c r="B67" s="11"/>
      <c r="C67" s="15" t="s">
        <v>101</v>
      </c>
      <c r="D67" s="156"/>
      <c r="E67" s="1"/>
      <c r="F67" s="1"/>
      <c r="G67" s="18" t="str">
        <f t="shared" si="0"/>
        <v/>
      </c>
      <c r="H67" s="77"/>
      <c r="I67" s="78"/>
      <c r="J67" s="79"/>
      <c r="K67" s="14"/>
      <c r="M67" s="11"/>
      <c r="N67" s="108" t="s">
        <v>90</v>
      </c>
      <c r="O67" s="109"/>
      <c r="P67" s="110"/>
      <c r="Q67" s="14"/>
    </row>
    <row r="68" spans="2:17" x14ac:dyDescent="0.35">
      <c r="B68" s="11"/>
      <c r="C68" s="43" t="s">
        <v>32</v>
      </c>
      <c r="D68" s="157"/>
      <c r="E68" s="2"/>
      <c r="F68" s="2"/>
      <c r="G68" s="49" t="str">
        <f t="shared" si="0"/>
        <v/>
      </c>
      <c r="H68" s="77"/>
      <c r="I68" s="78"/>
      <c r="J68" s="79"/>
      <c r="K68" s="14"/>
      <c r="M68" s="11"/>
      <c r="N68" s="108"/>
      <c r="O68" s="109"/>
      <c r="P68" s="110"/>
      <c r="Q68" s="14"/>
    </row>
    <row r="69" spans="2:17" x14ac:dyDescent="0.35">
      <c r="B69" s="11"/>
      <c r="C69" s="43" t="s">
        <v>100</v>
      </c>
      <c r="D69" s="158"/>
      <c r="E69" s="2"/>
      <c r="F69" s="2"/>
      <c r="G69" s="49" t="str">
        <f t="shared" si="0"/>
        <v/>
      </c>
      <c r="H69" s="77"/>
      <c r="I69" s="78"/>
      <c r="J69" s="79"/>
      <c r="K69" s="14"/>
      <c r="M69" s="11"/>
      <c r="N69" s="119" t="s">
        <v>105</v>
      </c>
      <c r="O69" s="120"/>
      <c r="P69" s="121"/>
      <c r="Q69" s="14"/>
    </row>
    <row r="70" spans="2:17" ht="29" x14ac:dyDescent="0.35">
      <c r="B70" s="11"/>
      <c r="C70" s="16" t="s">
        <v>69</v>
      </c>
      <c r="D70" s="54" t="s">
        <v>20</v>
      </c>
      <c r="E70" s="53" t="s">
        <v>83</v>
      </c>
      <c r="F70" s="55" t="s">
        <v>84</v>
      </c>
      <c r="G70" s="17" t="s">
        <v>10</v>
      </c>
      <c r="H70" s="85" t="s">
        <v>110</v>
      </c>
      <c r="I70" s="86"/>
      <c r="J70" s="86"/>
      <c r="K70" s="14"/>
      <c r="M70" s="11"/>
      <c r="N70" s="122"/>
      <c r="O70" s="123"/>
      <c r="P70" s="124"/>
      <c r="Q70" s="14"/>
    </row>
    <row r="71" spans="2:17" x14ac:dyDescent="0.35">
      <c r="B71" s="11"/>
      <c r="C71" s="19" t="s">
        <v>35</v>
      </c>
      <c r="D71" s="80" t="s">
        <v>132</v>
      </c>
      <c r="E71" s="65">
        <v>144</v>
      </c>
      <c r="F71" s="3">
        <v>51</v>
      </c>
      <c r="G71" s="20">
        <f t="shared" ref="G71:G76" si="1">IF(F71=0, "",IF(E71=0,"",F71/E71))</f>
        <v>0.35416666666666669</v>
      </c>
      <c r="H71" s="77" t="s">
        <v>149</v>
      </c>
      <c r="I71" s="78"/>
      <c r="J71" s="79"/>
      <c r="K71" s="14"/>
      <c r="M71" s="11"/>
      <c r="N71" s="143"/>
      <c r="O71" s="144"/>
      <c r="P71" s="145"/>
      <c r="Q71" s="14"/>
    </row>
    <row r="72" spans="2:17" x14ac:dyDescent="0.35">
      <c r="B72" s="11"/>
      <c r="C72" s="21" t="s">
        <v>91</v>
      </c>
      <c r="D72" s="152"/>
      <c r="E72" s="65">
        <v>60</v>
      </c>
      <c r="F72" s="3">
        <v>33</v>
      </c>
      <c r="G72" s="20">
        <f t="shared" si="1"/>
        <v>0.55000000000000004</v>
      </c>
      <c r="H72" s="77"/>
      <c r="I72" s="78"/>
      <c r="J72" s="79"/>
      <c r="K72" s="14"/>
      <c r="M72" s="11"/>
      <c r="N72" s="125"/>
      <c r="O72" s="126"/>
      <c r="P72" s="127"/>
      <c r="Q72" s="14"/>
    </row>
    <row r="73" spans="2:17" x14ac:dyDescent="0.35">
      <c r="B73" s="11"/>
      <c r="C73" s="42" t="s">
        <v>44</v>
      </c>
      <c r="D73" s="81"/>
      <c r="E73" s="65">
        <v>35</v>
      </c>
      <c r="F73" s="4">
        <v>28</v>
      </c>
      <c r="G73" s="50">
        <f t="shared" si="1"/>
        <v>0.8</v>
      </c>
      <c r="H73" s="77"/>
      <c r="I73" s="78"/>
      <c r="J73" s="79"/>
      <c r="K73" s="14"/>
      <c r="M73" s="11"/>
      <c r="N73" s="125"/>
      <c r="O73" s="126"/>
      <c r="P73" s="127"/>
      <c r="Q73" s="14"/>
    </row>
    <row r="74" spans="2:17" ht="29" x14ac:dyDescent="0.35">
      <c r="B74" s="11"/>
      <c r="C74" s="43" t="s">
        <v>70</v>
      </c>
      <c r="D74" s="153" t="s">
        <v>133</v>
      </c>
      <c r="E74" s="64">
        <v>144</v>
      </c>
      <c r="F74" s="52">
        <v>36</v>
      </c>
      <c r="G74" s="49">
        <f t="shared" si="1"/>
        <v>0.25</v>
      </c>
      <c r="H74" s="77"/>
      <c r="I74" s="78"/>
      <c r="J74" s="79"/>
      <c r="K74" s="14"/>
      <c r="M74" s="11"/>
      <c r="N74" s="101" t="s">
        <v>99</v>
      </c>
      <c r="O74" s="101"/>
      <c r="P74" s="101"/>
      <c r="Q74" s="14"/>
    </row>
    <row r="75" spans="2:17" ht="29" x14ac:dyDescent="0.35">
      <c r="B75" s="11"/>
      <c r="C75" s="43" t="s">
        <v>93</v>
      </c>
      <c r="D75" s="154"/>
      <c r="E75" s="64">
        <v>15</v>
      </c>
      <c r="F75" s="52">
        <v>10</v>
      </c>
      <c r="G75" s="49">
        <f t="shared" si="1"/>
        <v>0.66666666666666663</v>
      </c>
      <c r="H75" s="77"/>
      <c r="I75" s="78"/>
      <c r="J75" s="79"/>
      <c r="K75" s="14"/>
      <c r="M75" s="11"/>
      <c r="N75" s="101" t="s">
        <v>98</v>
      </c>
      <c r="O75" s="101"/>
      <c r="P75" s="101"/>
      <c r="Q75" s="14"/>
    </row>
    <row r="76" spans="2:17" x14ac:dyDescent="0.35">
      <c r="B76" s="11"/>
      <c r="C76" s="43" t="s">
        <v>92</v>
      </c>
      <c r="D76" s="155"/>
      <c r="E76" s="64">
        <v>25</v>
      </c>
      <c r="F76" s="52">
        <v>14</v>
      </c>
      <c r="G76" s="49">
        <f t="shared" si="1"/>
        <v>0.56000000000000005</v>
      </c>
      <c r="H76" s="77"/>
      <c r="I76" s="78"/>
      <c r="J76" s="79"/>
      <c r="K76" s="14"/>
      <c r="M76" s="11"/>
      <c r="N76" s="116"/>
      <c r="O76" s="117"/>
      <c r="P76" s="118"/>
      <c r="Q76" s="14"/>
    </row>
    <row r="77" spans="2:17" ht="29" x14ac:dyDescent="0.35">
      <c r="B77" s="11"/>
      <c r="C77" s="23" t="s">
        <v>71</v>
      </c>
      <c r="D77" s="54" t="s">
        <v>20</v>
      </c>
      <c r="E77" s="53" t="s">
        <v>83</v>
      </c>
      <c r="F77" s="55" t="s">
        <v>84</v>
      </c>
      <c r="G77" s="17" t="s">
        <v>10</v>
      </c>
      <c r="H77" s="85" t="s">
        <v>110</v>
      </c>
      <c r="I77" s="86"/>
      <c r="J77" s="86"/>
      <c r="K77" s="14"/>
      <c r="M77" s="11"/>
      <c r="N77" s="122"/>
      <c r="O77" s="123"/>
      <c r="P77" s="124"/>
      <c r="Q77" s="14"/>
    </row>
    <row r="78" spans="2:17" x14ac:dyDescent="0.35">
      <c r="B78" s="11"/>
      <c r="C78" s="45" t="s">
        <v>8</v>
      </c>
      <c r="D78" s="47"/>
      <c r="E78" s="2"/>
      <c r="F78" s="2"/>
      <c r="G78" s="49" t="str">
        <f t="shared" si="0"/>
        <v/>
      </c>
      <c r="H78" s="77"/>
      <c r="I78" s="78"/>
      <c r="J78" s="79"/>
      <c r="K78" s="14"/>
      <c r="M78" s="11"/>
      <c r="N78" s="108"/>
      <c r="O78" s="109"/>
      <c r="P78" s="110"/>
      <c r="Q78" s="14"/>
    </row>
    <row r="79" spans="2:17" x14ac:dyDescent="0.35">
      <c r="B79" s="11"/>
      <c r="C79" s="46" t="s">
        <v>33</v>
      </c>
      <c r="D79" s="48"/>
      <c r="E79" s="4"/>
      <c r="F79" s="4"/>
      <c r="G79" s="50" t="str">
        <f t="shared" si="0"/>
        <v/>
      </c>
      <c r="H79" s="77"/>
      <c r="I79" s="78"/>
      <c r="J79" s="79"/>
      <c r="K79" s="14"/>
      <c r="M79" s="11"/>
      <c r="N79" s="137" t="s">
        <v>34</v>
      </c>
      <c r="O79" s="138"/>
      <c r="P79" s="139"/>
      <c r="Q79" s="14"/>
    </row>
    <row r="80" spans="2:17" ht="17" customHeight="1" x14ac:dyDescent="0.35">
      <c r="B80" s="11"/>
      <c r="C80" s="43" t="s">
        <v>72</v>
      </c>
      <c r="D80" s="71" t="s">
        <v>134</v>
      </c>
      <c r="E80" s="65">
        <v>100</v>
      </c>
      <c r="F80" s="2">
        <v>104</v>
      </c>
      <c r="G80" s="49">
        <f>IF(F80=0, "",IF(E80=0,"",F80/E80))</f>
        <v>1.04</v>
      </c>
      <c r="H80" s="77"/>
      <c r="I80" s="78"/>
      <c r="J80" s="79"/>
      <c r="K80" s="14"/>
      <c r="M80" s="11"/>
      <c r="N80" s="131" t="s">
        <v>81</v>
      </c>
      <c r="O80" s="132"/>
      <c r="P80" s="133"/>
      <c r="Q80" s="14"/>
    </row>
    <row r="81" spans="2:17" x14ac:dyDescent="0.35">
      <c r="B81" s="11"/>
      <c r="C81" s="43" t="s">
        <v>25</v>
      </c>
      <c r="D81" s="72"/>
      <c r="E81" s="65">
        <v>650</v>
      </c>
      <c r="F81" s="2">
        <v>654</v>
      </c>
      <c r="G81" s="49">
        <f>IF(F81=0, "",IF(E81=0,"",F81/E81))</f>
        <v>1.0061538461538462</v>
      </c>
      <c r="H81" s="77" t="s">
        <v>136</v>
      </c>
      <c r="I81" s="78"/>
      <c r="J81" s="79"/>
      <c r="K81" s="14"/>
      <c r="M81" s="11"/>
      <c r="N81" s="134"/>
      <c r="O81" s="135"/>
      <c r="P81" s="136"/>
      <c r="Q81" s="14"/>
    </row>
    <row r="82" spans="2:17" s="26" customFormat="1" x14ac:dyDescent="0.35">
      <c r="B82" s="24"/>
      <c r="C82" s="114"/>
      <c r="D82" s="114"/>
      <c r="E82" s="114"/>
      <c r="F82" s="114"/>
      <c r="G82" s="114"/>
      <c r="H82" s="114"/>
      <c r="I82" s="114"/>
      <c r="J82" s="114"/>
      <c r="K82" s="25"/>
      <c r="M82" s="27"/>
      <c r="N82" s="28"/>
      <c r="O82" s="28"/>
      <c r="P82" s="28"/>
      <c r="Q82" s="29"/>
    </row>
    <row r="83" spans="2:17" s="26" customFormat="1" x14ac:dyDescent="0.25">
      <c r="D83" s="30"/>
    </row>
    <row r="84" spans="2:17" s="26" customFormat="1" x14ac:dyDescent="0.25">
      <c r="B84" s="31"/>
      <c r="C84" s="32"/>
      <c r="D84" s="33"/>
      <c r="E84" s="32"/>
      <c r="F84" s="32"/>
      <c r="G84" s="32"/>
      <c r="H84" s="32"/>
      <c r="I84" s="32"/>
      <c r="J84" s="32"/>
      <c r="K84" s="34"/>
    </row>
    <row r="85" spans="2:17" s="26" customFormat="1" ht="76" customHeight="1" x14ac:dyDescent="0.25">
      <c r="B85" s="35"/>
      <c r="C85" s="105" t="s">
        <v>113</v>
      </c>
      <c r="D85" s="106"/>
      <c r="E85" s="107"/>
      <c r="F85" s="107"/>
      <c r="G85" s="107"/>
      <c r="H85" s="107"/>
      <c r="I85" s="107"/>
      <c r="J85" s="107"/>
      <c r="K85" s="36"/>
    </row>
    <row r="86" spans="2:17" s="26" customFormat="1" x14ac:dyDescent="0.25">
      <c r="B86" s="27"/>
      <c r="C86" s="28"/>
      <c r="D86" s="37"/>
      <c r="E86" s="28"/>
      <c r="F86" s="28"/>
      <c r="G86" s="28"/>
      <c r="H86" s="28"/>
      <c r="I86" s="28"/>
      <c r="J86" s="28"/>
      <c r="K86" s="29"/>
    </row>
    <row r="87" spans="2:17" s="26" customFormat="1" x14ac:dyDescent="0.25">
      <c r="C87" s="38" t="s">
        <v>7</v>
      </c>
      <c r="D87" s="30"/>
    </row>
    <row r="88" spans="2:17" s="26" customFormat="1" x14ac:dyDescent="0.25">
      <c r="C88" s="38" t="s">
        <v>6</v>
      </c>
      <c r="D88" s="30"/>
    </row>
    <row r="89" spans="2:17" s="26" customFormat="1" x14ac:dyDescent="0.25">
      <c r="C89" s="38" t="s">
        <v>5</v>
      </c>
      <c r="D89" s="30"/>
    </row>
    <row r="90" spans="2:17" s="26" customFormat="1" x14ac:dyDescent="0.25">
      <c r="C90" s="38" t="s">
        <v>4</v>
      </c>
      <c r="D90" s="30"/>
    </row>
    <row r="91" spans="2:17" s="26" customFormat="1" x14ac:dyDescent="0.25">
      <c r="C91" s="38" t="s">
        <v>3</v>
      </c>
      <c r="D91" s="30"/>
    </row>
    <row r="92" spans="2:17" s="26" customFormat="1" x14ac:dyDescent="0.25">
      <c r="C92" s="38" t="s">
        <v>2</v>
      </c>
      <c r="D92" s="30"/>
    </row>
    <row r="93" spans="2:17" s="26" customFormat="1" x14ac:dyDescent="0.25">
      <c r="D93" s="30"/>
      <c r="E93" s="39"/>
      <c r="F93" s="39"/>
      <c r="G93" s="39"/>
      <c r="H93" s="39"/>
      <c r="I93" s="39"/>
    </row>
    <row r="94" spans="2:17" s="26" customFormat="1" x14ac:dyDescent="0.25">
      <c r="D94" s="30"/>
      <c r="E94" s="40"/>
      <c r="F94" s="40"/>
      <c r="G94" s="40"/>
      <c r="H94" s="40"/>
      <c r="I94" s="40"/>
    </row>
    <row r="95" spans="2:17" s="26" customFormat="1" x14ac:dyDescent="0.25">
      <c r="D95" s="30"/>
      <c r="E95" s="40"/>
      <c r="F95" s="40"/>
      <c r="G95" s="40"/>
      <c r="H95" s="40"/>
      <c r="I95" s="40"/>
    </row>
    <row r="96" spans="2:17" s="26" customFormat="1" x14ac:dyDescent="0.25">
      <c r="D96" s="30"/>
      <c r="E96" s="40"/>
      <c r="F96" s="40"/>
      <c r="G96" s="40"/>
      <c r="H96" s="40"/>
      <c r="I96" s="40"/>
    </row>
    <row r="97" spans="3:10" x14ac:dyDescent="0.35">
      <c r="C97" s="26"/>
      <c r="D97" s="30"/>
      <c r="E97" s="26"/>
      <c r="F97" s="26"/>
      <c r="G97" s="26"/>
      <c r="H97" s="26"/>
      <c r="I97" s="26"/>
      <c r="J97" s="26"/>
    </row>
  </sheetData>
  <sheetProtection algorithmName="SHA-512" hashValue="R5R3YFMq6Pl4rjrU2vyTbam1ZXnfZCMywRXbEijr+75yqW5kxwFp2cPD6Y2dJnlDPw3Dn02v1TuRDnrQxpoecw==" saltValue="ygazKDoYBYVNGdtmTIB7og==" spinCount="100000" sheet="1" formatRows="0" selectLockedCells="1"/>
  <mergeCells count="161">
    <mergeCell ref="D61:D62"/>
    <mergeCell ref="D63:D64"/>
    <mergeCell ref="D46:D47"/>
    <mergeCell ref="D48:D49"/>
    <mergeCell ref="D53:D54"/>
    <mergeCell ref="D71:D73"/>
    <mergeCell ref="D74:D76"/>
    <mergeCell ref="D80:D81"/>
    <mergeCell ref="D65:D66"/>
    <mergeCell ref="D67:D69"/>
    <mergeCell ref="D55:D56"/>
    <mergeCell ref="D57:D58"/>
    <mergeCell ref="D22:D23"/>
    <mergeCell ref="D24:D25"/>
    <mergeCell ref="D26:D27"/>
    <mergeCell ref="D28:D29"/>
    <mergeCell ref="H62:J62"/>
    <mergeCell ref="H63:J63"/>
    <mergeCell ref="H50:J50"/>
    <mergeCell ref="H51:J51"/>
    <mergeCell ref="H52:J52"/>
    <mergeCell ref="H53:J53"/>
    <mergeCell ref="H54:J54"/>
    <mergeCell ref="H55:J55"/>
    <mergeCell ref="H40:J40"/>
    <mergeCell ref="H41:J41"/>
    <mergeCell ref="H42:J42"/>
    <mergeCell ref="H43:J43"/>
    <mergeCell ref="H44:J44"/>
    <mergeCell ref="H45:J45"/>
    <mergeCell ref="H34:J34"/>
    <mergeCell ref="H35:J35"/>
    <mergeCell ref="D33:D34"/>
    <mergeCell ref="D35:D36"/>
    <mergeCell ref="D30:D31"/>
    <mergeCell ref="D38:D39"/>
    <mergeCell ref="H80:J80"/>
    <mergeCell ref="H81:J81"/>
    <mergeCell ref="H78:J78"/>
    <mergeCell ref="H79:J79"/>
    <mergeCell ref="H64:J64"/>
    <mergeCell ref="H65:J65"/>
    <mergeCell ref="H66:J66"/>
    <mergeCell ref="H67:J67"/>
    <mergeCell ref="H56:J56"/>
    <mergeCell ref="H57:J57"/>
    <mergeCell ref="H58:J58"/>
    <mergeCell ref="H59:J59"/>
    <mergeCell ref="H60:J60"/>
    <mergeCell ref="H61:J61"/>
    <mergeCell ref="H74:J74"/>
    <mergeCell ref="H75:J75"/>
    <mergeCell ref="H76:J76"/>
    <mergeCell ref="H77:J77"/>
    <mergeCell ref="H70:J70"/>
    <mergeCell ref="H71:J71"/>
    <mergeCell ref="H72:J72"/>
    <mergeCell ref="H73:J73"/>
    <mergeCell ref="H68:J68"/>
    <mergeCell ref="H69:J69"/>
    <mergeCell ref="H28:J28"/>
    <mergeCell ref="H29:J29"/>
    <mergeCell ref="H30:J30"/>
    <mergeCell ref="H31:J31"/>
    <mergeCell ref="H32:J32"/>
    <mergeCell ref="H33:J33"/>
    <mergeCell ref="H22:J22"/>
    <mergeCell ref="H23:J23"/>
    <mergeCell ref="H24:J24"/>
    <mergeCell ref="H25:J25"/>
    <mergeCell ref="H26:J26"/>
    <mergeCell ref="H27:J27"/>
    <mergeCell ref="H16:J16"/>
    <mergeCell ref="H17:J17"/>
    <mergeCell ref="H18:J18"/>
    <mergeCell ref="H19:J19"/>
    <mergeCell ref="H20:J20"/>
    <mergeCell ref="H21:J21"/>
    <mergeCell ref="H9:J9"/>
    <mergeCell ref="H10:J10"/>
    <mergeCell ref="H11:J11"/>
    <mergeCell ref="H12:J12"/>
    <mergeCell ref="H13:J13"/>
    <mergeCell ref="N28:P29"/>
    <mergeCell ref="N26:P27"/>
    <mergeCell ref="N12:P12"/>
    <mergeCell ref="H14:J14"/>
    <mergeCell ref="H15:J15"/>
    <mergeCell ref="N79:P79"/>
    <mergeCell ref="N80:P81"/>
    <mergeCell ref="N68:P68"/>
    <mergeCell ref="N20:P20"/>
    <mergeCell ref="N24:P25"/>
    <mergeCell ref="N77:P77"/>
    <mergeCell ref="N22:P23"/>
    <mergeCell ref="N63:P64"/>
    <mergeCell ref="N30:P30"/>
    <mergeCell ref="N31:P31"/>
    <mergeCell ref="N71:P71"/>
    <mergeCell ref="N65:P65"/>
    <mergeCell ref="N40:P41"/>
    <mergeCell ref="N38:P39"/>
    <mergeCell ref="N15:P15"/>
    <mergeCell ref="N21:P21"/>
    <mergeCell ref="N37:P37"/>
    <mergeCell ref="N35:P36"/>
    <mergeCell ref="N33:P34"/>
    <mergeCell ref="C85:J85"/>
    <mergeCell ref="N67:P67"/>
    <mergeCell ref="N17:P17"/>
    <mergeCell ref="N18:P18"/>
    <mergeCell ref="N16:P16"/>
    <mergeCell ref="D4:J4"/>
    <mergeCell ref="C82:J82"/>
    <mergeCell ref="D5:J5"/>
    <mergeCell ref="N61:P62"/>
    <mergeCell ref="N19:P19"/>
    <mergeCell ref="N50:P50"/>
    <mergeCell ref="N76:P76"/>
    <mergeCell ref="N75:P75"/>
    <mergeCell ref="N74:P74"/>
    <mergeCell ref="N69:P69"/>
    <mergeCell ref="N66:P66"/>
    <mergeCell ref="N70:P70"/>
    <mergeCell ref="N78:P78"/>
    <mergeCell ref="N51:P52"/>
    <mergeCell ref="N53:P54"/>
    <mergeCell ref="N55:P56"/>
    <mergeCell ref="N57:P58"/>
    <mergeCell ref="N72:P72"/>
    <mergeCell ref="N73:P73"/>
    <mergeCell ref="N3:P3"/>
    <mergeCell ref="N6:P6"/>
    <mergeCell ref="N9:P9"/>
    <mergeCell ref="N10:P10"/>
    <mergeCell ref="N5:P5"/>
    <mergeCell ref="N4:P4"/>
    <mergeCell ref="C3:J3"/>
    <mergeCell ref="N11:P11"/>
    <mergeCell ref="N14:P14"/>
    <mergeCell ref="N13:P13"/>
    <mergeCell ref="D6:J6"/>
    <mergeCell ref="D7:J7"/>
    <mergeCell ref="N32:P32"/>
    <mergeCell ref="D51:D52"/>
    <mergeCell ref="N42:P42"/>
    <mergeCell ref="N43:P45"/>
    <mergeCell ref="N46:P47"/>
    <mergeCell ref="N48:P49"/>
    <mergeCell ref="N59:P60"/>
    <mergeCell ref="H46:J46"/>
    <mergeCell ref="H47:J47"/>
    <mergeCell ref="H48:J48"/>
    <mergeCell ref="H49:J49"/>
    <mergeCell ref="D40:D41"/>
    <mergeCell ref="D43:D45"/>
    <mergeCell ref="H36:J36"/>
    <mergeCell ref="H37:J37"/>
    <mergeCell ref="H38:J38"/>
    <mergeCell ref="H39:J39"/>
    <mergeCell ref="D59:D60"/>
  </mergeCells>
  <conditionalFormatting sqref="E10:F13">
    <cfRule type="cellIs" dxfId="4" priority="5" stopIfTrue="1" operator="notBetween">
      <formula>0</formula>
      <formula>999999999</formula>
    </cfRule>
  </conditionalFormatting>
  <conditionalFormatting sqref="F17">
    <cfRule type="expression" dxfId="3" priority="3" stopIfTrue="1">
      <formula>IF(F17+#REF!=F15,0,1)</formula>
    </cfRule>
  </conditionalFormatting>
  <conditionalFormatting sqref="F16">
    <cfRule type="expression" dxfId="2" priority="4" stopIfTrue="1">
      <formula>IF(F16+#REF!=F15,0,1)</formula>
    </cfRule>
  </conditionalFormatting>
  <conditionalFormatting sqref="E17">
    <cfRule type="expression" dxfId="1" priority="1" stopIfTrue="1">
      <formula>IF(E17+#REF!=E15,0,1)</formula>
    </cfRule>
  </conditionalFormatting>
  <conditionalFormatting sqref="E16">
    <cfRule type="expression" dxfId="0" priority="2" stopIfTrue="1">
      <formula>IF(E16+#REF!=E15,0,1)</formula>
    </cfRule>
  </conditionalFormatting>
  <pageMargins left="0.70866141732283472" right="0.70866141732283472" top="0.78740157480314965" bottom="0.78740157480314965" header="0.31496062992125984" footer="0.31496062992125984"/>
  <pageSetup paperSize="9" scale="55" fitToWidth="0" fitToHeight="2"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Indikatorenbericht</vt:lpstr>
      <vt:lpstr>Indikatorenbericht!Druckbereich</vt:lpstr>
    </vt:vector>
  </TitlesOfParts>
  <Company>Aussenministerium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peter.petrus</dc:creator>
  <cp:lastModifiedBy>User</cp:lastModifiedBy>
  <cp:lastPrinted>2022-03-01T12:47:16Z</cp:lastPrinted>
  <dcterms:created xsi:type="dcterms:W3CDTF">2018-04-16T09:43:52Z</dcterms:created>
  <dcterms:modified xsi:type="dcterms:W3CDTF">2022-03-14T16:31:05Z</dcterms:modified>
</cp:coreProperties>
</file>