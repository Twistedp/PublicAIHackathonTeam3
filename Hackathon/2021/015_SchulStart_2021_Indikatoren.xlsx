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H:\BKA\Sektion_II\II_3\3_NATIONAL\13_Monitoring Indikatoren\Hackaton Daten\2021\"/>
    </mc:Choice>
  </mc:AlternateContent>
  <xr:revisionPtr revIDLastSave="0" documentId="13_ncr:1_{130AFCEC-EBE7-4FB1-8A0A-E9B72A7D141D}" xr6:coauthVersionLast="47" xr6:coauthVersionMax="47" xr10:uidLastSave="{00000000-0000-0000-0000-000000000000}"/>
  <bookViews>
    <workbookView xWindow="-38510" yWindow="-110" windowWidth="19420" windowHeight="10300" xr2:uid="{00000000-000D-0000-FFFF-FFFF00000000}"/>
  </bookViews>
  <sheets>
    <sheet name="Indikatoren" sheetId="1" r:id="rId1"/>
  </sheets>
  <externalReferences>
    <externalReference r:id="rId2"/>
    <externalReference r:id="rId3"/>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0">Indikatoren!$B$2:$K$87,Indikatoren!$B$89:$K$103,Indikatoren!$M$2:$Q$87</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#REF!</definedName>
    <definedName name="Sprache_und_Bildung">Indikatoren!$D$7</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0" i="1" l="1"/>
  <c r="E56" i="1" l="1"/>
  <c r="E36" i="1" l="1"/>
  <c r="J92" i="1"/>
  <c r="E57" i="1" l="1"/>
</calcChain>
</file>

<file path=xl/sharedStrings.xml><?xml version="1.0" encoding="utf-8"?>
<sst xmlns="http://schemas.openxmlformats.org/spreadsheetml/2006/main" count="208" uniqueCount="150">
  <si>
    <t xml:space="preserve"> </t>
  </si>
  <si>
    <t>Kinder und Jugendliche</t>
  </si>
  <si>
    <t>Frauen</t>
  </si>
  <si>
    <t>Deutsch</t>
  </si>
  <si>
    <t>Arbeitsmarkt</t>
  </si>
  <si>
    <t>Wohnen und die regionale Dimension der Integration</t>
  </si>
  <si>
    <t>Sport und Freizeit</t>
  </si>
  <si>
    <t>Interkultureller Dialog</t>
  </si>
  <si>
    <t>Gesundheit und Soziales</t>
  </si>
  <si>
    <t>Rechtsstaat und Werte</t>
  </si>
  <si>
    <t>Arbeit und Beruf</t>
  </si>
  <si>
    <t>Sprache und Bildung</t>
  </si>
  <si>
    <t>Anzahl der durchgeführten Studien / Forschungsarbeiten</t>
  </si>
  <si>
    <t>Anzahl der Beratungs-/Betreuungsstunden</t>
  </si>
  <si>
    <t>Projektträger</t>
  </si>
  <si>
    <t>Projektnummer</t>
  </si>
  <si>
    <t>- davon Asylberechtigte</t>
  </si>
  <si>
    <t>- davon subsidiär Schutzberechtigte</t>
  </si>
  <si>
    <t>- davon unbegleitete minderjährige Flüchtlinge</t>
  </si>
  <si>
    <t>- davon Frauen</t>
  </si>
  <si>
    <t>- davon für Personen unter 18 Jahre</t>
  </si>
  <si>
    <t>- davon Personen unter 18 Jahre</t>
  </si>
  <si>
    <t>Anzahl der Sprachkurse (=Summe Alphabetisierung bis B2)</t>
  </si>
  <si>
    <t>Anzahl Kursplätze gesamt (=Summe Alphabetisierung bis B2)</t>
  </si>
  <si>
    <t>Beschreibung</t>
  </si>
  <si>
    <t>Anteil positiv absolvierter Abschlussprüfungen in Prozent</t>
  </si>
  <si>
    <t>Anzahl der Beratungs-/Betreuungs-/Coachingstunden</t>
  </si>
  <si>
    <t>Anzahl der Informationsveranstaltungen</t>
  </si>
  <si>
    <t>- mit Anzahl Teilnehmerinnen und Teilnehmer</t>
  </si>
  <si>
    <t>Anzahl der Hausbesuche</t>
  </si>
  <si>
    <t>Ausfüllhilfe</t>
  </si>
  <si>
    <t>- von diesen geleistete Gesamtstunden</t>
  </si>
  <si>
    <t>Anzahl der beratenen, betreuten oder gecoachten Personen</t>
  </si>
  <si>
    <t>- davon Anzahl A1 Kurse</t>
  </si>
  <si>
    <t>- davon Anzahl A2 Kurse</t>
  </si>
  <si>
    <t>- davon Anzahl B1 Kurse</t>
  </si>
  <si>
    <t>- davon Anzahl B2 Kurse</t>
  </si>
  <si>
    <t>- davon Anzahl Alphabetisierungskurse</t>
  </si>
  <si>
    <t>- davon ÖIF zertifiziert</t>
  </si>
  <si>
    <t>Kapazität an Betreuungsplätzen im Projekt</t>
  </si>
  <si>
    <t>Wie viele Betreuungsplätze bietet ihr Projekt dauerhaft? Diese Angabe ist bei besonders langandauernder Betreuung nötig.</t>
  </si>
  <si>
    <t>Zertifizierte Abschlussprüfungen vorgesehen</t>
  </si>
  <si>
    <t>Anzahl der niederschwelligen Deutschlerntreffen</t>
  </si>
  <si>
    <t>- davon fachsprachliche Deutschkurse</t>
  </si>
  <si>
    <t>Bitte tragen Sie den Wert ohne "%"-Zeichen ein.</t>
  </si>
  <si>
    <t>- mit Anzahl besuchter Familien</t>
  </si>
  <si>
    <t>--- Kursplätze in Alphabetisierung</t>
  </si>
  <si>
    <t>--- Kursplätze in A1</t>
  </si>
  <si>
    <t>--- Kursplätze in A2</t>
  </si>
  <si>
    <t>--- Kursplätze in B1</t>
  </si>
  <si>
    <t>--- Kursplätze in B2</t>
  </si>
  <si>
    <t>--- Kursplätze in fachsprachlichen Deutschkursen</t>
  </si>
  <si>
    <t>Anzahl der beratenen oder betreuten Personen</t>
  </si>
  <si>
    <t>- mit Anzahl Personen</t>
  </si>
  <si>
    <t>--- davon Personen unter 18 Jahre</t>
  </si>
  <si>
    <t>xxx-2021</t>
  </si>
  <si>
    <t>Handlungsfeld</t>
  </si>
  <si>
    <t>Förderschwerpunkt</t>
  </si>
  <si>
    <t>Laufzeit Beginn</t>
  </si>
  <si>
    <t>Laufzeit Ende</t>
  </si>
  <si>
    <t>Burgenland</t>
  </si>
  <si>
    <t>Wien</t>
  </si>
  <si>
    <t>Vorarlberg</t>
  </si>
  <si>
    <t>Tirol</t>
  </si>
  <si>
    <t>Steiermark</t>
  </si>
  <si>
    <t>Salzburg</t>
  </si>
  <si>
    <t>Kärnten</t>
  </si>
  <si>
    <t>Niederösterreich</t>
  </si>
  <si>
    <t>Oberösterreich</t>
  </si>
  <si>
    <t>x</t>
  </si>
  <si>
    <t>Bitte auswählen!</t>
  </si>
  <si>
    <t>Projektschwerpunkt liegt in:</t>
  </si>
  <si>
    <t>- mit Anzahl der Teilnehmerinnen und Teilnehmer, die Eltern betreuter Kinder sind</t>
  </si>
  <si>
    <t>- mit Anzahl betreuter Kinder</t>
  </si>
  <si>
    <t>Bitte geben Sie an, in welchen Bundesländern wie viel Prozent Ihres Projekts stattfinden.</t>
  </si>
  <si>
    <t>Erreichte Personen durch Printmedien</t>
  </si>
  <si>
    <t>Erreichte Personen durch digitale Medien</t>
  </si>
  <si>
    <t>Anzahl der Veranstaltungen, bei denen über das Projekt informiert wird und um Teilnehmerinnen und Teilnehmer geworben oder die Mehrheitsbevölkerung über das Projekt informiert wird.</t>
  </si>
  <si>
    <t>Projekttitel (lang)</t>
  </si>
  <si>
    <t>Die Projektnummer ist nicht durch den Förderungswerber zu  befüllen!</t>
  </si>
  <si>
    <t>Anzahl an Ehrenamtlichen, Buddies, Mentor/innen, Multiplikator/innen, etc.</t>
  </si>
  <si>
    <t>- davon unter 18 Jahre</t>
  </si>
  <si>
    <t>Für den Fall, dass mehrere Familien gleichzeitig eine Maßnahme wahrnehmen, handelt es sich um eine Gruppenberatung/-betreuung.</t>
  </si>
  <si>
    <t>Wie viele Ehrenamtliche, Buddies, Mentor/innen, Multiplikator/innen und andere Freiwillige arbeiten in ihrem Projekt mit?</t>
  </si>
  <si>
    <t>Anzahl der Veranstaltungstunden gesamt</t>
  </si>
  <si>
    <t>Anzahl der Veranstaltungsteilnehmerinnen und -teilnehmer gesamt</t>
  </si>
  <si>
    <t>- mit Anzahl Veranstaltungsteilnehmerinnen und -teilnehmer</t>
  </si>
  <si>
    <t>Kategorie B - Anzahl der Einzelveranstaltungen lang</t>
  </si>
  <si>
    <t>Kategorie C - Anzahl der Veranstaltungen mehrtägig</t>
  </si>
  <si>
    <t>Kategorie D - Anzahl der Konferenzen</t>
  </si>
  <si>
    <t>Veranstaltungen der Kategorie A erfüllen folgende Charakteristika: Einzelveranstaltung zu einem inhaltlichem Thema mit  max. 3 Stunden (z.B. einmaliger Schulbesuch, kurze Veranstaltungen, ...).</t>
  </si>
  <si>
    <t>Die Anzahl der Veranstaltungsteilnehmerinnen und -teilnehmer gesamt wird automatisch aus den in den Kategorien A bis D gemachten Angaben berechnet.</t>
  </si>
  <si>
    <t>Veranstaltungen der Kategorie C erfüllen folgende Charakteristika: mehrtägige Teilveranstaltungen, in Summe mehr als 30 Stunden (z.B. ein Kurs zu einem Thema über ein Semester zu je 2-4 Stunden pro Woche, ein- bis zweiwöchiges Vollzeit-Seminar, ...).</t>
  </si>
  <si>
    <t>Veranstaltungen der Kategorie B erfüllen folgende Charakteristika:  Einzelveranstaltung zu einem inhaltlichen Thema mit mehr als 3 bis max. 8 Stunden (z.B. Workshop, halbtägige Veranstaltungen,...).</t>
  </si>
  <si>
    <t>Tragen Sie die Gesamtzahl an Personen ein, die an den Deutschkursen insgesamt teilnehmen. Wenn eine Person z.B. an einem A1 Kurs teilnimmt und in Folge an einem A2 Kurs, dann ist diese Person nur einmal zu zählen.</t>
  </si>
  <si>
    <t>Anzahl der Unterrichtseinheiten gesamt</t>
  </si>
  <si>
    <t>Anzahl der Deutschkursteilnehmerinnen und -teilnehmer gesamt</t>
  </si>
  <si>
    <t>Tragen Sie die Gesamtzahl der Unterrichtseinheiten sämtlicher Deutschkurse ein. Geben Sie an, wie die Unterrichtseinheiten berechnet werden inklusive wie viele Minuten eine Unterrichtseinheit beträgt.</t>
  </si>
  <si>
    <t>Kategorie A - Anzahl der Einzelveranstaltungen kurz</t>
  </si>
  <si>
    <t>- mit Anzahl der Besucherinnen und Besucher</t>
  </si>
  <si>
    <t>Standort Projektmanagement:</t>
  </si>
  <si>
    <t>Zielzahl</t>
  </si>
  <si>
    <t>Anmerkungen</t>
  </si>
  <si>
    <t>Veranstaltungen der Kategorie D  erfüllen folgende Charakteristika: ein- oder mehrtägige Konferenz (Tagung, Symposium, etc) mit zahlreichen Teilnehmerinnen und Teilnehmer sowie ausgewählten Vortragenden  mit nachvollziehbaren Ergebnissen, wie einem Tagungsband etc.</t>
  </si>
  <si>
    <t>Öffentlicheitsarbeit und Medienreichweite</t>
  </si>
  <si>
    <t>Teilnehmerinnen und Teilnehmer</t>
  </si>
  <si>
    <t>Bereich 1 Veranstaltungen
(keine Informationsveranstaltungen)</t>
  </si>
  <si>
    <t>Bereich 2a Einzelberatung/-betreuung 
(max. 2 Personen)</t>
  </si>
  <si>
    <t>Bereich 2b Gruppenberatung/-betreuung 
(min. 3 Personen)</t>
  </si>
  <si>
    <t>Bereich 2c Familienberatung/-betreuung (1 Familie)</t>
  </si>
  <si>
    <r>
      <t>Bereich 3a Deutschkurse</t>
    </r>
    <r>
      <rPr>
        <b/>
        <sz val="10"/>
        <color indexed="9"/>
        <rFont val="arial"/>
        <family val="2"/>
      </rPr>
      <t xml:space="preserve"> </t>
    </r>
  </si>
  <si>
    <t>Bereich 3b Niederschwellige Deutschlernangebote</t>
  </si>
  <si>
    <t>Bereich 4 Sonstige Indikatoren</t>
  </si>
  <si>
    <t>Diese Kategorie umfasst alle Teilnehmerinnen und Teilnehmer im Projekt, ohne jene Personen, die als Besucherinnen und Besucher unter den Informationsveranstaltungen angegeben sind.</t>
  </si>
  <si>
    <t>- mit Anzahl der Konferenzteilnehmerinnen und -teilnehmer</t>
  </si>
  <si>
    <t>Hierunter fallen z.B. Flyer, Broschüren, inhaltliche Inserate mit Erklärungstext zum Projekt, Berichte in Printmedien über das Projekt, etc.</t>
  </si>
  <si>
    <t>Darunter sind z.B. soziale Medien, die Webseite, Newsletter und andere digitale Maßnahmen zu zählen.</t>
  </si>
  <si>
    <t>Niederschwellige Deutschlernangebote werden unter "Bereich 3b" berücksichtigt.</t>
  </si>
  <si>
    <t>Diese Kategorie umfasst ausschließlich Informationen über das Projekt, welche beispielsweise zur Akquise notwendig sind, um  Teilnehmerinnen und Teilnehmer für das Projekt zu gewinnen oder die Mehrheitsbevölkerung über das Projekt aufzuklären, jedoch nicht die Umsetzung von Projektmaßnahmen.</t>
  </si>
  <si>
    <r>
      <rPr>
        <b/>
        <u/>
        <sz val="11"/>
        <rFont val="Arial"/>
        <family val="2"/>
      </rPr>
      <t xml:space="preserve">Ausfüllhilfe:
</t>
    </r>
    <r>
      <rPr>
        <sz val="11"/>
        <rFont val="Arial"/>
        <family val="2"/>
      </rPr>
      <t xml:space="preserve">
Bitte tragen Sie </t>
    </r>
    <r>
      <rPr>
        <b/>
        <u/>
        <sz val="11"/>
        <rFont val="Arial"/>
        <family val="2"/>
      </rPr>
      <t>ausschließlich Zahlen ohne zusätzlichen Text in die Spalte E</t>
    </r>
    <r>
      <rPr>
        <sz val="11"/>
        <rFont val="Arial"/>
        <family val="2"/>
      </rPr>
      <t xml:space="preserve"> ein. In der Spalte D "Beschreibung" spezifizieren Sie bitte, welche Projektmaßnahmen aus der Projektbeschreibung unter dem jeweiligen Indikator angegeben werden.</t>
    </r>
    <r>
      <rPr>
        <b/>
        <u/>
        <sz val="11"/>
        <rFont val="Arial"/>
        <family val="2"/>
      </rPr>
      <t xml:space="preserve">
</t>
    </r>
    <r>
      <rPr>
        <sz val="10"/>
        <rFont val="Arial"/>
        <family val="2"/>
      </rPr>
      <t xml:space="preserve">
</t>
    </r>
    <r>
      <rPr>
        <sz val="11"/>
        <color theme="0"/>
        <rFont val="Arial"/>
        <family val="2"/>
      </rPr>
      <t xml:space="preserve">Sollten die IST-Zahlen von den SOLL- Zahlen deutlich abweichen, erläutern Sie die Gründe dafür bitte zusätzlich zur Begründungsspalte ausführlich im Endbericht. </t>
    </r>
  </si>
  <si>
    <t>Bitte spezifizieren Sie in der Spalte "Beschreibung" um welches Kursniveau es sich handelt.</t>
  </si>
  <si>
    <t>Sämtliche in der Projektbeschreibung angegebenen Aktivitäten wie Workshops etc, mit Ausnahme von beratende Maßnahmen (unter 2a-2c), Deutschkursangebote (unter 3a-3b)und Studien bzw. Forschungsarbeiten (unter 4), sind im Bereich 2 aufzuzählen. Vermerken Sie in der Spalte D "Beschreibung", die jeweils in der Projektbeschreibung festgehaltene Aktivität.</t>
  </si>
  <si>
    <t>Anzahl der Deutschkurse (Bereich 3a) und niederschwellige Deutschlerntreffen (Bereich 3b) mit Kinderbetreuung</t>
  </si>
  <si>
    <t>Anzahl der Projektteilnehmerinnen und -teilnehmer gesamt</t>
  </si>
  <si>
    <t>Die Gesamtteilnehmerzahl ergibt sich aus den Angaben in den Bereichen 1 bis 4 und wird automatisch berechnet.</t>
  </si>
  <si>
    <t>Bitte spezifizieren Sie, wieviele der unter Bereich 3a Anzahl der Sprachkurse und unter Bereich 3b Anzahl der niederschwelligen Deutschlerntreffen mit Kinderbetreuung stattfinden. Die Anzahl kann die Summe der beiden genannten Angebote nicht übersteigen! Zur Vermeidung von Doppelzählung werden diese nicht in die Anzahl der Sprachkurse (Zeile 57) einberechnet.</t>
  </si>
  <si>
    <t xml:space="preserve">Die Angaben zur Anzahl der Teilnehmerinnen und Teilnehmer, die Eltern betreuter Kinder sind, werden zur Vermeidung von Doppelzählung nicht in die Gesamtzahl der Projektteilnehmerinnen und -teilnehmer gesamt (Zeile 20) einberechnet. </t>
  </si>
  <si>
    <t>Kinder, Jugendliche und Elternarbeit</t>
  </si>
  <si>
    <t>Gemeinde und Identität</t>
  </si>
  <si>
    <r>
      <t xml:space="preserve">Indikatoren 
</t>
    </r>
    <r>
      <rPr>
        <b/>
        <sz val="16"/>
        <color theme="0"/>
        <rFont val="Arial"/>
        <family val="2"/>
      </rPr>
      <t>Nationale Integrationsförderung 2021</t>
    </r>
  </si>
  <si>
    <t>BIM, BOBI, Jobivent in verschiedenen Bezirken, Berufsinformationsstand in migr. Communities</t>
  </si>
  <si>
    <t>Workshops, aufsuchende Beratung, Einzel-Gruppentraining</t>
  </si>
  <si>
    <t>diverse Workshops, Webinare</t>
  </si>
  <si>
    <t>hängt von der weiteren Entwicklung von Corona ab</t>
  </si>
  <si>
    <t>direkt beim Stand</t>
  </si>
  <si>
    <t>Berufsorientierung, Bewerbung, Ausbildungstraining, Gewaltprävention, Antimobbig, Mentaltraining,ChanceKolleg, Kompetenztraining</t>
  </si>
  <si>
    <t>chanceKolleg mit Kinderbetreuung, niederschwelliges Sprachtraining, Bildungsberatung, Information zu heimbasierter Elternarbeit Mentaltrainig; Antimobbing, Gewaltprävention</t>
  </si>
  <si>
    <t>'Berufsorientierung, Bewerbung, Ausbildungstraining, Gewaltprävention, Antimobbig, Mentaltraining,ChanceKolleg, Kompetenztraining</t>
  </si>
  <si>
    <t>aufsuchende Bildungsberatung, Unterstützung bei heimbasierter Elternarbeit bzw. bei autoritativem Erziehungsstil und/oder patriarchalischen Familienverhältnissen</t>
  </si>
  <si>
    <t>Sonntagskrone Journal Schulen, Folder, Flyer, Jahresbericht, Berichterstattung Zeitungen</t>
  </si>
  <si>
    <t>Hompage, Instagram, Facebook, Whatsapp, Mail, Microsoft Teams, Zoom, Webinare</t>
  </si>
  <si>
    <t>Vorträge, Key Note Speaker, Webinare, soziale Netzwerktreffen, Ausbildung PH, Workshops, Jugendtreffs, migr. Communities, Aufsuchen von Hot Spots der Jugendlichen</t>
  </si>
  <si>
    <t>Teamkonferenzen,runder Tisch- Konferenzen mit Schulen, Polizei, Institutionen über KandidatInnen, Soziale Netzwerktreffen</t>
  </si>
  <si>
    <t>chance Kolleg für Frauen mit Kinderbetreuung</t>
  </si>
  <si>
    <t xml:space="preserve">chanceKolleg für Frauen und für  Personen, die bildungsfern sind   </t>
  </si>
  <si>
    <t>Ausbildungs- Bewerbungs- Lern-Sprach-Mentaltraining, Arbeitscoaching, Supervision Buddy, Vermittlung Praktikums/Arbeitsstelle</t>
  </si>
  <si>
    <t xml:space="preserve"> chanceKolleg für außerordentliche SchülerInnen,berufsspezifisches Sprachtraining,Sprach/ Medien/Digital/Kompetenzerwerb, Übersetzung</t>
  </si>
  <si>
    <t>chanceBuddy/FAIRbesserer werden ausgebildet, in Unternehmen und Schulen eingesetzt</t>
  </si>
  <si>
    <t>SchulStart – Begleitprogramm für neu zugewanderte Schulkinder</t>
  </si>
  <si>
    <t>Verein Gemeinsam Wachsen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</si>
</sst>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24" x14ac:knownFonts="1">
    <font>
      <sz val="10"/>
      <name val="Arial"/>
    </font>
    <font>
      <sz val="10"/>
      <name val="Arial"/>
      <family val="2"/>
    </font>
    <font>
      <sz val="10"/>
      <name val="Arial"/>
      <family val="2"/>
    </font>
    <font>
      <b/>
      <u/>
      <sz val="11"/>
      <name val="Arial"/>
      <family val="2"/>
    </font>
    <font>
      <b/>
      <sz val="10"/>
      <name val="Arial"/>
      <family val="2"/>
    </font>
    <font>
      <sz val="11"/>
      <color indexed="8"/>
      <name val="Calibri"/>
      <family val="2"/>
    </font>
    <font>
      <sz val="11"/>
      <color indexed="9"/>
      <name val="Calibri"/>
      <family val="2"/>
    </font>
    <font>
      <b/>
      <sz val="12"/>
      <name val="Arial"/>
      <family val="2"/>
    </font>
    <font>
      <sz val="8"/>
      <name val="Arial"/>
      <family val="2"/>
    </font>
    <font>
      <b/>
      <sz val="8"/>
      <name val="Arial"/>
      <family val="2"/>
    </font>
    <font>
      <sz val="11"/>
      <name val="Arial"/>
      <family val="2"/>
    </font>
    <font>
      <b/>
      <sz val="10"/>
      <color indexed="9"/>
      <name val="arial"/>
      <family val="2"/>
    </font>
    <font>
      <b/>
      <sz val="10"/>
      <color theme="0"/>
      <name val="arial"/>
      <family val="2"/>
    </font>
    <font>
      <b/>
      <sz val="12"/>
      <color theme="0"/>
      <name val="Arial"/>
      <family val="2"/>
    </font>
    <font>
      <sz val="10"/>
      <color rgb="FFDDDDDD"/>
      <name val="Arial"/>
      <family val="2"/>
    </font>
    <font>
      <sz val="10"/>
      <color theme="0"/>
      <name val="Arial"/>
      <family val="2"/>
    </font>
    <font>
      <sz val="10"/>
      <color theme="0" tint="-0.14999847407452621"/>
      <name val="Arial"/>
      <family val="2"/>
    </font>
    <font>
      <b/>
      <sz val="18"/>
      <color theme="0"/>
      <name val="Arial"/>
      <family val="2"/>
    </font>
    <font>
      <b/>
      <sz val="11.5"/>
      <color theme="4" tint="-0.249977111117893"/>
      <name val="Arial"/>
      <family val="2"/>
    </font>
    <font>
      <sz val="11"/>
      <color theme="0"/>
      <name val="Arial"/>
      <family val="2"/>
    </font>
    <font>
      <b/>
      <sz val="10"/>
      <color theme="6" tint="0.79998168889431442"/>
      <name val="Arial"/>
      <family val="2"/>
    </font>
    <font>
      <b/>
      <sz val="12"/>
      <color theme="6" tint="0.79998168889431442"/>
      <name val="Arial"/>
      <family val="2"/>
    </font>
    <font>
      <sz val="8"/>
      <color theme="0"/>
      <name val="Arial"/>
      <family val="2"/>
    </font>
    <font>
      <b/>
      <sz val="16"/>
      <color theme="0"/>
      <name val="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theme="0" tint="-4.9989318521683403E-2"/>
        <bgColor indexed="64"/>
      </patternFill>
    </fill>
    <fill>
      <patternFill patternType="solid">
        <fgColor rgb="FFDDDDDD"/>
        <bgColor indexed="64"/>
      </patternFill>
    </fill>
    <fill>
      <patternFill patternType="solid">
        <fgColor theme="6" tint="0.79998168889431442"/>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8"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3">
    <xf numFmtId="0" fontId="0"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5" borderId="0" applyNumberFormat="0" applyBorder="0" applyAlignment="0" applyProtection="0"/>
    <xf numFmtId="0" fontId="5" fillId="8" borderId="0" applyNumberFormat="0" applyBorder="0" applyAlignment="0" applyProtection="0"/>
    <xf numFmtId="0" fontId="5" fillId="11" borderId="0" applyNumberFormat="0" applyBorder="0" applyAlignment="0" applyProtection="0"/>
    <xf numFmtId="0" fontId="6" fillId="12"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44" fontId="2"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209">
    <xf numFmtId="0" fontId="0" fillId="0" borderId="0" xfId="0"/>
    <xf numFmtId="0" fontId="4" fillId="0" borderId="1" xfId="0" applyFont="1" applyFill="1" applyBorder="1" applyAlignment="1" applyProtection="1">
      <alignment horizontal="left" vertical="center" wrapText="1"/>
      <protection locked="0"/>
    </xf>
    <xf numFmtId="3" fontId="4" fillId="0" borderId="1" xfId="0" applyNumberFormat="1" applyFont="1" applyFill="1" applyBorder="1" applyAlignment="1" applyProtection="1">
      <alignment horizontal="center" vertical="center"/>
      <protection locked="0"/>
    </xf>
    <xf numFmtId="3" fontId="4" fillId="0" borderId="2" xfId="0" applyNumberFormat="1" applyFont="1" applyFill="1" applyBorder="1" applyAlignment="1" applyProtection="1">
      <alignment horizontal="center" vertical="center"/>
      <protection locked="0"/>
    </xf>
    <xf numFmtId="3" fontId="4" fillId="16" borderId="1" xfId="0" applyNumberFormat="1" applyFont="1" applyFill="1" applyBorder="1" applyAlignment="1" applyProtection="1">
      <alignment horizontal="center" vertical="center"/>
      <protection locked="0"/>
    </xf>
    <xf numFmtId="0" fontId="0" fillId="0" borderId="5" xfId="0" applyFill="1" applyBorder="1" applyProtection="1">
      <protection hidden="1"/>
    </xf>
    <xf numFmtId="0" fontId="0" fillId="0" borderId="6" xfId="0" applyFill="1" applyBorder="1" applyProtection="1">
      <protection hidden="1"/>
    </xf>
    <xf numFmtId="0" fontId="0" fillId="0" borderId="7" xfId="0" applyFill="1" applyBorder="1" applyProtection="1">
      <protection hidden="1"/>
    </xf>
    <xf numFmtId="0" fontId="0" fillId="17" borderId="0" xfId="0" applyFill="1" applyProtection="1">
      <protection hidden="1"/>
    </xf>
    <xf numFmtId="0" fontId="0" fillId="0" borderId="8" xfId="0" applyFill="1" applyBorder="1" applyProtection="1">
      <protection hidden="1"/>
    </xf>
    <xf numFmtId="0" fontId="0" fillId="0" borderId="9" xfId="0" applyFill="1" applyBorder="1" applyProtection="1">
      <protection hidden="1"/>
    </xf>
    <xf numFmtId="0" fontId="4" fillId="18" borderId="1" xfId="0" applyFont="1" applyFill="1" applyBorder="1" applyAlignment="1" applyProtection="1">
      <alignment horizontal="left" vertical="center" wrapText="1"/>
      <protection hidden="1"/>
    </xf>
    <xf numFmtId="0" fontId="2" fillId="0" borderId="8" xfId="0" applyFont="1" applyFill="1" applyBorder="1" applyProtection="1">
      <protection hidden="1"/>
    </xf>
    <xf numFmtId="0" fontId="2" fillId="0" borderId="9" xfId="0" applyFont="1" applyFill="1" applyBorder="1" applyProtection="1">
      <protection hidden="1"/>
    </xf>
    <xf numFmtId="0" fontId="2" fillId="17" borderId="0" xfId="0" applyFont="1" applyFill="1" applyProtection="1">
      <protection hidden="1"/>
    </xf>
    <xf numFmtId="0" fontId="4" fillId="20" borderId="1" xfId="0" applyFont="1" applyFill="1" applyBorder="1" applyAlignment="1" applyProtection="1">
      <alignment horizontal="left" vertical="center" wrapText="1"/>
      <protection hidden="1"/>
    </xf>
    <xf numFmtId="0" fontId="4" fillId="20" borderId="1" xfId="0" quotePrefix="1" applyFont="1" applyFill="1" applyBorder="1" applyAlignment="1" applyProtection="1">
      <alignment horizontal="left" vertical="center" wrapText="1"/>
      <protection hidden="1"/>
    </xf>
    <xf numFmtId="3" fontId="4" fillId="21" borderId="1" xfId="0" applyNumberFormat="1" applyFont="1" applyFill="1" applyBorder="1" applyAlignment="1" applyProtection="1">
      <alignment horizontal="center" vertical="center"/>
      <protection hidden="1"/>
    </xf>
    <xf numFmtId="0" fontId="4" fillId="18" borderId="1" xfId="0" quotePrefix="1" applyFont="1" applyFill="1" applyBorder="1" applyAlignment="1" applyProtection="1">
      <alignment horizontal="left" vertical="center" wrapText="1"/>
      <protection hidden="1"/>
    </xf>
    <xf numFmtId="0" fontId="4" fillId="20" borderId="2" xfId="0" quotePrefix="1" applyFont="1" applyFill="1" applyBorder="1" applyAlignment="1" applyProtection="1">
      <alignment horizontal="left" vertical="center" wrapText="1"/>
      <protection hidden="1"/>
    </xf>
    <xf numFmtId="0" fontId="0" fillId="0" borderId="11" xfId="0" applyFill="1" applyBorder="1" applyAlignment="1" applyProtection="1">
      <alignment horizontal="center"/>
      <protection hidden="1"/>
    </xf>
    <xf numFmtId="0" fontId="0" fillId="17" borderId="0" xfId="0" applyFill="1" applyAlignment="1" applyProtection="1">
      <alignment vertical="center"/>
      <protection hidden="1"/>
    </xf>
    <xf numFmtId="0" fontId="0" fillId="0" borderId="11" xfId="0" applyFill="1" applyBorder="1" applyAlignment="1" applyProtection="1">
      <alignment vertical="center"/>
      <protection hidden="1"/>
    </xf>
    <xf numFmtId="0" fontId="0" fillId="0" borderId="13" xfId="0" applyFill="1" applyBorder="1" applyAlignment="1" applyProtection="1">
      <alignment vertical="center"/>
      <protection hidden="1"/>
    </xf>
    <xf numFmtId="0" fontId="0" fillId="0" borderId="12" xfId="0" applyFill="1" applyBorder="1" applyAlignment="1" applyProtection="1">
      <alignment vertical="center"/>
      <protection hidden="1"/>
    </xf>
    <xf numFmtId="0" fontId="2" fillId="17" borderId="0" xfId="0" applyFont="1" applyFill="1" applyAlignment="1" applyProtection="1">
      <alignment vertical="center"/>
      <protection hidden="1"/>
    </xf>
    <xf numFmtId="0" fontId="0" fillId="0" borderId="5" xfId="0" applyFill="1" applyBorder="1" applyAlignment="1" applyProtection="1">
      <alignment vertical="center"/>
      <protection hidden="1"/>
    </xf>
    <xf numFmtId="0" fontId="0" fillId="0" borderId="6" xfId="0" applyFill="1" applyBorder="1" applyAlignment="1" applyProtection="1">
      <alignment vertical="center"/>
      <protection hidden="1"/>
    </xf>
    <xf numFmtId="0" fontId="0" fillId="0" borderId="8" xfId="0" applyFill="1" applyBorder="1" applyAlignment="1" applyProtection="1">
      <alignment vertical="center"/>
      <protection hidden="1"/>
    </xf>
    <xf numFmtId="0" fontId="14" fillId="17" borderId="0" xfId="0" applyFont="1" applyFill="1" applyAlignment="1" applyProtection="1">
      <alignment vertical="center"/>
      <protection hidden="1"/>
    </xf>
    <xf numFmtId="0" fontId="2" fillId="22" borderId="11" xfId="0" applyFont="1" applyFill="1" applyBorder="1" applyAlignment="1" applyProtection="1">
      <alignment vertical="center"/>
      <protection hidden="1"/>
    </xf>
    <xf numFmtId="0" fontId="2" fillId="22" borderId="13" xfId="0" applyFont="1" applyFill="1" applyBorder="1" applyAlignment="1" applyProtection="1">
      <alignment vertical="center"/>
      <protection hidden="1"/>
    </xf>
    <xf numFmtId="1" fontId="2" fillId="17" borderId="0" xfId="0" applyNumberFormat="1" applyFont="1" applyFill="1" applyAlignment="1" applyProtection="1">
      <alignment vertical="center"/>
      <protection hidden="1"/>
    </xf>
    <xf numFmtId="44" fontId="2" fillId="17" borderId="0" xfId="0" applyNumberFormat="1" applyFont="1" applyFill="1" applyAlignment="1" applyProtection="1">
      <alignment vertical="center"/>
      <protection hidden="1"/>
    </xf>
    <xf numFmtId="44" fontId="0" fillId="17" borderId="0" xfId="0" applyNumberFormat="1" applyFill="1" applyAlignment="1" applyProtection="1">
      <alignment vertical="center"/>
      <protection hidden="1"/>
    </xf>
    <xf numFmtId="0" fontId="4" fillId="16" borderId="1" xfId="0" quotePrefix="1" applyFont="1" applyFill="1" applyBorder="1" applyAlignment="1" applyProtection="1">
      <alignment horizontal="left" vertical="center" wrapText="1"/>
      <protection locked="0"/>
    </xf>
    <xf numFmtId="0" fontId="4" fillId="0" borderId="1" xfId="0" quotePrefix="1" applyFont="1" applyFill="1" applyBorder="1" applyAlignment="1" applyProtection="1">
      <alignment horizontal="left" vertical="center" wrapText="1"/>
      <protection locked="0"/>
    </xf>
    <xf numFmtId="0" fontId="4" fillId="16" borderId="2" xfId="0" quotePrefix="1" applyFont="1" applyFill="1" applyBorder="1" applyAlignment="1" applyProtection="1">
      <alignment horizontal="left" vertical="center" wrapText="1"/>
      <protection locked="0"/>
    </xf>
    <xf numFmtId="3" fontId="4" fillId="16" borderId="2" xfId="0" applyNumberFormat="1" applyFont="1" applyFill="1" applyBorder="1" applyAlignment="1" applyProtection="1">
      <alignment horizontal="center" vertical="center"/>
      <protection locked="0"/>
    </xf>
    <xf numFmtId="0" fontId="4" fillId="18" borderId="2" xfId="0" applyFont="1" applyFill="1" applyBorder="1" applyAlignment="1" applyProtection="1">
      <alignment horizontal="left" vertical="center" wrapText="1"/>
      <protection hidden="1"/>
    </xf>
    <xf numFmtId="0" fontId="15" fillId="0" borderId="4" xfId="0" applyFont="1" applyFill="1" applyBorder="1" applyProtection="1">
      <protection hidden="1"/>
    </xf>
    <xf numFmtId="0" fontId="16" fillId="23" borderId="0" xfId="0" applyFont="1" applyFill="1" applyProtection="1">
      <protection hidden="1"/>
    </xf>
    <xf numFmtId="9" fontId="7" fillId="22" borderId="3" xfId="0" applyNumberFormat="1" applyFont="1" applyFill="1" applyBorder="1" applyAlignment="1" applyProtection="1">
      <alignment horizontal="center" vertical="center"/>
      <protection locked="0"/>
    </xf>
    <xf numFmtId="9" fontId="7" fillId="22" borderId="1" xfId="0" applyNumberFormat="1" applyFont="1" applyFill="1" applyBorder="1" applyAlignment="1" applyProtection="1">
      <alignment horizontal="center" vertical="center"/>
      <protection locked="0"/>
    </xf>
    <xf numFmtId="0" fontId="4" fillId="25" borderId="1" xfId="0" applyFont="1" applyFill="1" applyBorder="1" applyAlignment="1" applyProtection="1">
      <alignment horizontal="left" vertical="center" wrapText="1"/>
      <protection hidden="1"/>
    </xf>
    <xf numFmtId="0" fontId="4" fillId="0" borderId="4" xfId="0" applyFont="1" applyFill="1" applyBorder="1" applyAlignment="1" applyProtection="1">
      <alignment horizontal="left" vertical="center" wrapText="1"/>
      <protection locked="0"/>
    </xf>
    <xf numFmtId="0" fontId="20" fillId="18" borderId="1" xfId="0" applyFont="1" applyFill="1" applyBorder="1" applyAlignment="1" applyProtection="1">
      <alignment horizontal="left" vertical="center" wrapText="1"/>
      <protection hidden="1"/>
    </xf>
    <xf numFmtId="0" fontId="15" fillId="0" borderId="6" xfId="0" applyFont="1" applyFill="1" applyBorder="1" applyProtection="1">
      <protection hidden="1"/>
    </xf>
    <xf numFmtId="0" fontId="15" fillId="17" borderId="0" xfId="0" applyFont="1" applyFill="1" applyAlignment="1" applyProtection="1">
      <alignment vertical="center"/>
      <protection hidden="1"/>
    </xf>
    <xf numFmtId="0" fontId="15" fillId="0" borderId="6" xfId="0" applyFont="1" applyFill="1" applyBorder="1" applyAlignment="1" applyProtection="1">
      <alignment vertical="center"/>
      <protection hidden="1"/>
    </xf>
    <xf numFmtId="0" fontId="15" fillId="0" borderId="13" xfId="0" applyFont="1" applyFill="1" applyBorder="1" applyAlignment="1" applyProtection="1">
      <alignment vertical="center"/>
      <protection hidden="1"/>
    </xf>
    <xf numFmtId="0" fontId="15" fillId="22" borderId="13" xfId="0" applyFont="1" applyFill="1" applyBorder="1" applyAlignment="1" applyProtection="1">
      <alignment vertical="center"/>
      <protection hidden="1"/>
    </xf>
    <xf numFmtId="1" fontId="15" fillId="17" borderId="0" xfId="0" applyNumberFormat="1" applyFont="1" applyFill="1" applyAlignment="1" applyProtection="1">
      <alignment vertical="center"/>
      <protection hidden="1"/>
    </xf>
    <xf numFmtId="44" fontId="15" fillId="17" borderId="0" xfId="0" applyNumberFormat="1" applyFont="1" applyFill="1" applyAlignment="1" applyProtection="1">
      <alignment vertical="center"/>
      <protection hidden="1"/>
    </xf>
    <xf numFmtId="0" fontId="15" fillId="17" borderId="0" xfId="0" applyFont="1" applyFill="1" applyProtection="1">
      <protection hidden="1"/>
    </xf>
    <xf numFmtId="0" fontId="13" fillId="19" borderId="2" xfId="0" applyFont="1" applyFill="1" applyBorder="1" applyAlignment="1" applyProtection="1">
      <alignment vertical="center"/>
      <protection hidden="1"/>
    </xf>
    <xf numFmtId="0" fontId="13" fillId="19" borderId="2" xfId="0" applyFont="1" applyFill="1" applyBorder="1" applyAlignment="1" applyProtection="1">
      <alignment vertical="center" wrapText="1"/>
      <protection hidden="1"/>
    </xf>
    <xf numFmtId="0" fontId="13" fillId="19" borderId="1" xfId="0" applyFont="1" applyFill="1" applyBorder="1" applyAlignment="1" applyProtection="1">
      <alignment vertical="center" wrapText="1"/>
      <protection hidden="1"/>
    </xf>
    <xf numFmtId="0" fontId="13" fillId="19" borderId="1" xfId="0" applyFont="1" applyFill="1" applyBorder="1" applyAlignment="1" applyProtection="1">
      <alignment vertical="center"/>
      <protection hidden="1"/>
    </xf>
    <xf numFmtId="0" fontId="4" fillId="16" borderId="4" xfId="0" applyFont="1" applyFill="1" applyBorder="1" applyAlignment="1" applyProtection="1">
      <alignment vertical="center" wrapText="1"/>
      <protection locked="0"/>
    </xf>
    <xf numFmtId="0" fontId="4" fillId="16" borderId="15" xfId="0" applyFont="1" applyFill="1" applyBorder="1" applyAlignment="1" applyProtection="1">
      <alignment vertical="center" wrapText="1"/>
      <protection locked="0"/>
    </xf>
    <xf numFmtId="0" fontId="2" fillId="22" borderId="8" xfId="0" applyFont="1" applyFill="1" applyBorder="1" applyProtection="1">
      <protection hidden="1"/>
    </xf>
    <xf numFmtId="0" fontId="2" fillId="22" borderId="9" xfId="0" applyFont="1" applyFill="1" applyBorder="1" applyProtection="1">
      <protection hidden="1"/>
    </xf>
    <xf numFmtId="0" fontId="2" fillId="22" borderId="0" xfId="0" applyFont="1" applyFill="1" applyProtection="1">
      <protection hidden="1"/>
    </xf>
    <xf numFmtId="0" fontId="18" fillId="19" borderId="5" xfId="0" applyFont="1" applyFill="1" applyBorder="1" applyAlignment="1" applyProtection="1">
      <alignment vertical="center"/>
      <protection hidden="1"/>
    </xf>
    <xf numFmtId="0" fontId="18" fillId="19" borderId="6" xfId="0" applyFont="1" applyFill="1" applyBorder="1" applyAlignment="1" applyProtection="1">
      <alignment vertical="center"/>
      <protection hidden="1"/>
    </xf>
    <xf numFmtId="0" fontId="18" fillId="19" borderId="8" xfId="0" applyFont="1" applyFill="1" applyBorder="1" applyAlignment="1" applyProtection="1">
      <alignment vertical="center"/>
      <protection hidden="1"/>
    </xf>
    <xf numFmtId="0" fontId="18" fillId="19" borderId="0" xfId="0" applyFont="1" applyFill="1" applyBorder="1" applyAlignment="1" applyProtection="1">
      <alignment vertical="center"/>
      <protection hidden="1"/>
    </xf>
    <xf numFmtId="0" fontId="18" fillId="19" borderId="11" xfId="0" applyFont="1" applyFill="1" applyBorder="1" applyAlignment="1" applyProtection="1">
      <alignment vertical="center"/>
      <protection hidden="1"/>
    </xf>
    <xf numFmtId="0" fontId="18" fillId="19" borderId="13" xfId="0" applyFont="1" applyFill="1" applyBorder="1" applyAlignment="1" applyProtection="1">
      <alignment vertical="center"/>
      <protection hidden="1"/>
    </xf>
    <xf numFmtId="0" fontId="13" fillId="19" borderId="11" xfId="0" applyFont="1" applyFill="1" applyBorder="1" applyAlignment="1" applyProtection="1">
      <alignment vertical="center" wrapText="1"/>
      <protection hidden="1"/>
    </xf>
    <xf numFmtId="0" fontId="18" fillId="19" borderId="7" xfId="0" applyFont="1" applyFill="1" applyBorder="1" applyAlignment="1" applyProtection="1">
      <alignment vertical="center"/>
      <protection hidden="1"/>
    </xf>
    <xf numFmtId="0" fontId="18" fillId="19" borderId="9" xfId="0" applyFont="1" applyFill="1" applyBorder="1" applyAlignment="1" applyProtection="1">
      <alignment vertical="center"/>
      <protection hidden="1"/>
    </xf>
    <xf numFmtId="0" fontId="18" fillId="19" borderId="12" xfId="0" applyFont="1" applyFill="1" applyBorder="1" applyAlignment="1" applyProtection="1">
      <alignment vertical="center"/>
      <protection hidden="1"/>
    </xf>
    <xf numFmtId="0" fontId="12" fillId="19" borderId="2" xfId="0" applyFont="1" applyFill="1" applyBorder="1" applyAlignment="1" applyProtection="1">
      <alignment horizontal="center" vertical="center"/>
      <protection hidden="1"/>
    </xf>
    <xf numFmtId="0" fontId="12" fillId="19" borderId="11" xfId="0" applyFont="1" applyFill="1" applyBorder="1" applyAlignment="1" applyProtection="1">
      <alignment horizontal="center" vertical="center"/>
      <protection hidden="1"/>
    </xf>
    <xf numFmtId="0" fontId="4" fillId="16" borderId="1" xfId="0" quotePrefix="1" applyFont="1" applyFill="1" applyBorder="1" applyAlignment="1" applyProtection="1">
      <alignment horizontal="center" vertical="center" wrapText="1"/>
      <protection locked="0"/>
    </xf>
    <xf numFmtId="0" fontId="4" fillId="16" borderId="1" xfId="0" applyFont="1" applyFill="1" applyBorder="1" applyAlignment="1" applyProtection="1">
      <alignment horizontal="left" vertical="center" wrapText="1"/>
      <protection locked="0"/>
    </xf>
    <xf numFmtId="0" fontId="0" fillId="17" borderId="0" xfId="0" applyFill="1" applyProtection="1">
      <protection locked="0" hidden="1"/>
    </xf>
    <xf numFmtId="0" fontId="0" fillId="22" borderId="9" xfId="0" applyFill="1" applyBorder="1" applyProtection="1">
      <protection hidden="1"/>
    </xf>
    <xf numFmtId="0" fontId="15" fillId="0" borderId="7" xfId="0" applyFont="1" applyFill="1" applyBorder="1" applyProtection="1">
      <protection hidden="1"/>
    </xf>
    <xf numFmtId="0" fontId="15" fillId="0" borderId="9" xfId="0" applyFont="1" applyFill="1" applyBorder="1" applyProtection="1">
      <protection hidden="1"/>
    </xf>
    <xf numFmtId="0" fontId="15" fillId="22" borderId="0" xfId="0" applyFont="1" applyFill="1" applyProtection="1">
      <protection hidden="1"/>
    </xf>
    <xf numFmtId="0" fontId="15" fillId="0" borderId="12" xfId="0" applyFont="1" applyFill="1" applyBorder="1" applyAlignment="1" applyProtection="1">
      <alignment horizontal="center"/>
      <protection hidden="1"/>
    </xf>
    <xf numFmtId="0" fontId="15" fillId="0" borderId="7" xfId="0" applyFont="1" applyFill="1" applyBorder="1" applyAlignment="1" applyProtection="1">
      <alignment vertical="center"/>
      <protection hidden="1"/>
    </xf>
    <xf numFmtId="0" fontId="15" fillId="0" borderId="9" xfId="0" applyFont="1" applyFill="1" applyBorder="1" applyAlignment="1" applyProtection="1">
      <alignment vertical="center"/>
      <protection hidden="1"/>
    </xf>
    <xf numFmtId="0" fontId="15" fillId="0" borderId="12" xfId="0" applyFont="1" applyFill="1" applyBorder="1" applyAlignment="1" applyProtection="1">
      <alignment vertical="center"/>
      <protection hidden="1"/>
    </xf>
    <xf numFmtId="0" fontId="15" fillId="22" borderId="12" xfId="0" applyFont="1" applyFill="1" applyBorder="1" applyAlignment="1" applyProtection="1">
      <alignment vertical="center"/>
      <protection hidden="1"/>
    </xf>
    <xf numFmtId="0" fontId="16" fillId="17" borderId="0" xfId="0" applyFont="1" applyFill="1" applyProtection="1">
      <protection hidden="1"/>
    </xf>
    <xf numFmtId="0" fontId="16" fillId="17" borderId="4" xfId="0" applyFont="1" applyFill="1" applyBorder="1" applyProtection="1">
      <protection hidden="1"/>
    </xf>
    <xf numFmtId="0" fontId="16" fillId="17" borderId="0" xfId="0" applyFont="1" applyFill="1" applyAlignment="1" applyProtection="1">
      <alignment vertical="center"/>
      <protection hidden="1"/>
    </xf>
    <xf numFmtId="14" fontId="7" fillId="22" borderId="2" xfId="0" applyNumberFormat="1" applyFont="1" applyFill="1" applyBorder="1" applyAlignment="1" applyProtection="1">
      <alignment vertical="center" wrapText="1"/>
      <protection locked="0"/>
    </xf>
    <xf numFmtId="0" fontId="4" fillId="16" borderId="1" xfId="0" applyFont="1" applyFill="1" applyBorder="1" applyAlignment="1" applyProtection="1">
      <alignment horizontal="left" vertical="center" wrapText="1"/>
      <protection locked="0"/>
    </xf>
    <xf numFmtId="0" fontId="4" fillId="0" borderId="14" xfId="0" applyFont="1" applyFill="1" applyBorder="1" applyAlignment="1" applyProtection="1">
      <alignment horizontal="left" vertical="center" wrapText="1"/>
      <protection locked="0"/>
    </xf>
    <xf numFmtId="0" fontId="4" fillId="0" borderId="15" xfId="0" applyFont="1" applyFill="1" applyBorder="1" applyAlignment="1" applyProtection="1">
      <alignment horizontal="left" vertical="center" wrapText="1"/>
      <protection locked="0"/>
    </xf>
    <xf numFmtId="0" fontId="4" fillId="16" borderId="14" xfId="0" applyFont="1" applyFill="1" applyBorder="1" applyAlignment="1" applyProtection="1">
      <alignment horizontal="left" vertical="center" wrapText="1"/>
      <protection locked="0"/>
    </xf>
    <xf numFmtId="0" fontId="4" fillId="16" borderId="15" xfId="0" applyFont="1" applyFill="1" applyBorder="1" applyAlignment="1" applyProtection="1">
      <alignment horizontal="left" vertical="center" wrapText="1"/>
      <protection locked="0"/>
    </xf>
    <xf numFmtId="0" fontId="4" fillId="16" borderId="14" xfId="0" quotePrefix="1" applyFont="1" applyFill="1" applyBorder="1" applyAlignment="1" applyProtection="1">
      <alignment horizontal="left" vertical="center" wrapText="1"/>
      <protection locked="0"/>
    </xf>
    <xf numFmtId="0" fontId="4" fillId="16" borderId="15" xfId="0" quotePrefix="1" applyFont="1" applyFill="1" applyBorder="1" applyAlignment="1" applyProtection="1">
      <alignment horizontal="left" vertical="center" wrapText="1"/>
      <protection locked="0"/>
    </xf>
    <xf numFmtId="0" fontId="4" fillId="0" borderId="14" xfId="0" quotePrefix="1" applyFont="1" applyFill="1" applyBorder="1" applyAlignment="1" applyProtection="1">
      <alignment horizontal="left" vertical="center" wrapText="1"/>
      <protection locked="0"/>
    </xf>
    <xf numFmtId="0" fontId="4" fillId="0" borderId="15" xfId="0" quotePrefix="1" applyFont="1" applyFill="1" applyBorder="1" applyAlignment="1" applyProtection="1">
      <alignment horizontal="left" vertical="center" wrapText="1"/>
      <protection locked="0"/>
    </xf>
    <xf numFmtId="0" fontId="1" fillId="0" borderId="2" xfId="0"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1" fillId="16" borderId="2" xfId="0" applyFont="1" applyFill="1" applyBorder="1" applyAlignment="1" applyProtection="1">
      <alignment horizontal="center" vertical="center" wrapText="1"/>
      <protection locked="0"/>
    </xf>
    <xf numFmtId="0" fontId="1" fillId="16" borderId="3" xfId="0" applyFont="1" applyFill="1" applyBorder="1" applyAlignment="1" applyProtection="1">
      <alignment horizontal="center" vertical="center" wrapText="1"/>
      <protection locked="0"/>
    </xf>
    <xf numFmtId="0" fontId="4" fillId="0" borderId="1" xfId="0" quotePrefix="1" applyFont="1" applyFill="1" applyBorder="1" applyAlignment="1" applyProtection="1">
      <alignment horizontal="center" vertical="center" wrapText="1"/>
      <protection locked="0"/>
    </xf>
    <xf numFmtId="0" fontId="4" fillId="16" borderId="1" xfId="0" quotePrefix="1" applyFont="1" applyFill="1" applyBorder="1" applyAlignment="1" applyProtection="1">
      <alignment horizontal="center" vertical="center" wrapText="1"/>
      <protection locked="0"/>
    </xf>
    <xf numFmtId="0" fontId="4" fillId="0" borderId="14" xfId="0" quotePrefix="1" applyFont="1" applyFill="1" applyBorder="1" applyAlignment="1" applyProtection="1">
      <alignment horizontal="center" vertical="center" wrapText="1"/>
      <protection locked="0"/>
    </xf>
    <xf numFmtId="0" fontId="4" fillId="0" borderId="15" xfId="0" quotePrefix="1" applyFont="1" applyFill="1" applyBorder="1" applyAlignment="1" applyProtection="1">
      <alignment horizontal="center" vertical="center" wrapText="1"/>
      <protection locked="0"/>
    </xf>
    <xf numFmtId="0" fontId="4" fillId="0" borderId="1" xfId="0" applyFont="1" applyFill="1" applyBorder="1" applyAlignment="1" applyProtection="1">
      <alignment horizontal="center" vertical="center" wrapText="1"/>
      <protection locked="0"/>
    </xf>
    <xf numFmtId="0" fontId="4" fillId="16" borderId="4" xfId="0" applyFont="1" applyFill="1" applyBorder="1" applyAlignment="1" applyProtection="1">
      <alignment horizontal="center" vertical="center" wrapText="1"/>
      <protection locked="0"/>
    </xf>
    <xf numFmtId="0" fontId="4" fillId="16" borderId="15" xfId="0" applyFont="1" applyFill="1" applyBorder="1" applyAlignment="1" applyProtection="1">
      <alignment horizontal="center" vertical="center" wrapText="1"/>
      <protection locked="0"/>
    </xf>
    <xf numFmtId="0" fontId="4" fillId="0" borderId="14" xfId="0" applyFont="1" applyFill="1" applyBorder="1" applyAlignment="1" applyProtection="1">
      <alignment horizontal="center" vertical="center" wrapText="1"/>
      <protection locked="0"/>
    </xf>
    <xf numFmtId="0" fontId="4" fillId="0" borderId="4" xfId="0" applyFont="1" applyFill="1" applyBorder="1" applyAlignment="1" applyProtection="1">
      <alignment horizontal="center" vertical="center" wrapText="1"/>
      <protection locked="0"/>
    </xf>
    <xf numFmtId="0" fontId="4" fillId="0" borderId="15" xfId="0" applyFont="1" applyFill="1" applyBorder="1" applyAlignment="1" applyProtection="1">
      <alignment horizontal="center" vertical="center" wrapText="1"/>
      <protection locked="0"/>
    </xf>
    <xf numFmtId="0" fontId="12" fillId="19" borderId="2" xfId="0" applyFont="1" applyFill="1" applyBorder="1" applyAlignment="1" applyProtection="1">
      <alignment horizontal="center" vertical="center"/>
      <protection hidden="1"/>
    </xf>
    <xf numFmtId="0" fontId="12" fillId="19" borderId="3" xfId="0" applyFont="1" applyFill="1" applyBorder="1" applyAlignment="1" applyProtection="1">
      <alignment horizontal="center" vertical="center"/>
      <protection hidden="1"/>
    </xf>
    <xf numFmtId="0" fontId="2" fillId="0" borderId="2" xfId="0" applyFont="1" applyFill="1" applyBorder="1" applyAlignment="1" applyProtection="1">
      <alignment horizontal="left" vertical="center"/>
      <protection hidden="1"/>
    </xf>
    <xf numFmtId="0" fontId="2" fillId="0" borderId="10" xfId="0" applyFont="1" applyFill="1" applyBorder="1" applyAlignment="1" applyProtection="1">
      <alignment horizontal="left" vertical="center"/>
      <protection hidden="1"/>
    </xf>
    <xf numFmtId="0" fontId="2" fillId="0" borderId="3" xfId="0" applyFont="1" applyFill="1" applyBorder="1" applyAlignment="1" applyProtection="1">
      <alignment horizontal="left" vertical="center"/>
      <protection hidden="1"/>
    </xf>
    <xf numFmtId="0" fontId="1" fillId="0" borderId="1" xfId="0" applyFont="1" applyFill="1" applyBorder="1" applyAlignment="1" applyProtection="1">
      <alignment horizontal="left" vertical="center" wrapText="1"/>
      <protection hidden="1"/>
    </xf>
    <xf numFmtId="0" fontId="2" fillId="16" borderId="1" xfId="0" applyFont="1" applyFill="1" applyBorder="1" applyAlignment="1" applyProtection="1">
      <alignment horizontal="left" vertical="center" wrapText="1"/>
      <protection hidden="1"/>
    </xf>
    <xf numFmtId="0" fontId="2" fillId="0" borderId="1" xfId="0" applyFont="1" applyFill="1" applyBorder="1" applyAlignment="1" applyProtection="1">
      <alignment horizontal="left" vertical="center" wrapText="1"/>
      <protection hidden="1"/>
    </xf>
    <xf numFmtId="0" fontId="8" fillId="0" borderId="8" xfId="0" applyFont="1" applyFill="1" applyBorder="1" applyAlignment="1" applyProtection="1">
      <alignment horizontal="left" vertical="center" wrapText="1"/>
      <protection hidden="1"/>
    </xf>
    <xf numFmtId="0" fontId="8" fillId="0" borderId="0" xfId="0" applyFont="1" applyFill="1" applyBorder="1" applyAlignment="1" applyProtection="1">
      <alignment horizontal="left" vertical="center" wrapText="1"/>
      <protection hidden="1"/>
    </xf>
    <xf numFmtId="0" fontId="8" fillId="0" borderId="9" xfId="0" applyFont="1" applyFill="1" applyBorder="1" applyAlignment="1" applyProtection="1">
      <alignment horizontal="left" vertical="center" wrapText="1"/>
      <protection hidden="1"/>
    </xf>
    <xf numFmtId="0" fontId="8" fillId="0" borderId="11" xfId="0" applyFont="1" applyFill="1" applyBorder="1" applyAlignment="1" applyProtection="1">
      <alignment horizontal="left" vertical="center" wrapText="1"/>
      <protection hidden="1"/>
    </xf>
    <xf numFmtId="0" fontId="8" fillId="0" borderId="13" xfId="0" applyFont="1" applyFill="1" applyBorder="1" applyAlignment="1" applyProtection="1">
      <alignment horizontal="left" vertical="center" wrapText="1"/>
      <protection hidden="1"/>
    </xf>
    <xf numFmtId="0" fontId="8" fillId="0" borderId="12" xfId="0" applyFont="1" applyFill="1" applyBorder="1" applyAlignment="1" applyProtection="1">
      <alignment horizontal="left" vertical="center" wrapText="1"/>
      <protection hidden="1"/>
    </xf>
    <xf numFmtId="0" fontId="2" fillId="0" borderId="1" xfId="0" applyFont="1" applyFill="1" applyBorder="1" applyAlignment="1" applyProtection="1">
      <alignment horizontal="left" vertical="center"/>
      <protection hidden="1"/>
    </xf>
    <xf numFmtId="0" fontId="2" fillId="24" borderId="2" xfId="0" applyFont="1" applyFill="1" applyBorder="1" applyAlignment="1" applyProtection="1">
      <alignment horizontal="left" vertical="center"/>
      <protection hidden="1"/>
    </xf>
    <xf numFmtId="0" fontId="2" fillId="24" borderId="10" xfId="0" applyFont="1" applyFill="1" applyBorder="1" applyAlignment="1" applyProtection="1">
      <alignment horizontal="left" vertical="center"/>
      <protection hidden="1"/>
    </xf>
    <xf numFmtId="0" fontId="2" fillId="24" borderId="3" xfId="0" applyFont="1" applyFill="1" applyBorder="1" applyAlignment="1" applyProtection="1">
      <alignment horizontal="left" vertical="center"/>
      <protection hidden="1"/>
    </xf>
    <xf numFmtId="0" fontId="8" fillId="16" borderId="2" xfId="0" applyFont="1" applyFill="1" applyBorder="1" applyAlignment="1" applyProtection="1">
      <alignment horizontal="center" vertical="center" wrapText="1"/>
      <protection hidden="1"/>
    </xf>
    <xf numFmtId="0" fontId="8" fillId="16" borderId="10" xfId="0" applyFont="1" applyFill="1" applyBorder="1" applyAlignment="1" applyProtection="1">
      <alignment horizontal="center" vertical="center" wrapText="1"/>
      <protection hidden="1"/>
    </xf>
    <xf numFmtId="0" fontId="8" fillId="16" borderId="3" xfId="0" applyFont="1" applyFill="1" applyBorder="1" applyAlignment="1" applyProtection="1">
      <alignment horizontal="center" vertical="center" wrapText="1"/>
      <protection hidden="1"/>
    </xf>
    <xf numFmtId="0" fontId="8" fillId="16" borderId="1" xfId="0" applyFont="1" applyFill="1" applyBorder="1" applyAlignment="1" applyProtection="1">
      <alignment horizontal="left" vertical="center" wrapText="1"/>
      <protection hidden="1"/>
    </xf>
    <xf numFmtId="0" fontId="8" fillId="16" borderId="11" xfId="0" applyFont="1" applyFill="1" applyBorder="1" applyAlignment="1" applyProtection="1">
      <alignment horizontal="left" vertical="center"/>
      <protection hidden="1"/>
    </xf>
    <xf numFmtId="0" fontId="8" fillId="16" borderId="13" xfId="0" applyFont="1" applyFill="1" applyBorder="1" applyAlignment="1" applyProtection="1">
      <alignment horizontal="left" vertical="center"/>
      <protection hidden="1"/>
    </xf>
    <xf numFmtId="0" fontId="8" fillId="16" borderId="12" xfId="0" applyFont="1" applyFill="1" applyBorder="1" applyAlignment="1" applyProtection="1">
      <alignment horizontal="left" vertical="center"/>
      <protection hidden="1"/>
    </xf>
    <xf numFmtId="0" fontId="8" fillId="16" borderId="5" xfId="0" applyFont="1" applyFill="1" applyBorder="1" applyAlignment="1" applyProtection="1">
      <alignment horizontal="left" vertical="center" wrapText="1"/>
      <protection hidden="1"/>
    </xf>
    <xf numFmtId="0" fontId="8" fillId="16" borderId="6" xfId="0" applyFont="1" applyFill="1" applyBorder="1" applyAlignment="1" applyProtection="1">
      <alignment horizontal="left" vertical="center" wrapText="1"/>
      <protection hidden="1"/>
    </xf>
    <xf numFmtId="0" fontId="8" fillId="16" borderId="7" xfId="0" applyFont="1" applyFill="1" applyBorder="1" applyAlignment="1" applyProtection="1">
      <alignment horizontal="left" vertical="center" wrapText="1"/>
      <protection hidden="1"/>
    </xf>
    <xf numFmtId="0" fontId="8" fillId="0" borderId="2" xfId="0" applyFont="1" applyFill="1" applyBorder="1" applyAlignment="1" applyProtection="1">
      <alignment horizontal="left" vertical="center"/>
      <protection hidden="1"/>
    </xf>
    <xf numFmtId="0" fontId="8" fillId="0" borderId="10" xfId="0" applyFont="1" applyFill="1" applyBorder="1" applyAlignment="1" applyProtection="1">
      <alignment horizontal="left" vertical="center"/>
      <protection hidden="1"/>
    </xf>
    <xf numFmtId="0" fontId="8" fillId="0" borderId="3" xfId="0" applyFont="1" applyFill="1" applyBorder="1" applyAlignment="1" applyProtection="1">
      <alignment horizontal="left" vertical="center"/>
      <protection hidden="1"/>
    </xf>
    <xf numFmtId="0" fontId="17" fillId="19" borderId="1" xfId="0" applyFont="1" applyFill="1" applyBorder="1" applyAlignment="1" applyProtection="1">
      <alignment horizontal="center" vertical="center" wrapText="1"/>
      <protection hidden="1"/>
    </xf>
    <xf numFmtId="0" fontId="8" fillId="0" borderId="1" xfId="0" applyFont="1" applyFill="1" applyBorder="1" applyAlignment="1" applyProtection="1">
      <alignment horizontal="left" vertical="center" wrapText="1"/>
      <protection hidden="1"/>
    </xf>
    <xf numFmtId="0" fontId="4" fillId="25" borderId="2" xfId="0" applyFont="1" applyFill="1" applyBorder="1" applyAlignment="1" applyProtection="1">
      <alignment horizontal="left" vertical="center" wrapText="1"/>
      <protection hidden="1"/>
    </xf>
    <xf numFmtId="0" fontId="4" fillId="25" borderId="3" xfId="0" applyFont="1" applyFill="1" applyBorder="1" applyAlignment="1" applyProtection="1">
      <alignment horizontal="left" vertical="center" wrapText="1"/>
      <protection hidden="1"/>
    </xf>
    <xf numFmtId="0" fontId="7" fillId="22" borderId="11" xfId="0" applyFont="1" applyFill="1" applyBorder="1" applyAlignment="1" applyProtection="1">
      <alignment horizontal="left" vertical="center" wrapText="1"/>
      <protection locked="0"/>
    </xf>
    <xf numFmtId="0" fontId="7" fillId="22" borderId="13" xfId="0" applyFont="1" applyFill="1" applyBorder="1" applyAlignment="1" applyProtection="1">
      <alignment horizontal="left" vertical="center" wrapText="1"/>
      <protection locked="0"/>
    </xf>
    <xf numFmtId="0" fontId="7" fillId="22" borderId="12" xfId="0" applyFont="1" applyFill="1" applyBorder="1" applyAlignment="1" applyProtection="1">
      <alignment horizontal="left" vertical="center" wrapText="1"/>
      <protection locked="0"/>
    </xf>
    <xf numFmtId="0" fontId="7" fillId="22" borderId="2" xfId="0" applyFont="1" applyFill="1" applyBorder="1" applyAlignment="1" applyProtection="1">
      <alignment horizontal="left" vertical="center" wrapText="1"/>
      <protection locked="0" hidden="1"/>
    </xf>
    <xf numFmtId="0" fontId="7" fillId="22" borderId="10" xfId="0" applyFont="1" applyFill="1" applyBorder="1" applyAlignment="1" applyProtection="1">
      <alignment horizontal="left" vertical="center" wrapText="1"/>
      <protection locked="0" hidden="1"/>
    </xf>
    <xf numFmtId="0" fontId="7" fillId="22" borderId="3" xfId="0" applyFont="1" applyFill="1" applyBorder="1" applyAlignment="1" applyProtection="1">
      <alignment horizontal="left" vertical="center" wrapText="1"/>
      <protection locked="0" hidden="1"/>
    </xf>
    <xf numFmtId="0" fontId="8" fillId="0" borderId="1" xfId="0" applyFont="1" applyFill="1" applyBorder="1" applyAlignment="1" applyProtection="1">
      <alignment horizontal="left"/>
      <protection hidden="1"/>
    </xf>
    <xf numFmtId="0" fontId="17" fillId="19" borderId="5" xfId="0" applyFont="1" applyFill="1" applyBorder="1" applyAlignment="1" applyProtection="1">
      <alignment horizontal="center" vertical="center"/>
      <protection hidden="1"/>
    </xf>
    <xf numFmtId="0" fontId="17" fillId="19" borderId="6" xfId="0" applyFont="1" applyFill="1" applyBorder="1" applyAlignment="1" applyProtection="1">
      <alignment horizontal="center" vertical="center"/>
      <protection hidden="1"/>
    </xf>
    <xf numFmtId="0" fontId="17" fillId="19" borderId="7" xfId="0" applyFont="1" applyFill="1" applyBorder="1" applyAlignment="1" applyProtection="1">
      <alignment horizontal="center" vertical="center"/>
      <protection hidden="1"/>
    </xf>
    <xf numFmtId="0" fontId="22" fillId="22" borderId="11" xfId="0" applyFont="1" applyFill="1" applyBorder="1" applyAlignment="1" applyProtection="1">
      <alignment horizontal="left" vertical="center" wrapText="1"/>
      <protection hidden="1"/>
    </xf>
    <xf numFmtId="0" fontId="22" fillId="22" borderId="13" xfId="0" applyFont="1" applyFill="1" applyBorder="1" applyAlignment="1" applyProtection="1">
      <alignment horizontal="left" vertical="center" wrapText="1"/>
      <protection hidden="1"/>
    </xf>
    <xf numFmtId="0" fontId="22" fillId="22" borderId="12" xfId="0" applyFont="1" applyFill="1" applyBorder="1" applyAlignment="1" applyProtection="1">
      <alignment horizontal="left" vertical="center" wrapText="1"/>
      <protection hidden="1"/>
    </xf>
    <xf numFmtId="0" fontId="9" fillId="24" borderId="2" xfId="0" applyFont="1" applyFill="1" applyBorder="1" applyAlignment="1" applyProtection="1">
      <alignment horizontal="left" vertical="center" wrapText="1"/>
      <protection hidden="1"/>
    </xf>
    <xf numFmtId="0" fontId="9" fillId="24" borderId="10" xfId="0" applyFont="1" applyFill="1" applyBorder="1" applyAlignment="1" applyProtection="1">
      <alignment horizontal="left" vertical="center" wrapText="1"/>
      <protection hidden="1"/>
    </xf>
    <xf numFmtId="0" fontId="9" fillId="24" borderId="3" xfId="0" applyFont="1" applyFill="1" applyBorder="1" applyAlignment="1" applyProtection="1">
      <alignment horizontal="left" vertical="center" wrapText="1"/>
      <protection hidden="1"/>
    </xf>
    <xf numFmtId="0" fontId="8" fillId="0" borderId="5" xfId="0" applyFont="1" applyFill="1" applyBorder="1" applyAlignment="1" applyProtection="1">
      <alignment horizontal="left" vertical="center" wrapText="1"/>
      <protection hidden="1"/>
    </xf>
    <xf numFmtId="0" fontId="8" fillId="0" borderId="6" xfId="0" applyFont="1" applyFill="1" applyBorder="1" applyAlignment="1" applyProtection="1">
      <alignment horizontal="left" vertical="center" wrapText="1"/>
      <protection hidden="1"/>
    </xf>
    <xf numFmtId="0" fontId="8" fillId="0" borderId="7" xfId="0" applyFont="1" applyFill="1" applyBorder="1" applyAlignment="1" applyProtection="1">
      <alignment horizontal="left" vertical="center" wrapText="1"/>
      <protection hidden="1"/>
    </xf>
    <xf numFmtId="0" fontId="2" fillId="24" borderId="1" xfId="0" applyFont="1" applyFill="1" applyBorder="1" applyAlignment="1" applyProtection="1">
      <alignment horizontal="left" vertical="center"/>
      <protection hidden="1"/>
    </xf>
    <xf numFmtId="0" fontId="9" fillId="24" borderId="15" xfId="0" applyFont="1" applyFill="1" applyBorder="1" applyAlignment="1" applyProtection="1">
      <alignment horizontal="left" vertical="center"/>
      <protection hidden="1"/>
    </xf>
    <xf numFmtId="0" fontId="2" fillId="16" borderId="1" xfId="0" applyFont="1" applyFill="1" applyBorder="1" applyAlignment="1" applyProtection="1">
      <alignment horizontal="left" vertical="center"/>
      <protection hidden="1"/>
    </xf>
    <xf numFmtId="0" fontId="8" fillId="16" borderId="11" xfId="0" applyFont="1" applyFill="1" applyBorder="1" applyAlignment="1" applyProtection="1">
      <alignment horizontal="left" vertical="center" wrapText="1"/>
      <protection hidden="1"/>
    </xf>
    <xf numFmtId="0" fontId="8" fillId="16" borderId="13" xfId="0" applyFont="1" applyFill="1" applyBorder="1" applyAlignment="1" applyProtection="1">
      <alignment horizontal="left" vertical="center" wrapText="1"/>
      <protection hidden="1"/>
    </xf>
    <xf numFmtId="0" fontId="8" fillId="16" borderId="12" xfId="0" applyFont="1" applyFill="1" applyBorder="1" applyAlignment="1" applyProtection="1">
      <alignment horizontal="left" vertical="center" wrapText="1"/>
      <protection hidden="1"/>
    </xf>
    <xf numFmtId="0" fontId="7" fillId="22" borderId="1" xfId="0" applyFont="1" applyFill="1" applyBorder="1" applyAlignment="1" applyProtection="1">
      <alignment horizontal="left" vertical="center" wrapText="1"/>
      <protection locked="0"/>
    </xf>
    <xf numFmtId="0" fontId="21" fillId="18" borderId="2" xfId="0" applyFont="1" applyFill="1" applyBorder="1" applyAlignment="1" applyProtection="1">
      <alignment horizontal="left" vertical="center" wrapText="1"/>
    </xf>
    <xf numFmtId="0" fontId="21" fillId="18" borderId="10" xfId="0" applyFont="1" applyFill="1" applyBorder="1" applyAlignment="1" applyProtection="1">
      <alignment horizontal="left" vertical="center" wrapText="1"/>
    </xf>
    <xf numFmtId="0" fontId="21" fillId="18" borderId="3" xfId="0" applyFont="1" applyFill="1" applyBorder="1" applyAlignment="1" applyProtection="1">
      <alignment horizontal="left" vertical="center" wrapText="1"/>
    </xf>
    <xf numFmtId="0" fontId="1" fillId="0" borderId="14" xfId="0" applyFont="1" applyFill="1" applyBorder="1" applyAlignment="1" applyProtection="1">
      <alignment horizontal="left" vertical="center" wrapText="1"/>
      <protection locked="0"/>
    </xf>
    <xf numFmtId="0" fontId="1" fillId="0" borderId="15" xfId="0" applyFont="1" applyFill="1" applyBorder="1" applyAlignment="1" applyProtection="1">
      <alignment horizontal="left" vertical="center" wrapText="1"/>
      <protection locked="0"/>
    </xf>
    <xf numFmtId="0" fontId="8" fillId="24" borderId="2" xfId="0" applyFont="1" applyFill="1" applyBorder="1" applyAlignment="1" applyProtection="1">
      <alignment horizontal="left" vertical="center" wrapText="1"/>
      <protection hidden="1"/>
    </xf>
    <xf numFmtId="0" fontId="8" fillId="24" borderId="10" xfId="0" applyFont="1" applyFill="1" applyBorder="1" applyAlignment="1" applyProtection="1">
      <alignment horizontal="left" vertical="center" wrapText="1"/>
      <protection hidden="1"/>
    </xf>
    <xf numFmtId="0" fontId="8" fillId="24" borderId="3" xfId="0" applyFont="1" applyFill="1" applyBorder="1" applyAlignment="1" applyProtection="1">
      <alignment horizontal="left" vertical="center" wrapText="1"/>
      <protection hidden="1"/>
    </xf>
    <xf numFmtId="0" fontId="8" fillId="0" borderId="2" xfId="0" applyFont="1" applyFill="1" applyBorder="1" applyAlignment="1" applyProtection="1">
      <alignment horizontal="left" vertical="center" wrapText="1"/>
      <protection hidden="1"/>
    </xf>
    <xf numFmtId="0" fontId="8" fillId="0" borderId="10" xfId="0" applyFont="1" applyFill="1" applyBorder="1" applyAlignment="1" applyProtection="1">
      <alignment horizontal="left" vertical="center" wrapText="1"/>
      <protection hidden="1"/>
    </xf>
    <xf numFmtId="0" fontId="8" fillId="0" borderId="3" xfId="0" applyFont="1" applyFill="1" applyBorder="1" applyAlignment="1" applyProtection="1">
      <alignment horizontal="left" vertical="center" wrapText="1"/>
      <protection hidden="1"/>
    </xf>
    <xf numFmtId="0" fontId="7" fillId="22" borderId="2" xfId="0" applyFont="1" applyFill="1" applyBorder="1" applyAlignment="1" applyProtection="1">
      <alignment horizontal="left" vertical="center" wrapText="1"/>
      <protection locked="0"/>
    </xf>
    <xf numFmtId="0" fontId="7" fillId="22" borderId="3" xfId="0" applyFont="1" applyFill="1" applyBorder="1" applyAlignment="1" applyProtection="1">
      <alignment horizontal="left" vertical="center" wrapText="1"/>
      <protection locked="0"/>
    </xf>
    <xf numFmtId="0" fontId="8" fillId="25" borderId="5" xfId="0" applyFont="1" applyFill="1" applyBorder="1" applyAlignment="1" applyProtection="1">
      <alignment horizontal="left" vertical="center" wrapText="1"/>
      <protection hidden="1"/>
    </xf>
    <xf numFmtId="0" fontId="8" fillId="25" borderId="6" xfId="0" applyFont="1" applyFill="1" applyBorder="1" applyAlignment="1" applyProtection="1">
      <alignment horizontal="left" vertical="center" wrapText="1"/>
      <protection hidden="1"/>
    </xf>
    <xf numFmtId="0" fontId="8" fillId="25" borderId="7" xfId="0" applyFont="1" applyFill="1" applyBorder="1" applyAlignment="1" applyProtection="1">
      <alignment horizontal="left" vertical="center" wrapText="1"/>
      <protection hidden="1"/>
    </xf>
    <xf numFmtId="0" fontId="8" fillId="25" borderId="11" xfId="0" applyFont="1" applyFill="1" applyBorder="1" applyAlignment="1" applyProtection="1">
      <alignment horizontal="left" vertical="center" wrapText="1"/>
      <protection hidden="1"/>
    </xf>
    <xf numFmtId="0" fontId="8" fillId="25" borderId="13" xfId="0" applyFont="1" applyFill="1" applyBorder="1" applyAlignment="1" applyProtection="1">
      <alignment horizontal="left" vertical="center" wrapText="1"/>
      <protection hidden="1"/>
    </xf>
    <xf numFmtId="0" fontId="8" fillId="25" borderId="12" xfId="0" applyFont="1" applyFill="1" applyBorder="1" applyAlignment="1" applyProtection="1">
      <alignment horizontal="left" vertical="center" wrapText="1"/>
      <protection hidden="1"/>
    </xf>
    <xf numFmtId="0" fontId="1" fillId="0" borderId="0" xfId="0" applyFont="1" applyFill="1" applyBorder="1" applyAlignment="1" applyProtection="1">
      <alignment vertical="center" wrapText="1"/>
      <protection hidden="1"/>
    </xf>
    <xf numFmtId="0" fontId="2" fillId="0" borderId="0" xfId="0" applyFont="1" applyFill="1" applyBorder="1" applyAlignment="1" applyProtection="1">
      <alignment vertical="center" wrapText="1"/>
      <protection hidden="1"/>
    </xf>
    <xf numFmtId="0" fontId="0" fillId="0" borderId="0" xfId="0" applyFill="1" applyBorder="1" applyAlignment="1" applyProtection="1">
      <alignment vertical="center"/>
      <protection hidden="1"/>
    </xf>
    <xf numFmtId="0" fontId="8" fillId="0" borderId="1" xfId="0" applyFont="1" applyFill="1" applyBorder="1" applyAlignment="1" applyProtection="1">
      <alignment horizontal="center"/>
      <protection hidden="1"/>
    </xf>
    <xf numFmtId="0" fontId="8" fillId="16" borderId="1" xfId="0" applyFont="1" applyFill="1" applyBorder="1" applyAlignment="1" applyProtection="1">
      <alignment horizontal="center"/>
      <protection hidden="1"/>
    </xf>
    <xf numFmtId="0" fontId="8" fillId="16" borderId="2" xfId="0" applyFont="1" applyFill="1" applyBorder="1" applyAlignment="1" applyProtection="1">
      <alignment horizontal="left" vertical="center"/>
      <protection hidden="1"/>
    </xf>
    <xf numFmtId="0" fontId="8" fillId="16" borderId="10" xfId="0" applyFont="1" applyFill="1" applyBorder="1" applyAlignment="1" applyProtection="1">
      <alignment horizontal="left" vertical="center"/>
      <protection hidden="1"/>
    </xf>
    <xf numFmtId="0" fontId="8" fillId="16" borderId="3" xfId="0" applyFont="1" applyFill="1" applyBorder="1" applyAlignment="1" applyProtection="1">
      <alignment horizontal="left" vertical="center"/>
      <protection hidden="1"/>
    </xf>
    <xf numFmtId="0" fontId="4" fillId="0" borderId="10" xfId="0" applyFont="1" applyFill="1" applyBorder="1" applyAlignment="1" applyProtection="1">
      <alignment horizontal="center" vertical="center"/>
      <protection hidden="1"/>
    </xf>
    <xf numFmtId="0" fontId="2" fillId="24" borderId="15" xfId="0" applyFont="1" applyFill="1" applyBorder="1" applyAlignment="1" applyProtection="1">
      <alignment horizontal="left" vertical="center"/>
      <protection hidden="1"/>
    </xf>
    <xf numFmtId="0" fontId="12" fillId="19" borderId="11" xfId="0" applyFont="1" applyFill="1" applyBorder="1" applyAlignment="1" applyProtection="1">
      <alignment horizontal="center" vertical="center"/>
      <protection hidden="1"/>
    </xf>
    <xf numFmtId="0" fontId="12" fillId="19" borderId="12" xfId="0" applyFont="1" applyFill="1" applyBorder="1" applyAlignment="1" applyProtection="1">
      <alignment horizontal="center" vertical="center"/>
      <protection hidden="1"/>
    </xf>
    <xf numFmtId="0" fontId="4" fillId="16" borderId="2" xfId="0" quotePrefix="1" applyFont="1" applyFill="1" applyBorder="1" applyAlignment="1" applyProtection="1">
      <alignment horizontal="center" vertical="center" wrapText="1"/>
      <protection locked="0"/>
    </xf>
    <xf numFmtId="0" fontId="4" fillId="16" borderId="3" xfId="0" quotePrefix="1" applyFont="1" applyFill="1" applyBorder="1" applyAlignment="1" applyProtection="1">
      <alignment horizontal="center" vertical="center" wrapText="1"/>
      <protection locked="0"/>
    </xf>
  </cellXfs>
  <cellStyles count="23">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Prozent 2" xfId="20" xr:uid="{00000000-0005-0000-0000-000013000000}"/>
    <cellStyle name="Standard" xfId="0" builtinId="0"/>
    <cellStyle name="Standard 2" xfId="21" xr:uid="{00000000-0005-0000-0000-000015000000}"/>
    <cellStyle name="Währung 2" xfId="22" xr:uid="{00000000-0005-0000-0000-000016000000}"/>
  </cellStyles>
  <dxfs count="3">
    <dxf>
      <fill>
        <patternFill>
          <bgColor theme="5" tint="0.59996337778862885"/>
        </patternFill>
      </fill>
    </dxf>
    <dxf>
      <fill>
        <patternFill>
          <bgColor theme="5" tint="0.59996337778862885"/>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Drop" dropStyle="combo" dx="22" fmlaLink="D7" fmlaRange="$K3:$K$10" noThreeD="1" sel="2" val="0"/>
</file>

<file path=xl/ctrlProps/ctrlProp2.xml><?xml version="1.0" encoding="utf-8"?>
<formControlPr xmlns="http://schemas.microsoft.com/office/spreadsheetml/2009/9/main" objectType="Drop" dropLines="7" dropStyle="combo" dx="22" fmlaRange="$L$3:$L$9" noThreeD="1" sel="4" val="0"/>
</file>

<file path=xl/ctrlProps/ctrlProp3.xml><?xml version="1.0" encoding="utf-8"?>
<formControlPr xmlns="http://schemas.microsoft.com/office/spreadsheetml/2009/9/main" objectType="Drop" dropLines="10" dropStyle="combo" dx="22" fmlaLink="D9" fmlaRange="$M$3:$M$12" noThreeD="1" sel="6" val="0"/>
</file>

<file path=xl/ctrlProps/ctrlProp4.xml><?xml version="1.0" encoding="utf-8"?>
<formControlPr xmlns="http://schemas.microsoft.com/office/spreadsheetml/2009/9/main" objectType="Drop" dropLines="10" dropStyle="combo" dx="22" fmlaLink="D10" fmlaRange="$M$3:$M$12" noThreeD="1" sel="6" val="0"/>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6</xdr:col>
          <xdr:colOff>390525</xdr:colOff>
          <xdr:row>7</xdr:row>
          <xdr:rowOff>0</xdr:rowOff>
        </xdr:to>
        <xdr:sp macro="" textlink="">
          <xdr:nvSpPr>
            <xdr:cNvPr id="1030" name="Drop Dow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6</xdr:col>
          <xdr:colOff>390525</xdr:colOff>
          <xdr:row>8</xdr:row>
          <xdr:rowOff>0</xdr:rowOff>
        </xdr:to>
        <xdr:sp macro="" textlink="">
          <xdr:nvSpPr>
            <xdr:cNvPr id="1031" name="Drop Dow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4152900</xdr:colOff>
          <xdr:row>7</xdr:row>
          <xdr:rowOff>247650</xdr:rowOff>
        </xdr:from>
        <xdr:to>
          <xdr:col>6</xdr:col>
          <xdr:colOff>390525</xdr:colOff>
          <xdr:row>9</xdr:row>
          <xdr:rowOff>0</xdr:rowOff>
        </xdr:to>
        <xdr:sp macro="" textlink="">
          <xdr:nvSpPr>
            <xdr:cNvPr id="1032" name="Drop Dow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8</xdr:row>
          <xdr:rowOff>247650</xdr:rowOff>
        </xdr:from>
        <xdr:to>
          <xdr:col>6</xdr:col>
          <xdr:colOff>390525</xdr:colOff>
          <xdr:row>10</xdr:row>
          <xdr:rowOff>0</xdr:rowOff>
        </xdr:to>
        <xdr:sp macro="" textlink="">
          <xdr:nvSpPr>
            <xdr:cNvPr id="1033" name="Drop Dow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s>
    <sheetDataSet>
      <sheetData sheetId="0"/>
      <sheetData sheetId="1"/>
      <sheetData sheetId="2"/>
      <sheetData sheetId="3" refreshError="1">
        <row r="15">
          <cell r="F15" t="str">
            <v>EFF 2010</v>
          </cell>
        </row>
      </sheetData>
      <sheetData sheetId="4"/>
      <sheetData sheetId="5"/>
      <sheetData sheetId="6"/>
      <sheetData sheetId="7"/>
      <sheetData sheetId="8"/>
      <sheetData sheetId="9"/>
      <sheetData sheetId="10" refreshError="1">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efreshError="1">
        <row r="1">
          <cell r="B1" t="str">
            <v>Version EFF 1.04 (B 73), 03.03.2010</v>
          </cell>
        </row>
      </sheetData>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sheetPr>
  <dimension ref="B2:BB241"/>
  <sheetViews>
    <sheetView showGridLines="0" tabSelected="1" zoomScaleNormal="100" workbookViewId="0">
      <selection activeCell="D5" sqref="D5:J5"/>
    </sheetView>
  </sheetViews>
  <sheetFormatPr baseColWidth="10" defaultColWidth="11.42578125" defaultRowHeight="18.75" customHeight="1" x14ac:dyDescent="0.2"/>
  <cols>
    <col min="1" max="2" width="3.7109375" style="8" customWidth="1"/>
    <col min="3" max="3" width="61.140625" style="8" customWidth="1"/>
    <col min="4" max="4" width="28.7109375" style="8" customWidth="1"/>
    <col min="5" max="5" width="12" style="8" customWidth="1"/>
    <col min="6" max="6" width="12.140625" style="54" customWidth="1"/>
    <col min="7" max="7" width="12.28515625" style="8" customWidth="1"/>
    <col min="8" max="8" width="12.140625" style="8" bestFit="1" customWidth="1"/>
    <col min="9" max="9" width="5.28515625" style="8" customWidth="1"/>
    <col min="10" max="10" width="25.7109375" style="8" customWidth="1"/>
    <col min="11" max="11" width="2.28515625" style="54" customWidth="1"/>
    <col min="12" max="12" width="1.7109375" style="88" customWidth="1"/>
    <col min="13" max="13" width="3.7109375" style="8" customWidth="1"/>
    <col min="14" max="16" width="40.7109375" style="8" customWidth="1"/>
    <col min="17" max="17" width="3.7109375" style="8" customWidth="1"/>
    <col min="18" max="16384" width="11.42578125" style="8"/>
  </cols>
  <sheetData>
    <row r="2" spans="2:17" ht="18.75" customHeight="1" x14ac:dyDescent="0.2">
      <c r="B2" s="5"/>
      <c r="C2" s="6"/>
      <c r="D2" s="6"/>
      <c r="E2" s="6"/>
      <c r="F2" s="47"/>
      <c r="G2" s="6"/>
      <c r="H2" s="6"/>
      <c r="I2" s="6"/>
      <c r="J2" s="6"/>
      <c r="K2" s="80"/>
      <c r="M2" s="5"/>
      <c r="N2" s="6"/>
      <c r="O2" s="6"/>
      <c r="P2" s="6"/>
      <c r="Q2" s="7"/>
    </row>
    <row r="3" spans="2:17" ht="48.75" customHeight="1" x14ac:dyDescent="0.2">
      <c r="B3" s="9"/>
      <c r="C3" s="146" t="s">
        <v>129</v>
      </c>
      <c r="D3" s="146"/>
      <c r="E3" s="146"/>
      <c r="F3" s="146"/>
      <c r="G3" s="146"/>
      <c r="H3" s="146"/>
      <c r="I3" s="146"/>
      <c r="J3" s="146"/>
      <c r="K3" s="40" t="s">
        <v>70</v>
      </c>
      <c r="L3" s="41" t="s">
        <v>70</v>
      </c>
      <c r="M3" s="40" t="s">
        <v>70</v>
      </c>
      <c r="N3" s="157" t="s">
        <v>30</v>
      </c>
      <c r="O3" s="158"/>
      <c r="P3" s="159"/>
      <c r="Q3" s="10"/>
    </row>
    <row r="4" spans="2:17" ht="30" customHeight="1" x14ac:dyDescent="0.2">
      <c r="B4" s="9"/>
      <c r="C4" s="11" t="s">
        <v>14</v>
      </c>
      <c r="D4" s="175" t="s">
        <v>148</v>
      </c>
      <c r="E4" s="175"/>
      <c r="F4" s="175"/>
      <c r="G4" s="175"/>
      <c r="H4" s="175"/>
      <c r="I4" s="175"/>
      <c r="J4" s="175"/>
      <c r="K4" s="40" t="s">
        <v>11</v>
      </c>
      <c r="L4" s="41" t="s">
        <v>2</v>
      </c>
      <c r="M4" s="40" t="s">
        <v>60</v>
      </c>
      <c r="N4" s="156"/>
      <c r="O4" s="156"/>
      <c r="P4" s="156"/>
      <c r="Q4" s="10"/>
    </row>
    <row r="5" spans="2:17" ht="30" customHeight="1" x14ac:dyDescent="0.2">
      <c r="B5" s="9"/>
      <c r="C5" s="11" t="s">
        <v>78</v>
      </c>
      <c r="D5" s="150" t="s">
        <v>149</v>
      </c>
      <c r="E5" s="151"/>
      <c r="F5" s="151"/>
      <c r="G5" s="151"/>
      <c r="H5" s="151"/>
      <c r="I5" s="151"/>
      <c r="J5" s="152"/>
      <c r="K5" s="40" t="s">
        <v>10</v>
      </c>
      <c r="L5" s="41" t="s">
        <v>3</v>
      </c>
      <c r="M5" s="40" t="s">
        <v>66</v>
      </c>
      <c r="N5" s="156"/>
      <c r="O5" s="156"/>
      <c r="P5" s="156"/>
      <c r="Q5" s="10"/>
    </row>
    <row r="6" spans="2:17" ht="20.100000000000001" customHeight="1" x14ac:dyDescent="0.2">
      <c r="B6" s="9"/>
      <c r="C6" s="46" t="s">
        <v>15</v>
      </c>
      <c r="D6" s="176" t="s">
        <v>55</v>
      </c>
      <c r="E6" s="177"/>
      <c r="F6" s="177"/>
      <c r="G6" s="178"/>
      <c r="H6" s="148" t="s">
        <v>60</v>
      </c>
      <c r="I6" s="149"/>
      <c r="J6" s="42"/>
      <c r="K6" s="40" t="s">
        <v>9</v>
      </c>
      <c r="L6" s="41" t="s">
        <v>127</v>
      </c>
      <c r="M6" s="40" t="s">
        <v>67</v>
      </c>
      <c r="N6" s="160" t="s">
        <v>79</v>
      </c>
      <c r="O6" s="161"/>
      <c r="P6" s="162"/>
      <c r="Q6" s="10"/>
    </row>
    <row r="7" spans="2:17" ht="20.100000000000001" customHeight="1" x14ac:dyDescent="0.2">
      <c r="B7" s="9"/>
      <c r="C7" s="39" t="s">
        <v>56</v>
      </c>
      <c r="D7" s="153">
        <v>2</v>
      </c>
      <c r="E7" s="154"/>
      <c r="F7" s="154"/>
      <c r="G7" s="155"/>
      <c r="H7" s="148" t="s">
        <v>66</v>
      </c>
      <c r="I7" s="149"/>
      <c r="J7" s="42"/>
      <c r="K7" s="40" t="s">
        <v>8</v>
      </c>
      <c r="L7" s="41" t="s">
        <v>128</v>
      </c>
      <c r="M7" s="40" t="s">
        <v>68</v>
      </c>
      <c r="N7" s="147"/>
      <c r="O7" s="147"/>
      <c r="P7" s="147"/>
      <c r="Q7" s="10"/>
    </row>
    <row r="8" spans="2:17" ht="20.100000000000001" customHeight="1" x14ac:dyDescent="0.2">
      <c r="B8" s="9"/>
      <c r="C8" s="39" t="s">
        <v>57</v>
      </c>
      <c r="D8" s="153"/>
      <c r="E8" s="154"/>
      <c r="F8" s="154"/>
      <c r="G8" s="155"/>
      <c r="H8" s="148" t="s">
        <v>67</v>
      </c>
      <c r="I8" s="149"/>
      <c r="J8" s="42"/>
      <c r="K8" s="40" t="s">
        <v>7</v>
      </c>
      <c r="L8" s="41" t="s">
        <v>4</v>
      </c>
      <c r="M8" s="40" t="s">
        <v>65</v>
      </c>
      <c r="N8" s="147"/>
      <c r="O8" s="147"/>
      <c r="P8" s="147"/>
      <c r="Q8" s="10"/>
    </row>
    <row r="9" spans="2:17" ht="20.100000000000001" customHeight="1" x14ac:dyDescent="0.2">
      <c r="B9" s="9"/>
      <c r="C9" s="39" t="s">
        <v>100</v>
      </c>
      <c r="D9" s="153">
        <v>6</v>
      </c>
      <c r="E9" s="154"/>
      <c r="F9" s="154"/>
      <c r="G9" s="155"/>
      <c r="H9" s="148" t="s">
        <v>68</v>
      </c>
      <c r="I9" s="149"/>
      <c r="J9" s="43"/>
      <c r="K9" s="40" t="s">
        <v>6</v>
      </c>
      <c r="L9" s="41" t="s">
        <v>6</v>
      </c>
      <c r="M9" s="40" t="s">
        <v>64</v>
      </c>
      <c r="N9" s="147"/>
      <c r="O9" s="147"/>
      <c r="P9" s="147"/>
      <c r="Q9" s="10"/>
    </row>
    <row r="10" spans="2:17" ht="20.100000000000001" customHeight="1" x14ac:dyDescent="0.2">
      <c r="B10" s="9"/>
      <c r="C10" s="39" t="s">
        <v>71</v>
      </c>
      <c r="D10" s="153">
        <v>6</v>
      </c>
      <c r="E10" s="154"/>
      <c r="F10" s="154"/>
      <c r="G10" s="155"/>
      <c r="H10" s="148" t="s">
        <v>65</v>
      </c>
      <c r="I10" s="149"/>
      <c r="J10" s="43"/>
      <c r="K10" s="40" t="s">
        <v>5</v>
      </c>
      <c r="L10" s="41" t="s">
        <v>69</v>
      </c>
      <c r="M10" s="40" t="s">
        <v>63</v>
      </c>
      <c r="N10" s="147"/>
      <c r="O10" s="147"/>
      <c r="P10" s="147"/>
      <c r="Q10" s="10"/>
    </row>
    <row r="11" spans="2:17" ht="20.100000000000001" customHeight="1" x14ac:dyDescent="0.2">
      <c r="B11" s="9"/>
      <c r="C11" s="39" t="s">
        <v>58</v>
      </c>
      <c r="D11" s="91">
        <v>44197</v>
      </c>
      <c r="E11" s="44" t="s">
        <v>64</v>
      </c>
      <c r="F11" s="187"/>
      <c r="G11" s="188"/>
      <c r="H11" s="148" t="s">
        <v>62</v>
      </c>
      <c r="I11" s="149"/>
      <c r="J11" s="43"/>
      <c r="K11" s="81"/>
      <c r="L11" s="41" t="s">
        <v>69</v>
      </c>
      <c r="M11" s="40" t="s">
        <v>62</v>
      </c>
      <c r="N11" s="189" t="s">
        <v>74</v>
      </c>
      <c r="O11" s="190"/>
      <c r="P11" s="191"/>
      <c r="Q11" s="79"/>
    </row>
    <row r="12" spans="2:17" ht="20.100000000000001" customHeight="1" x14ac:dyDescent="0.2">
      <c r="B12" s="9"/>
      <c r="C12" s="39" t="s">
        <v>59</v>
      </c>
      <c r="D12" s="91">
        <v>44561</v>
      </c>
      <c r="E12" s="44" t="s">
        <v>63</v>
      </c>
      <c r="F12" s="187"/>
      <c r="G12" s="188"/>
      <c r="H12" s="148" t="s">
        <v>61</v>
      </c>
      <c r="I12" s="149"/>
      <c r="J12" s="43"/>
      <c r="K12" s="81"/>
      <c r="M12" s="40" t="s">
        <v>61</v>
      </c>
      <c r="N12" s="192"/>
      <c r="O12" s="193"/>
      <c r="P12" s="194"/>
      <c r="Q12" s="79"/>
    </row>
    <row r="13" spans="2:17" s="14" customFormat="1" ht="18.75" customHeight="1" x14ac:dyDescent="0.2">
      <c r="B13" s="61"/>
      <c r="C13" s="63"/>
      <c r="D13" s="63"/>
      <c r="E13" s="63"/>
      <c r="F13" s="63"/>
      <c r="G13" s="63"/>
      <c r="H13" s="63"/>
      <c r="I13" s="63"/>
      <c r="J13" s="63"/>
      <c r="K13" s="82"/>
      <c r="L13" s="89"/>
      <c r="M13" s="63"/>
      <c r="N13" s="63"/>
      <c r="O13" s="63"/>
      <c r="P13" s="63"/>
      <c r="Q13" s="62"/>
    </row>
    <row r="14" spans="2:17" s="14" customFormat="1" ht="30" customHeight="1" x14ac:dyDescent="0.2">
      <c r="B14" s="12"/>
      <c r="C14" s="70" t="s">
        <v>104</v>
      </c>
      <c r="D14" s="75" t="s">
        <v>24</v>
      </c>
      <c r="E14" s="75" t="s">
        <v>101</v>
      </c>
      <c r="F14" s="205" t="s">
        <v>102</v>
      </c>
      <c r="G14" s="206"/>
      <c r="H14" s="64"/>
      <c r="I14" s="65"/>
      <c r="J14" s="71"/>
      <c r="K14" s="81"/>
      <c r="L14" s="88"/>
      <c r="M14" s="12"/>
      <c r="N14" s="181" t="s">
        <v>118</v>
      </c>
      <c r="O14" s="182"/>
      <c r="P14" s="183"/>
      <c r="Q14" s="62"/>
    </row>
    <row r="15" spans="2:17" s="14" customFormat="1" ht="18" customHeight="1" x14ac:dyDescent="0.2">
      <c r="B15" s="12"/>
      <c r="C15" s="11" t="s">
        <v>76</v>
      </c>
      <c r="D15" s="1" t="s">
        <v>140</v>
      </c>
      <c r="E15" s="2">
        <v>30000</v>
      </c>
      <c r="F15" s="101"/>
      <c r="G15" s="102"/>
      <c r="H15" s="66"/>
      <c r="I15" s="67"/>
      <c r="J15" s="72"/>
      <c r="K15" s="81"/>
      <c r="L15" s="88"/>
      <c r="M15" s="12"/>
      <c r="N15" s="184" t="s">
        <v>116</v>
      </c>
      <c r="O15" s="185"/>
      <c r="P15" s="186"/>
      <c r="Q15" s="13"/>
    </row>
    <row r="16" spans="2:17" s="14" customFormat="1" ht="18" customHeight="1" x14ac:dyDescent="0.2">
      <c r="B16" s="12"/>
      <c r="C16" s="15" t="s">
        <v>75</v>
      </c>
      <c r="D16" s="77" t="s">
        <v>139</v>
      </c>
      <c r="E16" s="4">
        <v>160000</v>
      </c>
      <c r="F16" s="103"/>
      <c r="G16" s="104"/>
      <c r="H16" s="66"/>
      <c r="I16" s="67"/>
      <c r="J16" s="72"/>
      <c r="K16" s="81"/>
      <c r="L16" s="88"/>
      <c r="M16" s="12"/>
      <c r="N16" s="140" t="s">
        <v>115</v>
      </c>
      <c r="O16" s="141"/>
      <c r="P16" s="142"/>
      <c r="Q16" s="13"/>
    </row>
    <row r="17" spans="2:17" s="14" customFormat="1" ht="22.5" customHeight="1" x14ac:dyDescent="0.2">
      <c r="B17" s="12"/>
      <c r="C17" s="11" t="s">
        <v>27</v>
      </c>
      <c r="D17" s="1" t="s">
        <v>130</v>
      </c>
      <c r="E17" s="2">
        <v>15</v>
      </c>
      <c r="F17" s="101"/>
      <c r="G17" s="102"/>
      <c r="H17" s="66"/>
      <c r="I17" s="67"/>
      <c r="J17" s="72"/>
      <c r="K17" s="81"/>
      <c r="L17" s="88"/>
      <c r="M17" s="12"/>
      <c r="N17" s="184" t="s">
        <v>77</v>
      </c>
      <c r="O17" s="185"/>
      <c r="P17" s="186"/>
      <c r="Q17" s="13"/>
    </row>
    <row r="18" spans="2:17" s="14" customFormat="1" ht="18" customHeight="1" x14ac:dyDescent="0.2">
      <c r="B18" s="12"/>
      <c r="C18" s="16" t="s">
        <v>99</v>
      </c>
      <c r="D18" s="77" t="s">
        <v>134</v>
      </c>
      <c r="E18" s="4">
        <v>150</v>
      </c>
      <c r="F18" s="103"/>
      <c r="G18" s="104"/>
      <c r="H18" s="66"/>
      <c r="I18" s="67"/>
      <c r="J18" s="72"/>
      <c r="K18" s="81"/>
      <c r="L18" s="88"/>
      <c r="M18" s="12"/>
      <c r="N18" s="136"/>
      <c r="O18" s="136"/>
      <c r="P18" s="136"/>
      <c r="Q18" s="13"/>
    </row>
    <row r="19" spans="2:17" s="14" customFormat="1" ht="30" customHeight="1" x14ac:dyDescent="0.2">
      <c r="B19" s="12"/>
      <c r="C19" s="55" t="s">
        <v>105</v>
      </c>
      <c r="D19" s="74" t="s">
        <v>24</v>
      </c>
      <c r="E19" s="74" t="s">
        <v>101</v>
      </c>
      <c r="F19" s="115" t="s">
        <v>102</v>
      </c>
      <c r="G19" s="116"/>
      <c r="H19" s="66"/>
      <c r="I19" s="67"/>
      <c r="J19" s="72"/>
      <c r="K19" s="81"/>
      <c r="L19" s="88"/>
      <c r="M19" s="12"/>
      <c r="N19" s="181" t="s">
        <v>113</v>
      </c>
      <c r="O19" s="182"/>
      <c r="P19" s="183"/>
      <c r="Q19" s="13"/>
    </row>
    <row r="20" spans="2:17" s="14" customFormat="1" ht="18" customHeight="1" x14ac:dyDescent="0.2">
      <c r="B20" s="12"/>
      <c r="C20" s="11" t="s">
        <v>123</v>
      </c>
      <c r="D20" s="1" t="s">
        <v>131</v>
      </c>
      <c r="E20" s="17">
        <f>E28+E30+E32+E34+E40+E77+E50+E53+E70</f>
        <v>3950</v>
      </c>
      <c r="F20" s="101"/>
      <c r="G20" s="102"/>
      <c r="H20" s="66"/>
      <c r="I20" s="67"/>
      <c r="J20" s="72"/>
      <c r="K20" s="81"/>
      <c r="L20" s="88"/>
      <c r="M20" s="12"/>
      <c r="N20" s="126" t="s">
        <v>124</v>
      </c>
      <c r="O20" s="127"/>
      <c r="P20" s="128"/>
      <c r="Q20" s="13"/>
    </row>
    <row r="21" spans="2:17" s="14" customFormat="1" ht="18" customHeight="1" x14ac:dyDescent="0.2">
      <c r="B21" s="12"/>
      <c r="C21" s="16" t="s">
        <v>19</v>
      </c>
      <c r="D21" s="35" t="s">
        <v>136</v>
      </c>
      <c r="E21" s="4">
        <v>150</v>
      </c>
      <c r="F21" s="103"/>
      <c r="G21" s="104"/>
      <c r="H21" s="66"/>
      <c r="I21" s="67"/>
      <c r="J21" s="72"/>
      <c r="K21" s="81"/>
      <c r="L21" s="88"/>
      <c r="M21" s="12"/>
      <c r="N21" s="199"/>
      <c r="O21" s="199"/>
      <c r="P21" s="199"/>
      <c r="Q21" s="13"/>
    </row>
    <row r="22" spans="2:17" s="14" customFormat="1" ht="18" customHeight="1" x14ac:dyDescent="0.2">
      <c r="B22" s="12"/>
      <c r="C22" s="18" t="s">
        <v>81</v>
      </c>
      <c r="D22" s="36" t="s">
        <v>135</v>
      </c>
      <c r="E22" s="2">
        <v>3150</v>
      </c>
      <c r="F22" s="101"/>
      <c r="G22" s="102"/>
      <c r="H22" s="66"/>
      <c r="I22" s="67"/>
      <c r="J22" s="72"/>
      <c r="K22" s="81"/>
      <c r="L22" s="88"/>
      <c r="M22" s="12"/>
      <c r="N22" s="198"/>
      <c r="O22" s="198"/>
      <c r="P22" s="198"/>
      <c r="Q22" s="13"/>
    </row>
    <row r="23" spans="2:17" s="14" customFormat="1" ht="18" customHeight="1" x14ac:dyDescent="0.2">
      <c r="B23" s="12"/>
      <c r="C23" s="16" t="s">
        <v>16</v>
      </c>
      <c r="D23" s="35" t="s">
        <v>137</v>
      </c>
      <c r="E23" s="4">
        <v>180</v>
      </c>
      <c r="F23" s="103"/>
      <c r="G23" s="104"/>
      <c r="H23" s="66"/>
      <c r="I23" s="67"/>
      <c r="J23" s="72"/>
      <c r="K23" s="81"/>
      <c r="L23" s="88"/>
      <c r="M23" s="12"/>
      <c r="N23" s="199"/>
      <c r="O23" s="199"/>
      <c r="P23" s="199"/>
      <c r="Q23" s="13"/>
    </row>
    <row r="24" spans="2:17" s="14" customFormat="1" ht="18" customHeight="1" x14ac:dyDescent="0.2">
      <c r="B24" s="12"/>
      <c r="C24" s="18" t="s">
        <v>17</v>
      </c>
      <c r="D24" s="36" t="s">
        <v>137</v>
      </c>
      <c r="E24" s="2">
        <v>8</v>
      </c>
      <c r="F24" s="101"/>
      <c r="G24" s="102"/>
      <c r="H24" s="66"/>
      <c r="I24" s="67"/>
      <c r="J24" s="72"/>
      <c r="K24" s="81"/>
      <c r="L24" s="88"/>
      <c r="M24" s="12"/>
      <c r="N24" s="198"/>
      <c r="O24" s="198"/>
      <c r="P24" s="198"/>
      <c r="Q24" s="13"/>
    </row>
    <row r="25" spans="2:17" s="14" customFormat="1" ht="18" customHeight="1" x14ac:dyDescent="0.2">
      <c r="B25" s="12"/>
      <c r="C25" s="19" t="s">
        <v>18</v>
      </c>
      <c r="D25" s="37" t="s">
        <v>137</v>
      </c>
      <c r="E25" s="4">
        <v>5</v>
      </c>
      <c r="F25" s="103"/>
      <c r="G25" s="104"/>
      <c r="H25" s="66"/>
      <c r="I25" s="67"/>
      <c r="J25" s="72"/>
      <c r="K25" s="81"/>
      <c r="L25" s="88"/>
      <c r="M25" s="12"/>
      <c r="N25" s="199"/>
      <c r="O25" s="199"/>
      <c r="P25" s="199"/>
      <c r="Q25" s="13"/>
    </row>
    <row r="26" spans="2:17" s="14" customFormat="1" ht="41.25" customHeight="1" x14ac:dyDescent="0.2">
      <c r="B26" s="12"/>
      <c r="C26" s="56" t="s">
        <v>106</v>
      </c>
      <c r="D26" s="74" t="s">
        <v>24</v>
      </c>
      <c r="E26" s="74" t="s">
        <v>101</v>
      </c>
      <c r="F26" s="115" t="s">
        <v>102</v>
      </c>
      <c r="G26" s="116"/>
      <c r="H26" s="66"/>
      <c r="I26" s="67"/>
      <c r="J26" s="72"/>
      <c r="K26" s="81"/>
      <c r="L26" s="88"/>
      <c r="M26" s="12"/>
      <c r="N26" s="163" t="s">
        <v>121</v>
      </c>
      <c r="O26" s="164"/>
      <c r="P26" s="165"/>
      <c r="Q26" s="13"/>
    </row>
    <row r="27" spans="2:17" s="14" customFormat="1" ht="18" customHeight="1" x14ac:dyDescent="0.2">
      <c r="B27" s="12"/>
      <c r="C27" s="11" t="s">
        <v>98</v>
      </c>
      <c r="D27" s="179" t="s">
        <v>141</v>
      </c>
      <c r="E27" s="2">
        <v>20</v>
      </c>
      <c r="F27" s="101" t="s">
        <v>133</v>
      </c>
      <c r="G27" s="102"/>
      <c r="H27" s="66"/>
      <c r="I27" s="67"/>
      <c r="J27" s="72"/>
      <c r="K27" s="81"/>
      <c r="L27" s="88"/>
      <c r="M27" s="12"/>
      <c r="N27" s="166" t="s">
        <v>90</v>
      </c>
      <c r="O27" s="167"/>
      <c r="P27" s="168"/>
      <c r="Q27" s="13"/>
    </row>
    <row r="28" spans="2:17" s="14" customFormat="1" ht="18" customHeight="1" x14ac:dyDescent="0.2">
      <c r="B28" s="12"/>
      <c r="C28" s="18" t="s">
        <v>86</v>
      </c>
      <c r="D28" s="180"/>
      <c r="E28" s="2">
        <v>400</v>
      </c>
      <c r="F28" s="101"/>
      <c r="G28" s="102"/>
      <c r="H28" s="66"/>
      <c r="I28" s="67"/>
      <c r="J28" s="72"/>
      <c r="K28" s="81"/>
      <c r="L28" s="88"/>
      <c r="M28" s="12"/>
      <c r="N28" s="126"/>
      <c r="O28" s="127"/>
      <c r="P28" s="128"/>
      <c r="Q28" s="13"/>
    </row>
    <row r="29" spans="2:17" s="14" customFormat="1" ht="18" customHeight="1" x14ac:dyDescent="0.2">
      <c r="B29" s="12"/>
      <c r="C29" s="15" t="s">
        <v>87</v>
      </c>
      <c r="D29" s="95" t="s">
        <v>132</v>
      </c>
      <c r="E29" s="4">
        <v>100</v>
      </c>
      <c r="F29" s="103"/>
      <c r="G29" s="104"/>
      <c r="H29" s="66"/>
      <c r="I29" s="67"/>
      <c r="J29" s="72"/>
      <c r="K29" s="81"/>
      <c r="L29" s="88"/>
      <c r="M29" s="12"/>
      <c r="N29" s="140" t="s">
        <v>93</v>
      </c>
      <c r="O29" s="141"/>
      <c r="P29" s="142"/>
      <c r="Q29" s="13"/>
    </row>
    <row r="30" spans="2:17" s="14" customFormat="1" ht="18" customHeight="1" x14ac:dyDescent="0.2">
      <c r="B30" s="12"/>
      <c r="C30" s="16" t="s">
        <v>86</v>
      </c>
      <c r="D30" s="96"/>
      <c r="E30" s="4">
        <v>2500</v>
      </c>
      <c r="F30" s="103"/>
      <c r="G30" s="104"/>
      <c r="H30" s="66"/>
      <c r="I30" s="67"/>
      <c r="J30" s="72"/>
      <c r="K30" s="81"/>
      <c r="L30" s="88"/>
      <c r="M30" s="12"/>
      <c r="N30" s="172"/>
      <c r="O30" s="173"/>
      <c r="P30" s="174"/>
      <c r="Q30" s="13"/>
    </row>
    <row r="31" spans="2:17" s="14" customFormat="1" ht="18" customHeight="1" x14ac:dyDescent="0.2">
      <c r="B31" s="12"/>
      <c r="C31" s="11" t="s">
        <v>88</v>
      </c>
      <c r="D31" s="93"/>
      <c r="E31" s="2"/>
      <c r="F31" s="101"/>
      <c r="G31" s="102"/>
      <c r="H31" s="66"/>
      <c r="I31" s="67"/>
      <c r="J31" s="72"/>
      <c r="K31" s="81"/>
      <c r="L31" s="88"/>
      <c r="M31" s="12"/>
      <c r="N31" s="166" t="s">
        <v>92</v>
      </c>
      <c r="O31" s="167"/>
      <c r="P31" s="168"/>
      <c r="Q31" s="13"/>
    </row>
    <row r="32" spans="2:17" s="14" customFormat="1" ht="18" customHeight="1" x14ac:dyDescent="0.2">
      <c r="B32" s="12"/>
      <c r="C32" s="18" t="s">
        <v>86</v>
      </c>
      <c r="D32" s="94"/>
      <c r="E32" s="2"/>
      <c r="F32" s="101"/>
      <c r="G32" s="102"/>
      <c r="H32" s="66"/>
      <c r="I32" s="67"/>
      <c r="J32" s="72"/>
      <c r="K32" s="81"/>
      <c r="L32" s="88"/>
      <c r="M32" s="12"/>
      <c r="N32" s="126"/>
      <c r="O32" s="127"/>
      <c r="P32" s="128"/>
      <c r="Q32" s="13"/>
    </row>
    <row r="33" spans="2:17" s="14" customFormat="1" ht="18" customHeight="1" x14ac:dyDescent="0.2">
      <c r="B33" s="12"/>
      <c r="C33" s="15" t="s">
        <v>89</v>
      </c>
      <c r="D33" s="95" t="s">
        <v>142</v>
      </c>
      <c r="E33" s="4">
        <v>8</v>
      </c>
      <c r="F33" s="103"/>
      <c r="G33" s="104"/>
      <c r="H33" s="66"/>
      <c r="I33" s="67"/>
      <c r="J33" s="72"/>
      <c r="K33" s="81"/>
      <c r="L33" s="88"/>
      <c r="M33" s="12"/>
      <c r="N33" s="140" t="s">
        <v>103</v>
      </c>
      <c r="O33" s="141"/>
      <c r="P33" s="142"/>
      <c r="Q33" s="13"/>
    </row>
    <row r="34" spans="2:17" s="14" customFormat="1" ht="18" customHeight="1" x14ac:dyDescent="0.2">
      <c r="B34" s="12"/>
      <c r="C34" s="16" t="s">
        <v>114</v>
      </c>
      <c r="D34" s="96"/>
      <c r="E34" s="4">
        <v>240</v>
      </c>
      <c r="F34" s="103"/>
      <c r="G34" s="104"/>
      <c r="H34" s="66"/>
      <c r="I34" s="67"/>
      <c r="J34" s="72"/>
      <c r="K34" s="81"/>
      <c r="L34" s="88"/>
      <c r="M34" s="12"/>
      <c r="N34" s="172"/>
      <c r="O34" s="173"/>
      <c r="P34" s="174"/>
      <c r="Q34" s="13"/>
    </row>
    <row r="35" spans="2:17" s="14" customFormat="1" ht="18" customHeight="1" x14ac:dyDescent="0.2">
      <c r="B35" s="12"/>
      <c r="C35" s="11" t="s">
        <v>84</v>
      </c>
      <c r="D35" s="45"/>
      <c r="E35" s="2">
        <v>600</v>
      </c>
      <c r="F35" s="101"/>
      <c r="G35" s="102"/>
      <c r="H35" s="66"/>
      <c r="I35" s="67"/>
      <c r="J35" s="72"/>
      <c r="K35" s="81"/>
      <c r="L35" s="88"/>
      <c r="M35" s="12"/>
      <c r="N35" s="166"/>
      <c r="O35" s="167"/>
      <c r="P35" s="168"/>
      <c r="Q35" s="13"/>
    </row>
    <row r="36" spans="2:17" s="14" customFormat="1" ht="34.5" customHeight="1" x14ac:dyDescent="0.2">
      <c r="B36" s="12"/>
      <c r="C36" s="11" t="s">
        <v>85</v>
      </c>
      <c r="D36" s="3"/>
      <c r="E36" s="17">
        <f>SUM(E28+E30+E32+E34)</f>
        <v>3140</v>
      </c>
      <c r="F36" s="101"/>
      <c r="G36" s="102"/>
      <c r="H36" s="66"/>
      <c r="I36" s="67"/>
      <c r="J36" s="72"/>
      <c r="K36" s="81"/>
      <c r="L36" s="88"/>
      <c r="M36" s="12"/>
      <c r="N36" s="166" t="s">
        <v>91</v>
      </c>
      <c r="O36" s="167"/>
      <c r="P36" s="168"/>
      <c r="Q36" s="13"/>
    </row>
    <row r="37" spans="2:17" s="14" customFormat="1" ht="34.5" customHeight="1" x14ac:dyDescent="0.2">
      <c r="B37" s="12"/>
      <c r="C37" s="57" t="s">
        <v>107</v>
      </c>
      <c r="D37" s="74" t="s">
        <v>24</v>
      </c>
      <c r="E37" s="74" t="s">
        <v>101</v>
      </c>
      <c r="F37" s="115" t="s">
        <v>102</v>
      </c>
      <c r="G37" s="116"/>
      <c r="H37" s="66"/>
      <c r="I37" s="67"/>
      <c r="J37" s="72"/>
      <c r="K37" s="81"/>
      <c r="L37" s="88"/>
      <c r="M37" s="12"/>
      <c r="N37" s="169"/>
      <c r="O37" s="169"/>
      <c r="P37" s="169"/>
      <c r="Q37" s="13"/>
    </row>
    <row r="38" spans="2:17" s="14" customFormat="1" ht="18" customHeight="1" x14ac:dyDescent="0.2">
      <c r="B38" s="12"/>
      <c r="C38" s="11" t="s">
        <v>26</v>
      </c>
      <c r="D38" s="109" t="s">
        <v>145</v>
      </c>
      <c r="E38" s="2">
        <v>4700</v>
      </c>
      <c r="F38" s="101"/>
      <c r="G38" s="102"/>
      <c r="H38" s="66"/>
      <c r="I38" s="67"/>
      <c r="J38" s="72"/>
      <c r="K38" s="81"/>
      <c r="L38" s="88"/>
      <c r="M38" s="12"/>
      <c r="N38" s="129"/>
      <c r="O38" s="129"/>
      <c r="P38" s="129"/>
      <c r="Q38" s="13"/>
    </row>
    <row r="39" spans="2:17" s="14" customFormat="1" ht="18" customHeight="1" x14ac:dyDescent="0.2">
      <c r="B39" s="12"/>
      <c r="C39" s="11" t="s">
        <v>20</v>
      </c>
      <c r="D39" s="109"/>
      <c r="E39" s="2">
        <v>3800</v>
      </c>
      <c r="F39" s="101"/>
      <c r="G39" s="102"/>
      <c r="H39" s="66"/>
      <c r="I39" s="67"/>
      <c r="J39" s="72"/>
      <c r="K39" s="81"/>
      <c r="L39" s="88"/>
      <c r="M39" s="12"/>
      <c r="N39" s="129"/>
      <c r="O39" s="129"/>
      <c r="P39" s="129"/>
      <c r="Q39" s="13"/>
    </row>
    <row r="40" spans="2:17" s="14" customFormat="1" ht="21.75" customHeight="1" x14ac:dyDescent="0.2">
      <c r="B40" s="12"/>
      <c r="C40" s="16" t="s">
        <v>32</v>
      </c>
      <c r="D40" s="59"/>
      <c r="E40" s="4">
        <v>270</v>
      </c>
      <c r="F40" s="103"/>
      <c r="G40" s="104"/>
      <c r="H40" s="66"/>
      <c r="I40" s="67"/>
      <c r="J40" s="72"/>
      <c r="K40" s="81"/>
      <c r="L40" s="88"/>
      <c r="M40" s="12"/>
      <c r="N40" s="171"/>
      <c r="O40" s="171"/>
      <c r="P40" s="171"/>
      <c r="Q40" s="13"/>
    </row>
    <row r="41" spans="2:17" s="14" customFormat="1" ht="18" customHeight="1" x14ac:dyDescent="0.2">
      <c r="B41" s="12"/>
      <c r="C41" s="16" t="s">
        <v>21</v>
      </c>
      <c r="D41" s="60"/>
      <c r="E41" s="4">
        <v>180</v>
      </c>
      <c r="F41" s="103"/>
      <c r="G41" s="104"/>
      <c r="H41" s="66"/>
      <c r="I41" s="67"/>
      <c r="J41" s="72"/>
      <c r="K41" s="81"/>
      <c r="L41" s="88"/>
      <c r="M41" s="12"/>
      <c r="N41" s="171"/>
      <c r="O41" s="171"/>
      <c r="P41" s="171"/>
      <c r="Q41" s="13"/>
    </row>
    <row r="42" spans="2:17" s="14" customFormat="1" ht="30" customHeight="1" x14ac:dyDescent="0.2">
      <c r="B42" s="12"/>
      <c r="C42" s="57" t="s">
        <v>108</v>
      </c>
      <c r="D42" s="74" t="s">
        <v>24</v>
      </c>
      <c r="E42" s="74" t="s">
        <v>101</v>
      </c>
      <c r="F42" s="115" t="s">
        <v>102</v>
      </c>
      <c r="G42" s="116"/>
      <c r="H42" s="66"/>
      <c r="I42" s="67"/>
      <c r="J42" s="72"/>
      <c r="K42" s="81"/>
      <c r="L42" s="88"/>
      <c r="M42" s="12"/>
      <c r="N42" s="204"/>
      <c r="O42" s="204"/>
      <c r="P42" s="204"/>
      <c r="Q42" s="13"/>
    </row>
    <row r="43" spans="2:17" s="14" customFormat="1" ht="18" customHeight="1" x14ac:dyDescent="0.2">
      <c r="B43" s="12"/>
      <c r="C43" s="11" t="s">
        <v>13</v>
      </c>
      <c r="D43" s="109" t="s">
        <v>146</v>
      </c>
      <c r="E43" s="2">
        <v>180</v>
      </c>
      <c r="F43" s="101"/>
      <c r="G43" s="102"/>
      <c r="H43" s="66"/>
      <c r="I43" s="67"/>
      <c r="J43" s="72"/>
      <c r="K43" s="81"/>
      <c r="L43" s="88"/>
      <c r="M43" s="12"/>
      <c r="N43" s="129"/>
      <c r="O43" s="129"/>
      <c r="P43" s="129"/>
      <c r="Q43" s="13"/>
    </row>
    <row r="44" spans="2:17" s="14" customFormat="1" ht="18" customHeight="1" x14ac:dyDescent="0.2">
      <c r="B44" s="12"/>
      <c r="C44" s="11" t="s">
        <v>20</v>
      </c>
      <c r="D44" s="109"/>
      <c r="E44" s="2">
        <v>180</v>
      </c>
      <c r="F44" s="101"/>
      <c r="G44" s="102"/>
      <c r="H44" s="66"/>
      <c r="I44" s="67"/>
      <c r="J44" s="72"/>
      <c r="K44" s="81"/>
      <c r="L44" s="88"/>
      <c r="M44" s="12"/>
      <c r="N44" s="129"/>
      <c r="O44" s="129"/>
      <c r="P44" s="129"/>
      <c r="Q44" s="13"/>
    </row>
    <row r="45" spans="2:17" s="14" customFormat="1" ht="18" customHeight="1" x14ac:dyDescent="0.2">
      <c r="B45" s="12"/>
      <c r="C45" s="16" t="s">
        <v>52</v>
      </c>
      <c r="D45" s="110"/>
      <c r="E45" s="4">
        <v>60</v>
      </c>
      <c r="F45" s="103"/>
      <c r="G45" s="104"/>
      <c r="H45" s="66"/>
      <c r="I45" s="67"/>
      <c r="J45" s="72"/>
      <c r="K45" s="81"/>
      <c r="L45" s="88"/>
      <c r="M45" s="12"/>
      <c r="N45" s="171"/>
      <c r="O45" s="171"/>
      <c r="P45" s="171"/>
      <c r="Q45" s="13"/>
    </row>
    <row r="46" spans="2:17" s="14" customFormat="1" ht="18" customHeight="1" x14ac:dyDescent="0.2">
      <c r="B46" s="12"/>
      <c r="C46" s="16" t="s">
        <v>21</v>
      </c>
      <c r="D46" s="111"/>
      <c r="E46" s="4">
        <v>60</v>
      </c>
      <c r="F46" s="103"/>
      <c r="G46" s="104"/>
      <c r="H46" s="66"/>
      <c r="I46" s="67"/>
      <c r="J46" s="72"/>
      <c r="K46" s="81"/>
      <c r="L46" s="88"/>
      <c r="M46" s="12"/>
      <c r="N46" s="171"/>
      <c r="O46" s="171"/>
      <c r="P46" s="171"/>
      <c r="Q46" s="13"/>
    </row>
    <row r="47" spans="2:17" s="14" customFormat="1" ht="30" customHeight="1" x14ac:dyDescent="0.2">
      <c r="B47" s="12"/>
      <c r="C47" s="57" t="s">
        <v>109</v>
      </c>
      <c r="D47" s="74" t="s">
        <v>24</v>
      </c>
      <c r="E47" s="74" t="s">
        <v>101</v>
      </c>
      <c r="F47" s="115" t="s">
        <v>102</v>
      </c>
      <c r="G47" s="116"/>
      <c r="H47" s="66"/>
      <c r="I47" s="67"/>
      <c r="J47" s="72"/>
      <c r="K47" s="81"/>
      <c r="L47" s="88"/>
      <c r="M47" s="12"/>
      <c r="N47" s="170" t="s">
        <v>82</v>
      </c>
      <c r="O47" s="170"/>
      <c r="P47" s="170"/>
      <c r="Q47" s="13"/>
    </row>
    <row r="48" spans="2:17" s="14" customFormat="1" ht="18" customHeight="1" x14ac:dyDescent="0.2">
      <c r="B48" s="12"/>
      <c r="C48" s="11" t="s">
        <v>29</v>
      </c>
      <c r="D48" s="105" t="s">
        <v>138</v>
      </c>
      <c r="E48" s="3">
        <v>100</v>
      </c>
      <c r="F48" s="101"/>
      <c r="G48" s="102"/>
      <c r="H48" s="66"/>
      <c r="I48" s="67"/>
      <c r="J48" s="72"/>
      <c r="K48" s="81"/>
      <c r="L48" s="88"/>
      <c r="M48" s="12"/>
      <c r="N48" s="129"/>
      <c r="O48" s="129"/>
      <c r="P48" s="129"/>
      <c r="Q48" s="13"/>
    </row>
    <row r="49" spans="2:17" s="14" customFormat="1" ht="18" customHeight="1" x14ac:dyDescent="0.2">
      <c r="B49" s="12"/>
      <c r="C49" s="18" t="s">
        <v>45</v>
      </c>
      <c r="D49" s="105"/>
      <c r="E49" s="3">
        <v>100</v>
      </c>
      <c r="F49" s="101"/>
      <c r="G49" s="102"/>
      <c r="H49" s="66"/>
      <c r="I49" s="67"/>
      <c r="J49" s="72"/>
      <c r="K49" s="81"/>
      <c r="L49" s="88"/>
      <c r="M49" s="12"/>
      <c r="N49" s="129"/>
      <c r="O49" s="129"/>
      <c r="P49" s="129"/>
      <c r="Q49" s="13"/>
    </row>
    <row r="50" spans="2:17" s="14" customFormat="1" ht="18" customHeight="1" x14ac:dyDescent="0.2">
      <c r="B50" s="12"/>
      <c r="C50" s="18" t="s">
        <v>53</v>
      </c>
      <c r="D50" s="105"/>
      <c r="E50" s="3">
        <v>250</v>
      </c>
      <c r="F50" s="101"/>
      <c r="G50" s="102"/>
      <c r="H50" s="66"/>
      <c r="I50" s="67"/>
      <c r="J50" s="72"/>
      <c r="K50" s="81"/>
      <c r="L50" s="88"/>
      <c r="M50" s="12"/>
      <c r="N50" s="129"/>
      <c r="O50" s="129"/>
      <c r="P50" s="129"/>
      <c r="Q50" s="13"/>
    </row>
    <row r="51" spans="2:17" s="14" customFormat="1" ht="18" customHeight="1" x14ac:dyDescent="0.2">
      <c r="B51" s="12"/>
      <c r="C51" s="15" t="s">
        <v>13</v>
      </c>
      <c r="D51" s="106"/>
      <c r="E51" s="38">
        <v>300</v>
      </c>
      <c r="F51" s="103"/>
      <c r="G51" s="104"/>
      <c r="H51" s="66"/>
      <c r="I51" s="67"/>
      <c r="J51" s="72"/>
      <c r="K51" s="81"/>
      <c r="L51" s="88"/>
      <c r="M51" s="12"/>
      <c r="N51" s="171"/>
      <c r="O51" s="171"/>
      <c r="P51" s="171"/>
      <c r="Q51" s="13"/>
    </row>
    <row r="52" spans="2:17" s="14" customFormat="1" ht="18" customHeight="1" x14ac:dyDescent="0.2">
      <c r="B52" s="12"/>
      <c r="C52" s="16" t="s">
        <v>20</v>
      </c>
      <c r="D52" s="106"/>
      <c r="E52" s="38">
        <v>0</v>
      </c>
      <c r="F52" s="103"/>
      <c r="G52" s="104"/>
      <c r="H52" s="66"/>
      <c r="I52" s="67"/>
      <c r="J52" s="72"/>
      <c r="K52" s="81"/>
      <c r="L52" s="88"/>
      <c r="M52" s="12"/>
      <c r="N52" s="171"/>
      <c r="O52" s="171"/>
      <c r="P52" s="171"/>
      <c r="Q52" s="13"/>
    </row>
    <row r="53" spans="2:17" s="14" customFormat="1" ht="18" customHeight="1" x14ac:dyDescent="0.2">
      <c r="B53" s="12"/>
      <c r="C53" s="11" t="s">
        <v>52</v>
      </c>
      <c r="D53" s="107"/>
      <c r="E53" s="3">
        <v>230</v>
      </c>
      <c r="F53" s="101"/>
      <c r="G53" s="102"/>
      <c r="H53" s="66"/>
      <c r="I53" s="67"/>
      <c r="J53" s="72"/>
      <c r="K53" s="81"/>
      <c r="L53" s="88"/>
      <c r="M53" s="12"/>
      <c r="N53" s="129"/>
      <c r="O53" s="129"/>
      <c r="P53" s="129"/>
      <c r="Q53" s="13"/>
    </row>
    <row r="54" spans="2:17" s="14" customFormat="1" ht="18" customHeight="1" x14ac:dyDescent="0.2">
      <c r="B54" s="12"/>
      <c r="C54" s="18" t="s">
        <v>21</v>
      </c>
      <c r="D54" s="108"/>
      <c r="E54" s="3">
        <v>0</v>
      </c>
      <c r="F54" s="101"/>
      <c r="G54" s="102"/>
      <c r="H54" s="66"/>
      <c r="I54" s="67"/>
      <c r="J54" s="72"/>
      <c r="K54" s="81"/>
      <c r="L54" s="88"/>
      <c r="M54" s="12"/>
      <c r="N54" s="129"/>
      <c r="O54" s="129"/>
      <c r="P54" s="129"/>
      <c r="Q54" s="13"/>
    </row>
    <row r="55" spans="2:17" s="14" customFormat="1" ht="30" customHeight="1" x14ac:dyDescent="0.2">
      <c r="B55" s="12"/>
      <c r="C55" s="58" t="s">
        <v>110</v>
      </c>
      <c r="D55" s="74" t="s">
        <v>24</v>
      </c>
      <c r="E55" s="74" t="s">
        <v>101</v>
      </c>
      <c r="F55" s="115" t="s">
        <v>102</v>
      </c>
      <c r="G55" s="116"/>
      <c r="H55" s="66"/>
      <c r="I55" s="67"/>
      <c r="J55" s="72"/>
      <c r="K55" s="81"/>
      <c r="L55" s="88"/>
      <c r="M55" s="12"/>
      <c r="N55" s="170" t="s">
        <v>117</v>
      </c>
      <c r="O55" s="170"/>
      <c r="P55" s="170"/>
      <c r="Q55" s="13"/>
    </row>
    <row r="56" spans="2:17" s="14" customFormat="1" ht="18" customHeight="1" x14ac:dyDescent="0.2">
      <c r="B56" s="12"/>
      <c r="C56" s="11" t="s">
        <v>23</v>
      </c>
      <c r="D56" s="93"/>
      <c r="E56" s="17">
        <f>E59+E61+E63+E65+E67+E69</f>
        <v>0</v>
      </c>
      <c r="F56" s="101"/>
      <c r="G56" s="102"/>
      <c r="H56" s="66"/>
      <c r="I56" s="67"/>
      <c r="J56" s="72"/>
      <c r="K56" s="81"/>
      <c r="L56" s="88"/>
      <c r="M56" s="12"/>
      <c r="N56" s="120"/>
      <c r="O56" s="120"/>
      <c r="P56" s="120"/>
      <c r="Q56" s="13"/>
    </row>
    <row r="57" spans="2:17" s="14" customFormat="1" ht="18" customHeight="1" x14ac:dyDescent="0.2">
      <c r="B57" s="12"/>
      <c r="C57" s="11" t="s">
        <v>22</v>
      </c>
      <c r="D57" s="94"/>
      <c r="E57" s="17">
        <f>E58+E60+E62+E64+E66+E68</f>
        <v>0</v>
      </c>
      <c r="F57" s="101"/>
      <c r="G57" s="102"/>
      <c r="H57" s="66"/>
      <c r="I57" s="67"/>
      <c r="J57" s="72"/>
      <c r="K57" s="81"/>
      <c r="L57" s="88"/>
      <c r="M57" s="12"/>
      <c r="N57" s="120"/>
      <c r="O57" s="120"/>
      <c r="P57" s="120"/>
      <c r="Q57" s="13"/>
    </row>
    <row r="58" spans="2:17" s="14" customFormat="1" ht="18" customHeight="1" x14ac:dyDescent="0.2">
      <c r="B58" s="12"/>
      <c r="C58" s="16" t="s">
        <v>37</v>
      </c>
      <c r="D58" s="97"/>
      <c r="E58" s="4"/>
      <c r="F58" s="103"/>
      <c r="G58" s="104"/>
      <c r="H58" s="66"/>
      <c r="I58" s="67"/>
      <c r="J58" s="72"/>
      <c r="K58" s="81"/>
      <c r="L58" s="88"/>
      <c r="M58" s="12"/>
      <c r="N58" s="121"/>
      <c r="O58" s="121"/>
      <c r="P58" s="121"/>
      <c r="Q58" s="13"/>
    </row>
    <row r="59" spans="2:17" s="14" customFormat="1" ht="18" customHeight="1" x14ac:dyDescent="0.2">
      <c r="B59" s="12"/>
      <c r="C59" s="16" t="s">
        <v>46</v>
      </c>
      <c r="D59" s="98"/>
      <c r="E59" s="4"/>
      <c r="F59" s="103"/>
      <c r="G59" s="104"/>
      <c r="H59" s="66"/>
      <c r="I59" s="67"/>
      <c r="J59" s="72"/>
      <c r="K59" s="81"/>
      <c r="L59" s="88"/>
      <c r="M59" s="12"/>
      <c r="N59" s="121"/>
      <c r="O59" s="121"/>
      <c r="P59" s="121"/>
      <c r="Q59" s="13"/>
    </row>
    <row r="60" spans="2:17" s="14" customFormat="1" ht="18" customHeight="1" x14ac:dyDescent="0.2">
      <c r="B60" s="12"/>
      <c r="C60" s="18" t="s">
        <v>33</v>
      </c>
      <c r="D60" s="99"/>
      <c r="E60" s="2"/>
      <c r="F60" s="101"/>
      <c r="G60" s="102"/>
      <c r="H60" s="66"/>
      <c r="I60" s="67"/>
      <c r="J60" s="72"/>
      <c r="K60" s="81"/>
      <c r="L60" s="88"/>
      <c r="M60" s="12"/>
      <c r="N60" s="122"/>
      <c r="O60" s="122"/>
      <c r="P60" s="122"/>
      <c r="Q60" s="13"/>
    </row>
    <row r="61" spans="2:17" s="14" customFormat="1" ht="18" customHeight="1" x14ac:dyDescent="0.2">
      <c r="B61" s="12"/>
      <c r="C61" s="18" t="s">
        <v>47</v>
      </c>
      <c r="D61" s="100"/>
      <c r="E61" s="2"/>
      <c r="F61" s="101"/>
      <c r="G61" s="102"/>
      <c r="H61" s="66"/>
      <c r="I61" s="67"/>
      <c r="J61" s="72"/>
      <c r="K61" s="81"/>
      <c r="L61" s="88"/>
      <c r="M61" s="12"/>
      <c r="N61" s="122"/>
      <c r="O61" s="122"/>
      <c r="P61" s="122"/>
      <c r="Q61" s="13"/>
    </row>
    <row r="62" spans="2:17" s="14" customFormat="1" ht="18" customHeight="1" x14ac:dyDescent="0.2">
      <c r="B62" s="12"/>
      <c r="C62" s="16" t="s">
        <v>34</v>
      </c>
      <c r="D62" s="95"/>
      <c r="E62" s="4"/>
      <c r="F62" s="103"/>
      <c r="G62" s="104"/>
      <c r="H62" s="66"/>
      <c r="I62" s="67"/>
      <c r="J62" s="72"/>
      <c r="K62" s="81"/>
      <c r="L62" s="88"/>
      <c r="M62" s="12"/>
      <c r="N62" s="121"/>
      <c r="O62" s="121"/>
      <c r="P62" s="121"/>
      <c r="Q62" s="13"/>
    </row>
    <row r="63" spans="2:17" s="14" customFormat="1" ht="18" customHeight="1" x14ac:dyDescent="0.2">
      <c r="B63" s="12"/>
      <c r="C63" s="16" t="s">
        <v>48</v>
      </c>
      <c r="D63" s="96"/>
      <c r="E63" s="4"/>
      <c r="F63" s="103"/>
      <c r="G63" s="104"/>
      <c r="H63" s="66"/>
      <c r="I63" s="67"/>
      <c r="J63" s="72"/>
      <c r="K63" s="81"/>
      <c r="L63" s="88"/>
      <c r="M63" s="12"/>
      <c r="N63" s="121"/>
      <c r="O63" s="121"/>
      <c r="P63" s="121"/>
      <c r="Q63" s="13"/>
    </row>
    <row r="64" spans="2:17" s="14" customFormat="1" ht="18" customHeight="1" x14ac:dyDescent="0.2">
      <c r="B64" s="12"/>
      <c r="C64" s="18" t="s">
        <v>35</v>
      </c>
      <c r="D64" s="99"/>
      <c r="E64" s="2"/>
      <c r="F64" s="101"/>
      <c r="G64" s="102"/>
      <c r="H64" s="66"/>
      <c r="I64" s="67"/>
      <c r="J64" s="72"/>
      <c r="K64" s="81"/>
      <c r="L64" s="88"/>
      <c r="M64" s="12"/>
      <c r="N64" s="122"/>
      <c r="O64" s="122"/>
      <c r="P64" s="122"/>
      <c r="Q64" s="13"/>
    </row>
    <row r="65" spans="2:17" s="14" customFormat="1" ht="18" customHeight="1" x14ac:dyDescent="0.2">
      <c r="B65" s="12"/>
      <c r="C65" s="18" t="s">
        <v>49</v>
      </c>
      <c r="D65" s="100"/>
      <c r="E65" s="2"/>
      <c r="F65" s="101"/>
      <c r="G65" s="102"/>
      <c r="H65" s="66"/>
      <c r="I65" s="67"/>
      <c r="J65" s="72"/>
      <c r="K65" s="81"/>
      <c r="L65" s="88"/>
      <c r="M65" s="12"/>
      <c r="N65" s="122"/>
      <c r="O65" s="122"/>
      <c r="P65" s="122"/>
      <c r="Q65" s="13"/>
    </row>
    <row r="66" spans="2:17" s="14" customFormat="1" ht="18" customHeight="1" x14ac:dyDescent="0.2">
      <c r="B66" s="12"/>
      <c r="C66" s="16" t="s">
        <v>36</v>
      </c>
      <c r="D66" s="97"/>
      <c r="E66" s="4"/>
      <c r="F66" s="103"/>
      <c r="G66" s="104"/>
      <c r="H66" s="66"/>
      <c r="I66" s="67"/>
      <c r="J66" s="72"/>
      <c r="K66" s="81"/>
      <c r="L66" s="88"/>
      <c r="M66" s="12"/>
      <c r="N66" s="121"/>
      <c r="O66" s="121"/>
      <c r="P66" s="121"/>
      <c r="Q66" s="13"/>
    </row>
    <row r="67" spans="2:17" s="14" customFormat="1" ht="18" customHeight="1" x14ac:dyDescent="0.2">
      <c r="B67" s="12"/>
      <c r="C67" s="16" t="s">
        <v>50</v>
      </c>
      <c r="D67" s="98"/>
      <c r="E67" s="4"/>
      <c r="F67" s="103"/>
      <c r="G67" s="104"/>
      <c r="H67" s="66"/>
      <c r="I67" s="67"/>
      <c r="J67" s="72"/>
      <c r="K67" s="81"/>
      <c r="L67" s="88"/>
      <c r="M67" s="12"/>
      <c r="N67" s="121"/>
      <c r="O67" s="121"/>
      <c r="P67" s="121"/>
      <c r="Q67" s="13"/>
    </row>
    <row r="68" spans="2:17" s="14" customFormat="1" ht="18" customHeight="1" x14ac:dyDescent="0.2">
      <c r="B68" s="12"/>
      <c r="C68" s="18" t="s">
        <v>43</v>
      </c>
      <c r="D68" s="99"/>
      <c r="E68" s="2"/>
      <c r="F68" s="101"/>
      <c r="G68" s="102"/>
      <c r="H68" s="66"/>
      <c r="I68" s="67"/>
      <c r="J68" s="72"/>
      <c r="K68" s="81"/>
      <c r="L68" s="88"/>
      <c r="M68" s="12"/>
      <c r="N68" s="123" t="s">
        <v>120</v>
      </c>
      <c r="O68" s="124"/>
      <c r="P68" s="125"/>
      <c r="Q68" s="13"/>
    </row>
    <row r="69" spans="2:17" s="14" customFormat="1" ht="18" customHeight="1" x14ac:dyDescent="0.2">
      <c r="B69" s="12"/>
      <c r="C69" s="18" t="s">
        <v>51</v>
      </c>
      <c r="D69" s="100"/>
      <c r="E69" s="2"/>
      <c r="F69" s="101"/>
      <c r="G69" s="102"/>
      <c r="H69" s="66"/>
      <c r="I69" s="67"/>
      <c r="J69" s="72"/>
      <c r="K69" s="81"/>
      <c r="L69" s="88"/>
      <c r="M69" s="12"/>
      <c r="N69" s="126"/>
      <c r="O69" s="127"/>
      <c r="P69" s="128"/>
      <c r="Q69" s="13"/>
    </row>
    <row r="70" spans="2:17" s="14" customFormat="1" ht="24.75" customHeight="1" x14ac:dyDescent="0.2">
      <c r="B70" s="12"/>
      <c r="C70" s="15" t="s">
        <v>96</v>
      </c>
      <c r="D70" s="35"/>
      <c r="E70" s="76"/>
      <c r="F70" s="207"/>
      <c r="G70" s="208"/>
      <c r="H70" s="66"/>
      <c r="I70" s="67"/>
      <c r="J70" s="72"/>
      <c r="K70" s="81"/>
      <c r="L70" s="88"/>
      <c r="M70" s="12"/>
      <c r="N70" s="140" t="s">
        <v>94</v>
      </c>
      <c r="O70" s="141"/>
      <c r="P70" s="142"/>
      <c r="Q70" s="13"/>
    </row>
    <row r="71" spans="2:17" s="14" customFormat="1" ht="24.75" customHeight="1" x14ac:dyDescent="0.2">
      <c r="B71" s="12"/>
      <c r="C71" s="15" t="s">
        <v>95</v>
      </c>
      <c r="D71" s="35"/>
      <c r="E71" s="4"/>
      <c r="F71" s="103"/>
      <c r="G71" s="104"/>
      <c r="H71" s="66"/>
      <c r="I71" s="67"/>
      <c r="J71" s="72"/>
      <c r="K71" s="81"/>
      <c r="L71" s="88"/>
      <c r="M71" s="12"/>
      <c r="N71" s="140" t="s">
        <v>97</v>
      </c>
      <c r="O71" s="141"/>
      <c r="P71" s="142"/>
      <c r="Q71" s="13"/>
    </row>
    <row r="72" spans="2:17" s="14" customFormat="1" ht="18" customHeight="1" x14ac:dyDescent="0.2">
      <c r="B72" s="12"/>
      <c r="C72" s="11" t="s">
        <v>41</v>
      </c>
      <c r="D72" s="36"/>
      <c r="E72" s="2"/>
      <c r="F72" s="101"/>
      <c r="G72" s="102"/>
      <c r="H72" s="66"/>
      <c r="I72" s="67"/>
      <c r="J72" s="72"/>
      <c r="K72" s="81"/>
      <c r="L72" s="88"/>
      <c r="M72" s="12"/>
      <c r="N72" s="143"/>
      <c r="O72" s="144"/>
      <c r="P72" s="145"/>
      <c r="Q72" s="13"/>
    </row>
    <row r="73" spans="2:17" s="14" customFormat="1" ht="18" customHeight="1" x14ac:dyDescent="0.2">
      <c r="B73" s="12"/>
      <c r="C73" s="18" t="s">
        <v>38</v>
      </c>
      <c r="D73" s="36"/>
      <c r="E73" s="2"/>
      <c r="F73" s="101"/>
      <c r="G73" s="102"/>
      <c r="H73" s="66"/>
      <c r="I73" s="67"/>
      <c r="J73" s="72"/>
      <c r="K73" s="81"/>
      <c r="L73" s="88"/>
      <c r="M73" s="12"/>
      <c r="N73" s="143"/>
      <c r="O73" s="144"/>
      <c r="P73" s="145"/>
      <c r="Q73" s="13"/>
    </row>
    <row r="74" spans="2:17" s="14" customFormat="1" ht="18" customHeight="1" x14ac:dyDescent="0.2">
      <c r="B74" s="12"/>
      <c r="C74" s="15" t="s">
        <v>25</v>
      </c>
      <c r="D74" s="35"/>
      <c r="E74" s="4"/>
      <c r="F74" s="103"/>
      <c r="G74" s="104"/>
      <c r="H74" s="66"/>
      <c r="I74" s="67"/>
      <c r="J74" s="72"/>
      <c r="K74" s="81"/>
      <c r="L74" s="88"/>
      <c r="M74" s="12"/>
      <c r="N74" s="137" t="s">
        <v>44</v>
      </c>
      <c r="O74" s="138"/>
      <c r="P74" s="139"/>
      <c r="Q74" s="13"/>
    </row>
    <row r="75" spans="2:17" s="14" customFormat="1" ht="30" customHeight="1" x14ac:dyDescent="0.2">
      <c r="B75" s="12"/>
      <c r="C75" s="58" t="s">
        <v>111</v>
      </c>
      <c r="D75" s="74" t="s">
        <v>24</v>
      </c>
      <c r="E75" s="74" t="s">
        <v>101</v>
      </c>
      <c r="F75" s="115" t="s">
        <v>102</v>
      </c>
      <c r="G75" s="116"/>
      <c r="H75" s="66"/>
      <c r="I75" s="67"/>
      <c r="J75" s="72"/>
      <c r="K75" s="81"/>
      <c r="L75" s="88"/>
      <c r="M75" s="12"/>
      <c r="N75" s="130"/>
      <c r="O75" s="131"/>
      <c r="P75" s="132"/>
      <c r="Q75" s="13"/>
    </row>
    <row r="76" spans="2:17" s="14" customFormat="1" ht="18" customHeight="1" x14ac:dyDescent="0.2">
      <c r="B76" s="12"/>
      <c r="C76" s="11" t="s">
        <v>42</v>
      </c>
      <c r="D76" s="112" t="s">
        <v>144</v>
      </c>
      <c r="E76" s="2">
        <v>144</v>
      </c>
      <c r="F76" s="101"/>
      <c r="G76" s="102"/>
      <c r="H76" s="66"/>
      <c r="I76" s="67"/>
      <c r="J76" s="72"/>
      <c r="K76" s="81"/>
      <c r="L76" s="88"/>
      <c r="M76" s="12"/>
      <c r="N76" s="129"/>
      <c r="O76" s="129"/>
      <c r="P76" s="129"/>
      <c r="Q76" s="13"/>
    </row>
    <row r="77" spans="2:17" s="14" customFormat="1" ht="18" customHeight="1" x14ac:dyDescent="0.2">
      <c r="B77" s="12"/>
      <c r="C77" s="18" t="s">
        <v>28</v>
      </c>
      <c r="D77" s="113"/>
      <c r="E77" s="2">
        <v>60</v>
      </c>
      <c r="F77" s="101"/>
      <c r="G77" s="102"/>
      <c r="H77" s="66"/>
      <c r="I77" s="67"/>
      <c r="J77" s="72"/>
      <c r="K77" s="81"/>
      <c r="L77" s="88"/>
      <c r="M77" s="12"/>
      <c r="N77" s="129"/>
      <c r="O77" s="129"/>
      <c r="P77" s="129"/>
      <c r="Q77" s="13"/>
    </row>
    <row r="78" spans="2:17" s="14" customFormat="1" ht="18" customHeight="1" x14ac:dyDescent="0.2">
      <c r="B78" s="12"/>
      <c r="C78" s="18" t="s">
        <v>54</v>
      </c>
      <c r="D78" s="114"/>
      <c r="E78" s="2">
        <v>35</v>
      </c>
      <c r="F78" s="101"/>
      <c r="G78" s="102"/>
      <c r="H78" s="66"/>
      <c r="I78" s="67"/>
      <c r="J78" s="72"/>
      <c r="K78" s="81"/>
      <c r="L78" s="88"/>
      <c r="M78" s="12"/>
      <c r="N78" s="129"/>
      <c r="O78" s="129"/>
      <c r="P78" s="129"/>
      <c r="Q78" s="13"/>
    </row>
    <row r="79" spans="2:17" s="14" customFormat="1" ht="30" customHeight="1" x14ac:dyDescent="0.2">
      <c r="B79" s="12"/>
      <c r="C79" s="16" t="s">
        <v>122</v>
      </c>
      <c r="D79" s="92" t="s">
        <v>143</v>
      </c>
      <c r="E79" s="4">
        <v>144</v>
      </c>
      <c r="F79" s="103"/>
      <c r="G79" s="104"/>
      <c r="H79" s="66"/>
      <c r="I79" s="67"/>
      <c r="J79" s="72"/>
      <c r="K79" s="81"/>
      <c r="L79" s="88"/>
      <c r="M79" s="12"/>
      <c r="N79" s="136" t="s">
        <v>125</v>
      </c>
      <c r="O79" s="136"/>
      <c r="P79" s="136"/>
      <c r="Q79" s="13"/>
    </row>
    <row r="80" spans="2:17" s="14" customFormat="1" ht="30" customHeight="1" x14ac:dyDescent="0.2">
      <c r="B80" s="12"/>
      <c r="C80" s="16" t="s">
        <v>72</v>
      </c>
      <c r="D80" s="92"/>
      <c r="E80" s="4">
        <v>15</v>
      </c>
      <c r="F80" s="103"/>
      <c r="G80" s="104"/>
      <c r="H80" s="66"/>
      <c r="I80" s="67"/>
      <c r="J80" s="72"/>
      <c r="K80" s="81"/>
      <c r="L80" s="88"/>
      <c r="M80" s="12"/>
      <c r="N80" s="136" t="s">
        <v>126</v>
      </c>
      <c r="O80" s="136"/>
      <c r="P80" s="136"/>
      <c r="Q80" s="13"/>
    </row>
    <row r="81" spans="2:17" s="14" customFormat="1" ht="18" customHeight="1" x14ac:dyDescent="0.2">
      <c r="B81" s="12"/>
      <c r="C81" s="16" t="s">
        <v>73</v>
      </c>
      <c r="D81" s="92"/>
      <c r="E81" s="4">
        <v>25</v>
      </c>
      <c r="F81" s="103"/>
      <c r="G81" s="104"/>
      <c r="H81" s="66"/>
      <c r="I81" s="67"/>
      <c r="J81" s="72"/>
      <c r="K81" s="81"/>
      <c r="L81" s="88"/>
      <c r="M81" s="12"/>
      <c r="N81" s="133"/>
      <c r="O81" s="134"/>
      <c r="P81" s="135"/>
      <c r="Q81" s="13"/>
    </row>
    <row r="82" spans="2:17" s="14" customFormat="1" ht="30" customHeight="1" x14ac:dyDescent="0.2">
      <c r="B82" s="12"/>
      <c r="C82" s="57" t="s">
        <v>112</v>
      </c>
      <c r="D82" s="74" t="s">
        <v>24</v>
      </c>
      <c r="E82" s="74" t="s">
        <v>101</v>
      </c>
      <c r="F82" s="115" t="s">
        <v>102</v>
      </c>
      <c r="G82" s="116"/>
      <c r="H82" s="66"/>
      <c r="I82" s="67"/>
      <c r="J82" s="72"/>
      <c r="K82" s="81"/>
      <c r="L82" s="88"/>
      <c r="M82" s="12"/>
      <c r="N82" s="130"/>
      <c r="O82" s="131"/>
      <c r="P82" s="132"/>
      <c r="Q82" s="13"/>
    </row>
    <row r="83" spans="2:17" s="14" customFormat="1" ht="18" customHeight="1" x14ac:dyDescent="0.2">
      <c r="B83" s="12"/>
      <c r="C83" s="11" t="s">
        <v>12</v>
      </c>
      <c r="D83" s="1"/>
      <c r="E83" s="2"/>
      <c r="F83" s="101"/>
      <c r="G83" s="102"/>
      <c r="H83" s="66"/>
      <c r="I83" s="67"/>
      <c r="J83" s="72"/>
      <c r="K83" s="81"/>
      <c r="L83" s="88"/>
      <c r="M83" s="12"/>
      <c r="N83" s="117"/>
      <c r="O83" s="118"/>
      <c r="P83" s="119"/>
      <c r="Q83" s="13"/>
    </row>
    <row r="84" spans="2:17" s="14" customFormat="1" ht="18" customHeight="1" x14ac:dyDescent="0.2">
      <c r="B84" s="12"/>
      <c r="C84" s="15" t="s">
        <v>39</v>
      </c>
      <c r="D84" s="77"/>
      <c r="E84" s="4"/>
      <c r="F84" s="103"/>
      <c r="G84" s="104"/>
      <c r="H84" s="66"/>
      <c r="I84" s="67"/>
      <c r="J84" s="72"/>
      <c r="K84" s="81"/>
      <c r="L84" s="88"/>
      <c r="M84" s="12"/>
      <c r="N84" s="200" t="s">
        <v>40</v>
      </c>
      <c r="O84" s="201"/>
      <c r="P84" s="202"/>
      <c r="Q84" s="13"/>
    </row>
    <row r="85" spans="2:17" s="14" customFormat="1" ht="24.75" customHeight="1" x14ac:dyDescent="0.2">
      <c r="B85" s="12"/>
      <c r="C85" s="18" t="s">
        <v>80</v>
      </c>
      <c r="D85" s="93" t="s">
        <v>147</v>
      </c>
      <c r="E85" s="2">
        <v>100</v>
      </c>
      <c r="F85" s="101"/>
      <c r="G85" s="102"/>
      <c r="H85" s="66"/>
      <c r="I85" s="67"/>
      <c r="J85" s="72"/>
      <c r="K85" s="81"/>
      <c r="L85" s="88"/>
      <c r="M85" s="12"/>
      <c r="N85" s="166" t="s">
        <v>83</v>
      </c>
      <c r="O85" s="167"/>
      <c r="P85" s="168"/>
      <c r="Q85" s="13"/>
    </row>
    <row r="86" spans="2:17" s="14" customFormat="1" ht="18" customHeight="1" x14ac:dyDescent="0.2">
      <c r="B86" s="12"/>
      <c r="C86" s="18" t="s">
        <v>31</v>
      </c>
      <c r="D86" s="94"/>
      <c r="E86" s="2">
        <v>650</v>
      </c>
      <c r="F86" s="101"/>
      <c r="G86" s="102"/>
      <c r="H86" s="68"/>
      <c r="I86" s="69"/>
      <c r="J86" s="73"/>
      <c r="K86" s="81"/>
      <c r="L86" s="88"/>
      <c r="M86" s="12"/>
      <c r="N86" s="126"/>
      <c r="O86" s="127"/>
      <c r="P86" s="128"/>
      <c r="Q86" s="13"/>
    </row>
    <row r="87" spans="2:17" s="21" customFormat="1" ht="18.75" customHeight="1" x14ac:dyDescent="0.2">
      <c r="B87" s="20"/>
      <c r="C87" s="203"/>
      <c r="D87" s="203"/>
      <c r="E87" s="203"/>
      <c r="F87" s="203"/>
      <c r="G87" s="203"/>
      <c r="H87" s="203"/>
      <c r="I87" s="203"/>
      <c r="J87" s="203"/>
      <c r="K87" s="83"/>
      <c r="L87" s="90"/>
      <c r="M87" s="22"/>
      <c r="N87" s="23"/>
      <c r="O87" s="23"/>
      <c r="P87" s="23"/>
      <c r="Q87" s="24"/>
    </row>
    <row r="88" spans="2:17" s="21" customFormat="1" ht="18.75" customHeight="1" x14ac:dyDescent="0.2">
      <c r="B88" s="25"/>
      <c r="C88" s="25"/>
      <c r="D88" s="25"/>
      <c r="E88" s="25"/>
      <c r="F88" s="48"/>
      <c r="G88" s="25"/>
      <c r="H88" s="25"/>
      <c r="I88" s="25"/>
      <c r="J88" s="25"/>
      <c r="K88" s="48"/>
      <c r="L88" s="90"/>
    </row>
    <row r="89" spans="2:17" s="21" customFormat="1" ht="24" customHeight="1" x14ac:dyDescent="0.2">
      <c r="B89" s="26"/>
      <c r="C89" s="27"/>
      <c r="D89" s="27"/>
      <c r="E89" s="27"/>
      <c r="F89" s="49"/>
      <c r="G89" s="27"/>
      <c r="H89" s="27"/>
      <c r="I89" s="27"/>
      <c r="J89" s="27"/>
      <c r="K89" s="84"/>
      <c r="L89" s="90"/>
    </row>
    <row r="90" spans="2:17" s="21" customFormat="1" ht="132.75" customHeight="1" x14ac:dyDescent="0.2">
      <c r="B90" s="28"/>
      <c r="C90" s="195" t="s">
        <v>119</v>
      </c>
      <c r="D90" s="196"/>
      <c r="E90" s="197"/>
      <c r="F90" s="197"/>
      <c r="G90" s="197"/>
      <c r="H90" s="197"/>
      <c r="I90" s="197"/>
      <c r="J90" s="197"/>
      <c r="K90" s="85"/>
      <c r="L90" s="90"/>
    </row>
    <row r="91" spans="2:17" s="21" customFormat="1" ht="18.75" hidden="1" customHeight="1" x14ac:dyDescent="0.2">
      <c r="B91" s="22"/>
      <c r="C91" s="23"/>
      <c r="D91" s="23"/>
      <c r="E91" s="23"/>
      <c r="F91" s="50"/>
      <c r="G91" s="23"/>
      <c r="H91" s="23"/>
      <c r="I91" s="23"/>
      <c r="J91" s="23"/>
      <c r="K91" s="86"/>
      <c r="L91" s="90"/>
    </row>
    <row r="92" spans="2:17" s="21" customFormat="1" ht="18.75" hidden="1" customHeight="1" x14ac:dyDescent="0.2">
      <c r="C92" s="29" t="s">
        <v>11</v>
      </c>
      <c r="D92" s="29"/>
      <c r="E92" s="29"/>
      <c r="F92" s="48"/>
      <c r="G92" s="29"/>
      <c r="H92" s="29"/>
      <c r="I92" s="29"/>
      <c r="J92" s="29" t="e">
        <f>IF(OR(#REF!="",#REF!=""),0,ROUND(((#REF!-#REF!)/30),0))</f>
        <v>#REF!</v>
      </c>
      <c r="K92" s="48"/>
      <c r="L92" s="90"/>
    </row>
    <row r="93" spans="2:17" s="21" customFormat="1" ht="18.75" hidden="1" customHeight="1" x14ac:dyDescent="0.2">
      <c r="C93" s="29" t="s">
        <v>10</v>
      </c>
      <c r="D93" s="29"/>
      <c r="E93" s="29"/>
      <c r="F93" s="48"/>
      <c r="G93" s="29"/>
      <c r="H93" s="29"/>
      <c r="I93" s="29"/>
      <c r="J93" s="29"/>
      <c r="K93" s="48"/>
      <c r="L93" s="90"/>
    </row>
    <row r="94" spans="2:17" s="21" customFormat="1" ht="18.75" hidden="1" customHeight="1" x14ac:dyDescent="0.2">
      <c r="C94" s="29" t="s">
        <v>9</v>
      </c>
      <c r="D94" s="29"/>
      <c r="E94" s="29"/>
      <c r="F94" s="48"/>
      <c r="G94" s="29"/>
      <c r="H94" s="29"/>
      <c r="I94" s="29"/>
      <c r="J94" s="29"/>
      <c r="K94" s="48"/>
      <c r="L94" s="90"/>
    </row>
    <row r="95" spans="2:17" s="21" customFormat="1" ht="18.75" hidden="1" customHeight="1" x14ac:dyDescent="0.2">
      <c r="C95" s="29" t="s">
        <v>8</v>
      </c>
      <c r="D95" s="29"/>
      <c r="E95" s="29"/>
      <c r="F95" s="48"/>
      <c r="G95" s="29"/>
      <c r="H95" s="29"/>
      <c r="I95" s="29"/>
      <c r="J95" s="29"/>
      <c r="K95" s="48"/>
      <c r="L95" s="90"/>
    </row>
    <row r="96" spans="2:17" s="21" customFormat="1" ht="18.75" hidden="1" customHeight="1" x14ac:dyDescent="0.2">
      <c r="C96" s="29" t="s">
        <v>7</v>
      </c>
      <c r="D96" s="29"/>
      <c r="E96" s="29"/>
      <c r="F96" s="48"/>
      <c r="G96" s="29"/>
      <c r="H96" s="29"/>
      <c r="I96" s="29"/>
      <c r="J96" s="29"/>
      <c r="K96" s="48"/>
      <c r="L96" s="90"/>
    </row>
    <row r="97" spans="2:12" s="21" customFormat="1" ht="18.75" hidden="1" customHeight="1" x14ac:dyDescent="0.2">
      <c r="C97" s="29" t="s">
        <v>6</v>
      </c>
      <c r="D97" s="29"/>
      <c r="E97" s="29"/>
      <c r="F97" s="48"/>
      <c r="G97" s="29"/>
      <c r="H97" s="29"/>
      <c r="I97" s="29"/>
      <c r="J97" s="29"/>
      <c r="K97" s="48"/>
      <c r="L97" s="90"/>
    </row>
    <row r="98" spans="2:12" s="21" customFormat="1" ht="18.75" hidden="1" customHeight="1" x14ac:dyDescent="0.2">
      <c r="C98" s="29" t="s">
        <v>5</v>
      </c>
      <c r="D98" s="29"/>
      <c r="E98" s="29"/>
      <c r="F98" s="48"/>
      <c r="G98" s="29"/>
      <c r="H98" s="29"/>
      <c r="I98" s="29"/>
      <c r="J98" s="29"/>
      <c r="K98" s="48"/>
      <c r="L98" s="90"/>
    </row>
    <row r="99" spans="2:12" s="21" customFormat="1" ht="18.75" hidden="1" customHeight="1" x14ac:dyDescent="0.2">
      <c r="C99" s="29"/>
      <c r="D99" s="29"/>
      <c r="E99" s="29"/>
      <c r="F99" s="48"/>
      <c r="G99" s="29"/>
      <c r="H99" s="29"/>
      <c r="I99" s="29"/>
      <c r="J99" s="29"/>
      <c r="K99" s="48"/>
      <c r="L99" s="90"/>
    </row>
    <row r="100" spans="2:12" s="21" customFormat="1" ht="18.75" hidden="1" customHeight="1" x14ac:dyDescent="0.2">
      <c r="C100" s="29" t="s">
        <v>4</v>
      </c>
      <c r="D100" s="29"/>
      <c r="E100" s="29"/>
      <c r="F100" s="48"/>
      <c r="G100" s="29"/>
      <c r="H100" s="29"/>
      <c r="I100" s="29"/>
      <c r="J100" s="29"/>
      <c r="K100" s="48"/>
      <c r="L100" s="90"/>
    </row>
    <row r="101" spans="2:12" s="21" customFormat="1" ht="18.75" hidden="1" customHeight="1" x14ac:dyDescent="0.2">
      <c r="C101" s="29" t="s">
        <v>3</v>
      </c>
      <c r="D101" s="29"/>
      <c r="E101" s="29"/>
      <c r="F101" s="48"/>
      <c r="G101" s="29"/>
      <c r="H101" s="29"/>
      <c r="I101" s="29"/>
      <c r="J101" s="29"/>
      <c r="K101" s="48"/>
      <c r="L101" s="90"/>
    </row>
    <row r="102" spans="2:12" s="21" customFormat="1" ht="18.75" hidden="1" customHeight="1" x14ac:dyDescent="0.2">
      <c r="C102" s="29" t="s">
        <v>2</v>
      </c>
      <c r="D102" s="29"/>
      <c r="E102" s="29"/>
      <c r="F102" s="48"/>
      <c r="G102" s="29"/>
      <c r="H102" s="29"/>
      <c r="I102" s="29"/>
      <c r="J102" s="29"/>
      <c r="K102" s="48"/>
      <c r="L102" s="90"/>
    </row>
    <row r="103" spans="2:12" s="21" customFormat="1" ht="16.5" customHeight="1" x14ac:dyDescent="0.2">
      <c r="B103" s="30"/>
      <c r="C103" s="31"/>
      <c r="D103" s="31"/>
      <c r="E103" s="31"/>
      <c r="F103" s="51"/>
      <c r="G103" s="31"/>
      <c r="H103" s="31"/>
      <c r="I103" s="31"/>
      <c r="J103" s="31"/>
      <c r="K103" s="87"/>
      <c r="L103" s="90"/>
    </row>
    <row r="104" spans="2:12" s="21" customFormat="1" ht="18.75" customHeight="1" x14ac:dyDescent="0.2">
      <c r="C104" s="29" t="s">
        <v>1</v>
      </c>
      <c r="D104" s="29"/>
      <c r="E104" s="29"/>
      <c r="F104" s="48"/>
      <c r="G104" s="29"/>
      <c r="H104" s="29"/>
      <c r="I104" s="29"/>
      <c r="J104" s="29"/>
      <c r="K104" s="48"/>
      <c r="L104" s="90"/>
    </row>
    <row r="105" spans="2:12" s="21" customFormat="1" ht="18.75" customHeight="1" x14ac:dyDescent="0.2">
      <c r="C105" s="25"/>
      <c r="D105" s="25"/>
      <c r="E105" s="25"/>
      <c r="F105" s="48"/>
      <c r="G105" s="25"/>
      <c r="H105" s="25"/>
      <c r="I105" s="25"/>
      <c r="J105" s="25"/>
      <c r="K105" s="48"/>
      <c r="L105" s="90"/>
    </row>
    <row r="106" spans="2:12" s="21" customFormat="1" ht="18.75" customHeight="1" x14ac:dyDescent="0.2">
      <c r="C106" s="25" t="s">
        <v>0</v>
      </c>
      <c r="D106" s="25"/>
      <c r="E106" s="25"/>
      <c r="F106" s="48"/>
      <c r="G106" s="25"/>
      <c r="H106" s="25"/>
      <c r="I106" s="25"/>
      <c r="J106" s="25"/>
      <c r="K106" s="48"/>
      <c r="L106" s="90"/>
    </row>
    <row r="107" spans="2:12" s="21" customFormat="1" ht="18.75" customHeight="1" x14ac:dyDescent="0.2">
      <c r="C107" s="25" t="s">
        <v>0</v>
      </c>
      <c r="D107" s="25"/>
      <c r="E107" s="25"/>
      <c r="F107" s="48"/>
      <c r="G107" s="25"/>
      <c r="H107" s="25"/>
      <c r="I107" s="25"/>
      <c r="J107" s="25"/>
      <c r="K107" s="48"/>
      <c r="L107" s="90"/>
    </row>
    <row r="108" spans="2:12" s="21" customFormat="1" ht="18.75" customHeight="1" x14ac:dyDescent="0.2">
      <c r="C108" s="25"/>
      <c r="D108" s="25"/>
      <c r="E108" s="25"/>
      <c r="F108" s="48"/>
      <c r="G108" s="25"/>
      <c r="H108" s="25"/>
      <c r="I108" s="25"/>
      <c r="J108" s="25"/>
      <c r="K108" s="48"/>
      <c r="L108" s="90"/>
    </row>
    <row r="109" spans="2:12" s="21" customFormat="1" ht="18.75" customHeight="1" x14ac:dyDescent="0.2">
      <c r="C109" s="25"/>
      <c r="D109" s="25"/>
      <c r="E109" s="25"/>
      <c r="F109" s="48"/>
      <c r="G109" s="25"/>
      <c r="H109" s="25"/>
      <c r="I109" s="25"/>
      <c r="J109" s="25"/>
      <c r="K109" s="48"/>
      <c r="L109" s="90"/>
    </row>
    <row r="110" spans="2:12" s="21" customFormat="1" ht="18.75" customHeight="1" x14ac:dyDescent="0.2">
      <c r="C110" s="25"/>
      <c r="D110" s="25"/>
      <c r="E110" s="25"/>
      <c r="F110" s="48"/>
      <c r="G110" s="25"/>
      <c r="H110" s="25"/>
      <c r="I110" s="25"/>
      <c r="J110" s="25"/>
      <c r="K110" s="48"/>
      <c r="L110" s="90"/>
    </row>
    <row r="111" spans="2:12" s="21" customFormat="1" ht="18.75" customHeight="1" x14ac:dyDescent="0.2">
      <c r="C111" s="25"/>
      <c r="D111" s="25"/>
      <c r="E111" s="25"/>
      <c r="F111" s="48"/>
      <c r="G111" s="25"/>
      <c r="H111" s="25"/>
      <c r="I111" s="25"/>
      <c r="J111" s="25"/>
      <c r="K111" s="48"/>
      <c r="L111" s="90"/>
    </row>
    <row r="112" spans="2:12" s="21" customFormat="1" ht="18.75" customHeight="1" x14ac:dyDescent="0.2">
      <c r="C112" s="25"/>
      <c r="D112" s="25"/>
      <c r="E112" s="25"/>
      <c r="F112" s="48"/>
      <c r="G112" s="25"/>
      <c r="H112" s="25"/>
      <c r="I112" s="25"/>
      <c r="J112" s="25"/>
      <c r="K112" s="48"/>
      <c r="L112" s="90"/>
    </row>
    <row r="113" spans="3:12" s="21" customFormat="1" ht="18.75" customHeight="1" x14ac:dyDescent="0.2">
      <c r="C113" s="25"/>
      <c r="D113" s="25"/>
      <c r="E113" s="32"/>
      <c r="F113" s="52"/>
      <c r="G113" s="32"/>
      <c r="H113" s="32"/>
      <c r="I113" s="32"/>
      <c r="J113" s="25"/>
      <c r="K113" s="48"/>
      <c r="L113" s="90"/>
    </row>
    <row r="114" spans="3:12" s="21" customFormat="1" ht="18.75" customHeight="1" x14ac:dyDescent="0.2">
      <c r="C114" s="25"/>
      <c r="D114" s="25"/>
      <c r="E114" s="33"/>
      <c r="F114" s="53"/>
      <c r="G114" s="33"/>
      <c r="H114" s="33"/>
      <c r="I114" s="33"/>
      <c r="J114" s="25"/>
      <c r="K114" s="48"/>
      <c r="L114" s="90"/>
    </row>
    <row r="115" spans="3:12" s="21" customFormat="1" ht="18.75" customHeight="1" x14ac:dyDescent="0.2">
      <c r="C115" s="25"/>
      <c r="D115" s="25"/>
      <c r="E115" s="33"/>
      <c r="F115" s="53"/>
      <c r="G115" s="33"/>
      <c r="H115" s="33"/>
      <c r="I115" s="33"/>
      <c r="J115" s="25"/>
      <c r="K115" s="48"/>
      <c r="L115" s="90"/>
    </row>
    <row r="116" spans="3:12" s="21" customFormat="1" ht="18.75" customHeight="1" x14ac:dyDescent="0.2">
      <c r="C116" s="25"/>
      <c r="D116" s="25"/>
      <c r="E116" s="34"/>
      <c r="F116" s="53"/>
      <c r="G116" s="34"/>
      <c r="H116" s="34"/>
      <c r="I116" s="34"/>
      <c r="K116" s="48"/>
      <c r="L116" s="90"/>
    </row>
    <row r="117" spans="3:12" ht="18.75" customHeight="1" x14ac:dyDescent="0.2">
      <c r="C117" s="25"/>
      <c r="D117" s="25"/>
      <c r="E117" s="21"/>
      <c r="F117" s="48"/>
      <c r="G117" s="21"/>
      <c r="H117" s="21"/>
      <c r="I117" s="21"/>
      <c r="J117" s="21"/>
    </row>
    <row r="118" spans="3:12" ht="18.75" customHeight="1" x14ac:dyDescent="0.2">
      <c r="C118" s="14"/>
      <c r="D118" s="14"/>
    </row>
    <row r="119" spans="3:12" ht="18.75" customHeight="1" x14ac:dyDescent="0.2">
      <c r="C119" s="14"/>
      <c r="D119" s="14"/>
    </row>
    <row r="120" spans="3:12" ht="18.75" customHeight="1" x14ac:dyDescent="0.2">
      <c r="C120" s="14"/>
      <c r="D120" s="14"/>
    </row>
    <row r="121" spans="3:12" ht="18.75" customHeight="1" x14ac:dyDescent="0.2">
      <c r="C121" s="14"/>
      <c r="D121" s="14"/>
    </row>
    <row r="122" spans="3:12" ht="18.75" customHeight="1" x14ac:dyDescent="0.2">
      <c r="C122" s="14"/>
      <c r="D122" s="14"/>
    </row>
    <row r="123" spans="3:12" ht="18.75" customHeight="1" x14ac:dyDescent="0.2">
      <c r="C123" s="14"/>
      <c r="D123" s="14"/>
    </row>
    <row r="124" spans="3:12" ht="18.75" customHeight="1" x14ac:dyDescent="0.2">
      <c r="C124" s="14"/>
      <c r="D124" s="14"/>
    </row>
    <row r="125" spans="3:12" ht="18.75" customHeight="1" x14ac:dyDescent="0.2">
      <c r="C125" s="14"/>
      <c r="D125" s="14"/>
    </row>
    <row r="126" spans="3:12" ht="18.75" customHeight="1" x14ac:dyDescent="0.2">
      <c r="C126" s="14"/>
      <c r="D126" s="14"/>
    </row>
    <row r="127" spans="3:12" ht="18.75" customHeight="1" x14ac:dyDescent="0.2">
      <c r="C127" s="14"/>
      <c r="D127" s="14"/>
    </row>
    <row r="225" spans="53:54" ht="18.75" customHeight="1" x14ac:dyDescent="0.2">
      <c r="BA225" s="78"/>
      <c r="BB225" s="78"/>
    </row>
    <row r="226" spans="53:54" ht="18.75" customHeight="1" x14ac:dyDescent="0.2">
      <c r="BA226" s="78"/>
      <c r="BB226" s="78"/>
    </row>
    <row r="227" spans="53:54" ht="18.75" customHeight="1" x14ac:dyDescent="0.2">
      <c r="BA227" s="78"/>
      <c r="BB227" s="78"/>
    </row>
    <row r="228" spans="53:54" ht="18.75" customHeight="1" x14ac:dyDescent="0.2">
      <c r="BA228" s="78"/>
      <c r="BB228" s="78"/>
    </row>
    <row r="229" spans="53:54" ht="18.75" customHeight="1" x14ac:dyDescent="0.2">
      <c r="BA229" s="78"/>
      <c r="BB229" s="78"/>
    </row>
    <row r="230" spans="53:54" ht="18.75" customHeight="1" x14ac:dyDescent="0.2">
      <c r="BA230" s="78"/>
      <c r="BB230" s="78"/>
    </row>
    <row r="231" spans="53:54" ht="18.75" customHeight="1" x14ac:dyDescent="0.2">
      <c r="BA231" s="78"/>
      <c r="BB231" s="78"/>
    </row>
    <row r="232" spans="53:54" ht="18.75" customHeight="1" x14ac:dyDescent="0.2">
      <c r="BA232" s="78"/>
      <c r="BB232" s="78"/>
    </row>
    <row r="233" spans="53:54" ht="18.75" customHeight="1" x14ac:dyDescent="0.2">
      <c r="BA233" s="78"/>
      <c r="BB233" s="78"/>
    </row>
    <row r="234" spans="53:54" ht="18.75" customHeight="1" x14ac:dyDescent="0.2">
      <c r="BA234" s="78"/>
      <c r="BB234" s="78"/>
    </row>
    <row r="235" spans="53:54" ht="18.75" customHeight="1" x14ac:dyDescent="0.2">
      <c r="BA235" s="78"/>
      <c r="BB235" s="78"/>
    </row>
    <row r="236" spans="53:54" ht="18.75" customHeight="1" x14ac:dyDescent="0.2">
      <c r="BA236" s="78"/>
      <c r="BB236" s="78"/>
    </row>
    <row r="237" spans="53:54" ht="18.75" customHeight="1" x14ac:dyDescent="0.2">
      <c r="BA237" s="78"/>
      <c r="BB237" s="78"/>
    </row>
    <row r="238" spans="53:54" ht="18.75" customHeight="1" x14ac:dyDescent="0.2">
      <c r="BA238" s="78"/>
      <c r="BB238" s="78"/>
    </row>
    <row r="239" spans="53:54" ht="18.75" customHeight="1" x14ac:dyDescent="0.2">
      <c r="BA239" s="78"/>
      <c r="BB239" s="78"/>
    </row>
    <row r="240" spans="53:54" ht="18.75" customHeight="1" x14ac:dyDescent="0.2">
      <c r="BA240" s="78"/>
      <c r="BB240" s="78"/>
    </row>
    <row r="241" spans="53:54" ht="18.75" customHeight="1" x14ac:dyDescent="0.2">
      <c r="BA241" s="78"/>
      <c r="BB241" s="78"/>
    </row>
  </sheetData>
  <sheetProtection password="FFFD" sheet="1" insertColumns="0" deleteColumns="0" deleteRows="0"/>
  <mergeCells count="172">
    <mergeCell ref="F85:G85"/>
    <mergeCell ref="F86:G86"/>
    <mergeCell ref="F82:G82"/>
    <mergeCell ref="F75:G75"/>
    <mergeCell ref="F55:G55"/>
    <mergeCell ref="F47:G47"/>
    <mergeCell ref="F69:G69"/>
    <mergeCell ref="F71:G71"/>
    <mergeCell ref="F72:G72"/>
    <mergeCell ref="F73:G73"/>
    <mergeCell ref="F74:G74"/>
    <mergeCell ref="F76:G76"/>
    <mergeCell ref="F77:G77"/>
    <mergeCell ref="F78:G78"/>
    <mergeCell ref="F79:G79"/>
    <mergeCell ref="F60:G60"/>
    <mergeCell ref="F61:G61"/>
    <mergeCell ref="F70:G70"/>
    <mergeCell ref="F64:G64"/>
    <mergeCell ref="F80:G80"/>
    <mergeCell ref="F81:G81"/>
    <mergeCell ref="F84:G84"/>
    <mergeCell ref="F43:G43"/>
    <mergeCell ref="F44:G44"/>
    <mergeCell ref="F45:G45"/>
    <mergeCell ref="F46:G46"/>
    <mergeCell ref="F15:G15"/>
    <mergeCell ref="F48:G48"/>
    <mergeCell ref="N55:P55"/>
    <mergeCell ref="N48:P50"/>
    <mergeCell ref="N42:P42"/>
    <mergeCell ref="N40:P41"/>
    <mergeCell ref="F31:G31"/>
    <mergeCell ref="F32:G32"/>
    <mergeCell ref="F33:G33"/>
    <mergeCell ref="F34:G34"/>
    <mergeCell ref="F19:G19"/>
    <mergeCell ref="F68:G68"/>
    <mergeCell ref="F50:G50"/>
    <mergeCell ref="F51:G51"/>
    <mergeCell ref="F52:G52"/>
    <mergeCell ref="F53:G53"/>
    <mergeCell ref="F54:G54"/>
    <mergeCell ref="F56:G56"/>
    <mergeCell ref="F57:G57"/>
    <mergeCell ref="F58:G58"/>
    <mergeCell ref="F59:G59"/>
    <mergeCell ref="C90:J90"/>
    <mergeCell ref="N72:P72"/>
    <mergeCell ref="N22:P22"/>
    <mergeCell ref="N23:P23"/>
    <mergeCell ref="N21:P21"/>
    <mergeCell ref="N85:P86"/>
    <mergeCell ref="N84:P84"/>
    <mergeCell ref="N18:P18"/>
    <mergeCell ref="D85:D86"/>
    <mergeCell ref="N75:P75"/>
    <mergeCell ref="N31:P32"/>
    <mergeCell ref="N33:P34"/>
    <mergeCell ref="N35:P35"/>
    <mergeCell ref="N25:P25"/>
    <mergeCell ref="C87:J87"/>
    <mergeCell ref="F83:G83"/>
    <mergeCell ref="F26:G26"/>
    <mergeCell ref="F35:G35"/>
    <mergeCell ref="F41:G41"/>
    <mergeCell ref="F37:G37"/>
    <mergeCell ref="N24:P24"/>
    <mergeCell ref="F65:G65"/>
    <mergeCell ref="F66:G66"/>
    <mergeCell ref="F67:G67"/>
    <mergeCell ref="F36:G36"/>
    <mergeCell ref="H12:I12"/>
    <mergeCell ref="N14:P14"/>
    <mergeCell ref="N15:P15"/>
    <mergeCell ref="N16:P16"/>
    <mergeCell ref="N19:P19"/>
    <mergeCell ref="N20:P20"/>
    <mergeCell ref="F12:G12"/>
    <mergeCell ref="F11:G11"/>
    <mergeCell ref="N11:P12"/>
    <mergeCell ref="N17:P17"/>
    <mergeCell ref="F25:G25"/>
    <mergeCell ref="F27:G27"/>
    <mergeCell ref="F28:G28"/>
    <mergeCell ref="F29:G29"/>
    <mergeCell ref="F30:G30"/>
    <mergeCell ref="F14:G14"/>
    <mergeCell ref="D29:D30"/>
    <mergeCell ref="D6:G6"/>
    <mergeCell ref="D27:D28"/>
    <mergeCell ref="D10:G10"/>
    <mergeCell ref="D9:G9"/>
    <mergeCell ref="F16:G16"/>
    <mergeCell ref="F17:G17"/>
    <mergeCell ref="F18:G18"/>
    <mergeCell ref="F20:G20"/>
    <mergeCell ref="F21:G21"/>
    <mergeCell ref="F22:G22"/>
    <mergeCell ref="F23:G23"/>
    <mergeCell ref="F24:G24"/>
    <mergeCell ref="N26:P26"/>
    <mergeCell ref="N27:P28"/>
    <mergeCell ref="N53:P54"/>
    <mergeCell ref="N37:P37"/>
    <mergeCell ref="N47:P47"/>
    <mergeCell ref="N45:P46"/>
    <mergeCell ref="N43:P44"/>
    <mergeCell ref="N29:P30"/>
    <mergeCell ref="N36:P36"/>
    <mergeCell ref="N38:P39"/>
    <mergeCell ref="N51:P52"/>
    <mergeCell ref="C3:J3"/>
    <mergeCell ref="N8:P8"/>
    <mergeCell ref="N7:P7"/>
    <mergeCell ref="N9:P9"/>
    <mergeCell ref="H9:I9"/>
    <mergeCell ref="H10:I10"/>
    <mergeCell ref="H11:I11"/>
    <mergeCell ref="H8:I8"/>
    <mergeCell ref="D5:J5"/>
    <mergeCell ref="D8:G8"/>
    <mergeCell ref="D7:G7"/>
    <mergeCell ref="N5:P5"/>
    <mergeCell ref="N4:P4"/>
    <mergeCell ref="N3:P3"/>
    <mergeCell ref="N6:P6"/>
    <mergeCell ref="N10:P10"/>
    <mergeCell ref="D4:J4"/>
    <mergeCell ref="H7:I7"/>
    <mergeCell ref="H6:I6"/>
    <mergeCell ref="N83:P83"/>
    <mergeCell ref="N56:P57"/>
    <mergeCell ref="N58:P59"/>
    <mergeCell ref="N60:P61"/>
    <mergeCell ref="N62:P63"/>
    <mergeCell ref="N64:P65"/>
    <mergeCell ref="N66:P67"/>
    <mergeCell ref="N68:P69"/>
    <mergeCell ref="N76:P78"/>
    <mergeCell ref="N82:P82"/>
    <mergeCell ref="N81:P81"/>
    <mergeCell ref="N80:P80"/>
    <mergeCell ref="N79:P79"/>
    <mergeCell ref="N74:P74"/>
    <mergeCell ref="N71:P71"/>
    <mergeCell ref="N73:P73"/>
    <mergeCell ref="N70:P70"/>
    <mergeCell ref="D79:D81"/>
    <mergeCell ref="D31:D32"/>
    <mergeCell ref="D33:D34"/>
    <mergeCell ref="D66:D67"/>
    <mergeCell ref="D64:D65"/>
    <mergeCell ref="F38:G38"/>
    <mergeCell ref="F39:G39"/>
    <mergeCell ref="F40:G40"/>
    <mergeCell ref="F49:G49"/>
    <mergeCell ref="F62:G62"/>
    <mergeCell ref="F63:G63"/>
    <mergeCell ref="D48:D50"/>
    <mergeCell ref="D51:D52"/>
    <mergeCell ref="D53:D54"/>
    <mergeCell ref="D43:D44"/>
    <mergeCell ref="D45:D46"/>
    <mergeCell ref="D38:D39"/>
    <mergeCell ref="D58:D59"/>
    <mergeCell ref="D62:D63"/>
    <mergeCell ref="D76:D78"/>
    <mergeCell ref="D56:D57"/>
    <mergeCell ref="D60:D61"/>
    <mergeCell ref="D68:D69"/>
    <mergeCell ref="F42:G42"/>
  </mergeCells>
  <conditionalFormatting sqref="E15:E18">
    <cfRule type="cellIs" dxfId="2" priority="2" stopIfTrue="1" operator="notBetween">
      <formula>0</formula>
      <formula>999999999</formula>
    </cfRule>
  </conditionalFormatting>
  <conditionalFormatting sqref="E21">
    <cfRule type="expression" dxfId="1" priority="8" stopIfTrue="1">
      <formula>IF(E21+#REF!=E20,0,1)</formula>
    </cfRule>
  </conditionalFormatting>
  <conditionalFormatting sqref="E22">
    <cfRule type="expression" dxfId="0" priority="7" stopIfTrue="1">
      <formula>IF(E22+#REF!=E20,0,1)</formula>
    </cfRule>
  </conditionalFormatting>
  <pageMargins left="0.70866141732283472" right="0.70866141732283472" top="0.78740157480314965" bottom="0.78740157480314965" header="0.31496062992125984" footer="0.31496062992125984"/>
  <pageSetup paperSize="9" scale="53" fitToWidth="0" fitToHeight="2" orientation="landscape" r:id="rId1"/>
  <rowBreaks count="2" manualBreakCount="2">
    <brk id="41" min="1" max="10" man="1"/>
    <brk id="41" min="12"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1030" r:id="rId4" name="Drop Down 6">
              <controlPr defaultSize="0" autoLine="0" autoPict="0">
                <anchor moveWithCells="1">
                  <from>
                    <xdr:col>3</xdr:col>
                    <xdr:colOff>0</xdr:colOff>
                    <xdr:row>6</xdr:row>
                    <xdr:rowOff>0</xdr:rowOff>
                  </from>
                  <to>
                    <xdr:col>6</xdr:col>
                    <xdr:colOff>390525</xdr:colOff>
                    <xdr:row>7</xdr:row>
                    <xdr:rowOff>0</xdr:rowOff>
                  </to>
                </anchor>
              </controlPr>
            </control>
          </mc:Choice>
        </mc:AlternateContent>
        <mc:AlternateContent xmlns:mc="http://schemas.openxmlformats.org/markup-compatibility/2006">
          <mc:Choice Requires="x14">
            <control shapeId="1031" r:id="rId5" name="Drop Down 7">
              <controlPr defaultSize="0" autoLine="0" autoPict="0">
                <anchor moveWithCells="1">
                  <from>
                    <xdr:col>3</xdr:col>
                    <xdr:colOff>0</xdr:colOff>
                    <xdr:row>7</xdr:row>
                    <xdr:rowOff>0</xdr:rowOff>
                  </from>
                  <to>
                    <xdr:col>6</xdr:col>
                    <xdr:colOff>390525</xdr:colOff>
                    <xdr:row>8</xdr:row>
                    <xdr:rowOff>0</xdr:rowOff>
                  </to>
                </anchor>
              </controlPr>
            </control>
          </mc:Choice>
        </mc:AlternateContent>
        <mc:AlternateContent xmlns:mc="http://schemas.openxmlformats.org/markup-compatibility/2006">
          <mc:Choice Requires="x14">
            <control shapeId="1032" r:id="rId6" name="Drop Down 8">
              <controlPr defaultSize="0" autoLine="0" autoPict="0">
                <anchor moveWithCells="1">
                  <from>
                    <xdr:col>2</xdr:col>
                    <xdr:colOff>4152900</xdr:colOff>
                    <xdr:row>7</xdr:row>
                    <xdr:rowOff>247650</xdr:rowOff>
                  </from>
                  <to>
                    <xdr:col>6</xdr:col>
                    <xdr:colOff>390525</xdr:colOff>
                    <xdr:row>9</xdr:row>
                    <xdr:rowOff>0</xdr:rowOff>
                  </to>
                </anchor>
              </controlPr>
            </control>
          </mc:Choice>
        </mc:AlternateContent>
        <mc:AlternateContent xmlns:mc="http://schemas.openxmlformats.org/markup-compatibility/2006">
          <mc:Choice Requires="x14">
            <control shapeId="1033" r:id="rId7" name="Drop Down 9">
              <controlPr defaultSize="0" autoLine="0" autoPict="0">
                <anchor moveWithCells="1">
                  <from>
                    <xdr:col>3</xdr:col>
                    <xdr:colOff>0</xdr:colOff>
                    <xdr:row>8</xdr:row>
                    <xdr:rowOff>247650</xdr:rowOff>
                  </from>
                  <to>
                    <xdr:col>6</xdr:col>
                    <xdr:colOff>390525</xdr:colOff>
                    <xdr:row>10</xdr:row>
                    <xdr:rowOff>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Indikatoren</vt:lpstr>
      <vt:lpstr>Indikatoren!Druckbereich</vt:lpstr>
      <vt:lpstr>Sprache_und_Bildung</vt:lpstr>
    </vt:vector>
  </TitlesOfParts>
  <Company>Aussenministerium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peter.petrus</dc:creator>
  <cp:lastModifiedBy>FA, Arpad</cp:lastModifiedBy>
  <cp:lastPrinted>2020-07-27T08:34:44Z</cp:lastPrinted>
  <dcterms:created xsi:type="dcterms:W3CDTF">2018-04-16T09:43:52Z</dcterms:created>
  <dcterms:modified xsi:type="dcterms:W3CDTF">2026-04-29T11:45:45Z</dcterms:modified>
</cp:coreProperties>
</file>