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tr/Coding/Studies/PublicAIHackathonTeam3/Hackathon/"/>
    </mc:Choice>
  </mc:AlternateContent>
  <xr:revisionPtr revIDLastSave="0" documentId="13_ncr:1_{50188046-9385-F044-BFFF-60A43CF23492}" xr6:coauthVersionLast="47" xr6:coauthVersionMax="47" xr10:uidLastSave="{00000000-0000-0000-0000-000000000000}"/>
  <bookViews>
    <workbookView xWindow="0" yWindow="660" windowWidth="30240" windowHeight="17660" tabRatio="500" activeTab="7" xr2:uid="{00000000-000D-0000-FFFF-FFFF00000000}"/>
  </bookViews>
  <sheets>
    <sheet name="2019" sheetId="2" r:id="rId1"/>
    <sheet name="2020" sheetId="3" r:id="rId2"/>
    <sheet name="2021" sheetId="4" r:id="rId3"/>
    <sheet name="2022" sheetId="5" r:id="rId4"/>
    <sheet name="2023" sheetId="6" r:id="rId5"/>
    <sheet name="2024" sheetId="7" r:id="rId6"/>
    <sheet name="2025" sheetId="8" r:id="rId7"/>
    <sheet name="2026" sheetId="9" r:id="rId8"/>
    <sheet name="_HELPER" sheetId="10" state="hidden" r:id="rId9"/>
    <sheet name="Organisationen kompakt" sheetId="12" state="hidden" r:id="rId10"/>
  </sheets>
  <definedNames>
    <definedName name="_xlnm._FilterDatabase" localSheetId="0" hidden="1">'2019'!$A$2:$I$134</definedName>
    <definedName name="_xlnm._FilterDatabase" localSheetId="1" hidden="1">'2020'!$A$2:$I$2</definedName>
    <definedName name="_xlnm._FilterDatabase" localSheetId="2" hidden="1">'2021'!$A$2:$I$2</definedName>
    <definedName name="_xlnm._FilterDatabase" localSheetId="3" hidden="1">'2022'!$A$2:$I$2</definedName>
    <definedName name="_xlnm._FilterDatabase" localSheetId="4" hidden="1">'2023'!$A$2:$I$2</definedName>
    <definedName name="_xlnm._FilterDatabase" localSheetId="5" hidden="1">'2024'!$A$2:$I$2</definedName>
    <definedName name="_xlnm._FilterDatabase" localSheetId="6" hidden="1">'2025'!$A$2:$I$2</definedName>
    <definedName name="_xlnm._FilterDatabase" localSheetId="7" hidden="1">'2026'!$A$2:$J$2</definedName>
    <definedName name="_xlnm.Print_Titles" localSheetId="9">'Organisationen kompakt'!$1:$2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1" i="12" l="1"/>
  <c r="J117" i="12"/>
  <c r="I117" i="12"/>
  <c r="H117" i="12"/>
  <c r="G117" i="12"/>
  <c r="F117" i="12"/>
  <c r="E117" i="12"/>
  <c r="D117" i="12"/>
  <c r="C117" i="12"/>
  <c r="K112" i="12"/>
  <c r="J112" i="12"/>
  <c r="I112" i="12"/>
  <c r="H112" i="12"/>
  <c r="G112" i="12"/>
  <c r="F112" i="12"/>
  <c r="E112" i="12"/>
  <c r="D112" i="12"/>
  <c r="C112" i="12"/>
  <c r="B112" i="12"/>
  <c r="I138" i="9"/>
  <c r="J116" i="12" s="1"/>
  <c r="J118" i="12" s="1"/>
  <c r="H138" i="9"/>
  <c r="J121" i="12" s="1"/>
  <c r="G138" i="9"/>
  <c r="J120" i="12" s="1"/>
  <c r="A138" i="9"/>
  <c r="J122" i="12" s="1"/>
  <c r="I137" i="9"/>
  <c r="H137" i="9"/>
  <c r="G137" i="9"/>
  <c r="A137" i="9"/>
  <c r="I136" i="9"/>
  <c r="H136" i="9"/>
  <c r="G136" i="9"/>
  <c r="A136" i="9"/>
  <c r="I154" i="8"/>
  <c r="I116" i="12" s="1"/>
  <c r="I118" i="12" s="1"/>
  <c r="H154" i="8"/>
  <c r="G154" i="8"/>
  <c r="I120" i="12" s="1"/>
  <c r="A154" i="8"/>
  <c r="I122" i="12" s="1"/>
  <c r="I153" i="8"/>
  <c r="H153" i="8"/>
  <c r="G153" i="8"/>
  <c r="A153" i="8"/>
  <c r="I152" i="8"/>
  <c r="H152" i="8"/>
  <c r="G152" i="8"/>
  <c r="A152" i="8"/>
  <c r="I154" i="7"/>
  <c r="H116" i="12" s="1"/>
  <c r="H118" i="12" s="1"/>
  <c r="H154" i="7"/>
  <c r="G154" i="7"/>
  <c r="A154" i="7"/>
  <c r="H122" i="12" s="1"/>
  <c r="I153" i="7"/>
  <c r="H153" i="7"/>
  <c r="G153" i="7"/>
  <c r="A153" i="7"/>
  <c r="I152" i="7"/>
  <c r="H152" i="7"/>
  <c r="G152" i="7"/>
  <c r="A152" i="7"/>
  <c r="I159" i="6"/>
  <c r="H159" i="6"/>
  <c r="G159" i="6"/>
  <c r="A159" i="6"/>
  <c r="G122" i="12" s="1"/>
  <c r="I158" i="6"/>
  <c r="H158" i="6"/>
  <c r="G158" i="6"/>
  <c r="A158" i="6"/>
  <c r="I157" i="6"/>
  <c r="H157" i="6"/>
  <c r="G157" i="6"/>
  <c r="A157" i="6"/>
  <c r="I156" i="6"/>
  <c r="H156" i="6"/>
  <c r="G156" i="6"/>
  <c r="A156" i="6"/>
  <c r="I36" i="5"/>
  <c r="H36" i="5"/>
  <c r="F121" i="12" s="1"/>
  <c r="G36" i="5"/>
  <c r="A36" i="5"/>
  <c r="F122" i="12" s="1"/>
  <c r="I35" i="5"/>
  <c r="H35" i="5"/>
  <c r="G35" i="5"/>
  <c r="A35" i="5"/>
  <c r="I34" i="5"/>
  <c r="H34" i="5"/>
  <c r="G34" i="5"/>
  <c r="A34" i="5"/>
  <c r="I33" i="5"/>
  <c r="H33" i="5"/>
  <c r="G33" i="5"/>
  <c r="A33" i="5"/>
  <c r="I127" i="4"/>
  <c r="H127" i="4"/>
  <c r="E121" i="12" s="1"/>
  <c r="G127" i="4"/>
  <c r="A127" i="4"/>
  <c r="E122" i="12" s="1"/>
  <c r="I126" i="4"/>
  <c r="H126" i="4"/>
  <c r="G126" i="4"/>
  <c r="A126" i="4"/>
  <c r="I125" i="4"/>
  <c r="H125" i="4"/>
  <c r="G125" i="4"/>
  <c r="A125" i="4"/>
  <c r="I134" i="3"/>
  <c r="H134" i="3"/>
  <c r="D121" i="12" s="1"/>
  <c r="G134" i="3"/>
  <c r="A134" i="3"/>
  <c r="I133" i="3"/>
  <c r="H133" i="3"/>
  <c r="G133" i="3"/>
  <c r="A133" i="3"/>
  <c r="I132" i="3"/>
  <c r="H132" i="3"/>
  <c r="G132" i="3"/>
  <c r="A132" i="3"/>
  <c r="I138" i="2"/>
  <c r="H138" i="2"/>
  <c r="C121" i="12" s="1"/>
  <c r="G138" i="2"/>
  <c r="A138" i="2"/>
  <c r="I137" i="2"/>
  <c r="H137" i="2"/>
  <c r="G137" i="2"/>
  <c r="A137" i="2"/>
  <c r="I136" i="2"/>
  <c r="H136" i="2"/>
  <c r="G136" i="2"/>
  <c r="A136" i="2"/>
  <c r="F116" i="12" l="1"/>
  <c r="F118" i="12" s="1"/>
  <c r="E116" i="12"/>
  <c r="E118" i="12" s="1"/>
  <c r="G120" i="12"/>
  <c r="F120" i="12"/>
  <c r="B117" i="12"/>
  <c r="C122" i="12"/>
  <c r="G121" i="12"/>
  <c r="C120" i="12"/>
  <c r="H121" i="12"/>
  <c r="C116" i="12"/>
  <c r="D120" i="12"/>
  <c r="D116" i="12"/>
  <c r="D118" i="12" s="1"/>
  <c r="E120" i="12"/>
  <c r="G116" i="12"/>
  <c r="G118" i="12" s="1"/>
  <c r="H120" i="12"/>
  <c r="D122" i="12"/>
  <c r="B121" i="12" l="1"/>
  <c r="B120" i="12"/>
  <c r="B122" i="12"/>
  <c r="C118" i="12"/>
  <c r="B118" i="12" s="1"/>
  <c r="B116" i="12"/>
</calcChain>
</file>

<file path=xl/sharedStrings.xml><?xml version="1.0" encoding="utf-8"?>
<sst xmlns="http://schemas.openxmlformats.org/spreadsheetml/2006/main" count="1830" uniqueCount="651">
  <si>
    <t>2019</t>
  </si>
  <si>
    <t>2020</t>
  </si>
  <si>
    <t>2021</t>
  </si>
  <si>
    <t>2022</t>
  </si>
  <si>
    <t>2023</t>
  </si>
  <si>
    <t>2024</t>
  </si>
  <si>
    <t>2025</t>
  </si>
  <si>
    <t>2026</t>
  </si>
  <si>
    <t>GESAMT</t>
  </si>
  <si>
    <t>AMIF</t>
  </si>
  <si>
    <t>National</t>
  </si>
  <si>
    <t>Bildung</t>
  </si>
  <si>
    <t>Frauen</t>
  </si>
  <si>
    <t>Organisation</t>
  </si>
  <si>
    <t>Gesamtförderung</t>
  </si>
  <si>
    <t>Anzahl Jahre</t>
  </si>
  <si>
    <t>Anzahl Projekte</t>
  </si>
  <si>
    <t>Diakonie - Flüchtlingsdienst gemeinnützige GmbH</t>
  </si>
  <si>
    <t>2019, 2020, 2021, 2022, 2023, 2024, 2025, 2026</t>
  </si>
  <si>
    <t>Caritas der Erzdiözese Wien - Hilfe in Not</t>
  </si>
  <si>
    <t>Caritas Österreich</t>
  </si>
  <si>
    <t>Caritas der Diözese Graz-Seckau</t>
  </si>
  <si>
    <t>Volkshilfe Flüchtlings- und MigrantInnenbetreuung GmbH</t>
  </si>
  <si>
    <t>KidsZone+More</t>
  </si>
  <si>
    <t>Österreichische Jungarbeiterbewegung - Berufspädagogisches Institut der ÖJAB</t>
  </si>
  <si>
    <t>Caritas Oberösterreich</t>
  </si>
  <si>
    <t>2022, 2023, 2024, 2025, 2026</t>
  </si>
  <si>
    <t>Österreichisches Rotes Kreuz</t>
  </si>
  <si>
    <t>Institut für Frauen- und Männergesundheit / FEM Süd</t>
  </si>
  <si>
    <t>Bundesarbeitsgemeinschaft Freie Wohlfahrt (BAG)</t>
  </si>
  <si>
    <t>ISOP - Innovative Sozialprojekte GmbH</t>
  </si>
  <si>
    <t>Bundesanstalt Statistik Austria</t>
  </si>
  <si>
    <t>Hilfswerk Niederösterreich Betriebs GmbH</t>
  </si>
  <si>
    <t>Caritas für Menschen in Not</t>
  </si>
  <si>
    <t>2019, 2020, 2021, 2022</t>
  </si>
  <si>
    <t>BFI Tirol Bildungs GmbH</t>
  </si>
  <si>
    <t>Berufsförderungsinstitut Oberösterreich (bfi OÖ)</t>
  </si>
  <si>
    <t>2019, 2020, 2021, 2023, 2024, 2025, 2026</t>
  </si>
  <si>
    <t>deutsch_und_mehr - Verein zur Förderung des interkulturellen Dialogs</t>
  </si>
  <si>
    <t>AFYA - Verein zur interkulturellen Gesundheitsförderung</t>
  </si>
  <si>
    <t>bit schulungscenter GmbH</t>
  </si>
  <si>
    <t>Gesamtübersicht Integrationsprojekte 2019</t>
  </si>
  <si>
    <t>Topf</t>
  </si>
  <si>
    <t>Projektträger</t>
  </si>
  <si>
    <t>Projektname</t>
  </si>
  <si>
    <t>FSWP</t>
  </si>
  <si>
    <t>Kurzbeschreibung</t>
  </si>
  <si>
    <t>Bundesland(e)</t>
  </si>
  <si>
    <t>AMIF-Mittel 2019</t>
  </si>
  <si>
    <t>BKA-Mittel 2019</t>
  </si>
  <si>
    <t>Gesamt 2019</t>
  </si>
  <si>
    <t>MESO - Bildungsmaßnahmen für Drittstaatsangehörige in Oberösterreich</t>
  </si>
  <si>
    <t>Deutsch</t>
  </si>
  <si>
    <t>Meso verfolgt das Ziel einer Verbesserung der Sprachkompetenz in Deutsch. Dazu werden Sprachfördermaßnahmen auf verschiedensten Levels zielgruppenspezifisch, kompetenzorientiert in ganz Oberösterreich angeboten.  Ein Alphabetisierungskurs arbeitet mit der Methode der funktionalen Alphabetisierung bei gleichzeitiger Vermittlung von Deutschkenntnissen. Im Kontext der Sprachvermittlung werden kulturelle und gesellschaftsrelevante Inhalte (ua. das Modul Länderkunde) bearbeitet und auf die Erweiterung und (Re)aktivierung von Selbstkompetenzen besonderer Wert gelegt. Die Vorbereitung zur Integration in den Arbeitsmarkt setzt Bildungs- und Ausbildungsberatung, Berufsorientierung und Bewerbungstraining in den Mittelpunkt des zweiten Maßnahmenschwerpunkts. Weitere Module:  Connecting People (Kommunikation mit „autochthonen“ ÖsterreicherInnen), Radfahrschule( Erhöhung von Mobilität ), IKT-Basics</t>
  </si>
  <si>
    <t>OÖ</t>
  </si>
  <si>
    <t>Caritas Akademie der Diözese Graz-Seckau</t>
  </si>
  <si>
    <t>Spracherwerbsmaßnahmen in der Steiermark II</t>
  </si>
  <si>
    <t>Das Projekt SEM II bietet ein auf den Bedarf der Zielgruppe des AMIF abgestimmtes Angebot für den Spracherwerb in Deutsch, welches auch den regionalen Anforderungen in der Steiermark Rechnung trägt. Um das Sprachniveau der Zielgruppe in der Steiermark nachhaltig zu entwickeln und zu verbessern, legt das vorliegende Projekt alles daran, nicht nur unter Einhaltung sämtlicher Qualitätsstandards für einen gehaltvollen, erwachsenengerechten und motivierenden Unterricht zu sorgen, sondern auch einen Beitrag im Sinne der regionalen Ausgewogenheit von Deutschkursangeboten in der Steiermark zu leisten. In Abstimmung auf Sonderinitiativen öffentlicher Stellen als Reaktion auf den gestiegenen Bedarf an Spracherwerbsmaßnahmen, hat dieses Projekt neben der grundsätzlichen Bedarfsorientierung einen Schwerpunkt auf Kursangeboten zu gehobenen Sprachniveaus wie B1, B2 und C1.</t>
  </si>
  <si>
    <t>ST</t>
  </si>
  <si>
    <t>Peregrina - Bildungs-, Beratungs- und Therapiezentrum für Immigrantinnen</t>
  </si>
  <si>
    <t>Deutsch zum Mitnehmen und Anknüpfen</t>
  </si>
  <si>
    <t>"Deutsch zum Mitnehmen und Anknüpfen" ist ein Sprachprojekt für Migrantinnen mit zumeist qualifizierten Berufsausbildungen, die ihre Deutschkenntnisse zwecks Weiterbildung und Vorbereitung auf einen erneuten Berufseinstieg verbessern wollen. Angeboten werden im Projektzeitraum acht Deutschkurse auf den Sprachniveaus B1 und B2, wobei vorgesehen ist, dass ein Teil der Teilnehmerinnen aufbauend beide Stufen absolviert. In die Kursmaßnahmen integriert sind die Module "Soziokulturelles Lernen" und "Bildung und Orientierung". Somit sollen die sprachlichen (ÖSD-B1 bzw. B2-Prüfung) und soziokulturellen Aspekte der Integration gefördert und die Teilnehmerinnen beim Finden und Setzen von realistischen Bildungszielen unterstützt werden. Am Kursende verfügen sie über Kompetenzen zur Herstellung sozialer Kontakte sowie über umfassende Orientierung zu Angeboten der Erwachsenenbildung in Österreich.</t>
  </si>
  <si>
    <t>W</t>
  </si>
  <si>
    <t>Lerncafés Steiermark - Graz(Gries), Leoben, Knittelfeld, Leibnitz, Mürzzuschlag</t>
  </si>
  <si>
    <t>Kinder, Jugendliche und Elternarbeit</t>
  </si>
  <si>
    <t>Lerncafés Steiermark sind von Mo-Do (Fr) jeweils von 13-17Uhr geöffnet und stellen ein kostenloses Lern- und Nachmittagsangebot für die Zielgruppe dar.Die Hauptaufgabe besteht darin, den PflichtschülerInnen Unterstützung und Hilfestellung beim Bewältigen der  schulischen Pflichten zu geben und die Deutschkompetenz zu stärken.Über den Pflichtschulabschluss hinaus eine weiterführende Bildungskarriere einzuschlagen ist Hauptziel.Eltern,Interessierte werden gezielt zu Werten,Pflichten und Aufgaben informiert und mit kommunalen Vertretern gezielt Möglichkeiten zur Partizipation  und Teilhabe im dialogischen Austausch geschaffen.Lerncafés fördern die TeilnehmerInnen auch gezielt im Sinne des Anti Bias Ansatz und wirken so gezielt gegen Radikalisierung und Rassismus.</t>
  </si>
  <si>
    <t>beratungsgruppe.at - Verein für Informationsvermittlung, Bildung und Beratung</t>
  </si>
  <si>
    <t>W, NÖ</t>
  </si>
  <si>
    <t>Piramidops - Verein für Frauen und Gemeinwesenarbeit</t>
  </si>
  <si>
    <t>NÖ</t>
  </si>
  <si>
    <t>uBUNTu 2 – Ich bin, weil Wir sind. Sprachkompetenz - Bildungsvorbereitung - Ori-entierung - Integration: Fit mit Sprache und Basiskompetenzen. Mein Schlüssel zu Integration und Erfolg</t>
  </si>
  <si>
    <t>Im Projekt uBUNTu 2 erhalten junge Erwachsene aus Drittstaaten mit längerfristiger Aufenthaltsperspektive aber geringen Deutschkenntnissen und Bildungserfahrung eine umfassende Basisbildung, die die Deutschsprachkompetenz und die Orientierung in Österreich in den Fokus rückt. Parallel dazu werden Kompetenzen trainiert, die wesentlich sind, um an weiteren Bildungsmaßnahmen teilnehmen zu können. Dazu zählen Berufsorientierung, EDV, Werteschulung und weitere Bereiche. 
Es werden insgesamt 9 Deutschkurse inkl. Berufsorientierung und Werteschulung (6xA2 und 3xB1) angeboten welche durch eine sozialpädagogische Begleitung und Einzelcoaching ergänzt werden.
Am Ende der Projektlaufzeit haben die TeilnehmerInnen so die sprachlichen Voraussetzungen für eine Weiterbildung erreicht, sie sind Berufs- und Werteorientiert und damit in der Lage an eine weiterführende Bildungsmaßnahme vermittelt zu werden.</t>
  </si>
  <si>
    <t>DANAIDA - Bildung und Treffpunkt für Frauen</t>
  </si>
  <si>
    <t>Alphabetisierung und Zweitschrifterwerb für Frauen</t>
  </si>
  <si>
    <t>Im Projekt "Alphabetisierung für Frauen" sind zwei Angebote geplant: Alphabetisierungs- und Zweitschriftkurse zur Vorbereitung auf den Besuch eines Standarddeutschkurses. In allen Kursen findet begleitende Beratung statt, parallel zu den Kursen wird Kinderbetreuung angeboten. Die Kursinhalte orientieren sich an den Vorkenntnissen, Interessen und am Alltag der Teilnehmerinnen und sollen neben Lesen und Schreiben auch DaZ-Kenntnisse im mündlichen und schriftlichen Bereich vermitteln und festigen, aber auch Mathematik und Informationen zu Sachthemen. In allen Kursen werden Computer und Tablets eingesetzt, um die Teilnehmerinnen mit neuen Technologien vertraut zu machen und ihnen Möglichkeiten des Einsatzes von IKT zum (selbstständigen) Lernen aufzuzeigen. In allen Kursen wird auch außerhalb des Kursraums gelernt, bei Exkursionen und in direkter Kommunikation mit deutschsprachigen Personen.</t>
  </si>
  <si>
    <t>Die Wiener Volkshochschulen GmbH</t>
  </si>
  <si>
    <t>Bildungscoaching und berufsbezogenes Deutsch für Drittstaatsangehörige, Asylberechtigte und subsidiär Schutzberechtigte bis 25</t>
  </si>
  <si>
    <t>Drittstaatsangehörige, Asylberechtigte und subsidiär Schutzberechtigte von 19 bis 25 Jahren, die eine Maßnahme der Basisbildung, des erwachsenengerechten Pflichtschulabschlusses, eine NEBA-Maßnahme oder das Jugendcollege besuchen oder abgeschlossen haben bzw. über eine Clearings- und Beratungsstelle zugewiesen werden und Begleitung bei der Erweiterung ihrer sprachl. und persönl. Kompetenzen benötigen, um im österr. (Aus-)Bildungssystem bzw. am Arbeitsmarkt Fuß zu fassen, sollen durch individuelles Bildungscoaching, einem darin erstellten individuellen Bildungsplan u. sich daraus ergebenden Kursbesuchen ihre bildungs- und berufssprachlichen Kompetenzen erweitern und eine damit verbundene ausbildungsbezogene bzw. berufliche Orientierung erhalten, sodass der Besuch einer weiterführenden Schule oder die Integration in den Arbeitsmarkt wahrscheinlicher gelingt.</t>
  </si>
  <si>
    <t>Einstieg - Einstieg ins Berufsleben GmbH</t>
  </si>
  <si>
    <t>Integrationskurs Deutsch zur Vorbereitung für Bildungsmaßnahmen</t>
  </si>
  <si>
    <t>Für TeilnehmerInnen aus der beschriebenen Zielgruppe ist eine Integration in einen Externisten- Pflichtschulabschlusskurs, eine höhere Schule oder eine sonstige Bildungsmaßnahme (Berufsschule, Qualifizierungsmaßnahme, Studium) oft nicht möglich, da hierfür die Sprach- und Bildungsdefizite noch zu gross sind. Ziel und Nutzen dieser Bildungsmaßnahme ist es hier ein Ergänzungsangebot zu stellen, um 
• die Teilnahme an Externisten-Pflichtschulabschlusskursen zu ermöglichen
• die Voraussetzungen für weiterführende Schulen zu ermöglichen
• die Teilnahme an Berufsschulbesuchen zu ermöglichen
• die Verbesserung der Deutschkenntnisse für berufliche (Qualifizierungs-) Maßnahmen zu schaffen</t>
  </si>
  <si>
    <t>S</t>
  </si>
  <si>
    <t>Kärntner Berufsförderungsinstitut GmbH</t>
  </si>
  <si>
    <t>SpracheInklusive</t>
  </si>
  <si>
    <t>Durch dieses Projekt erhalten Drittsaatsangehörige einen Sprachkurs mit interkulturellen, gesellschafts- und arbeitsmarktpolitischen Schwerpunkten, wodurch die Integration in Österreich nachhaltig unterstützt werden soll. Nach einem Einstufungsverfahren besteht die Möglichkeit - je nach vorhandenem Sprachniveau - ein ÖSD/ÖIF Sprachzertifikat A1 oder A2 zu erlangen. Zusätzlich erhalten die Teilnehmer/innen kompetenz- und biographieorientierte Beratung, welche bei Nostrifizierungsangelegenheiten, Bildungs- und Berufsberatung sowie der Darlegung von formellen und informellen Kompetenzen mit Hilfe eines Profilpasses unterstützend wirken soll. Insgesamt werden 10 Kurse angeboten.</t>
  </si>
  <si>
    <t>K</t>
  </si>
  <si>
    <t>Bildungs- und Beratungseinrichtung Frauen aus allen Ländern</t>
  </si>
  <si>
    <t>Hier lebe ich, hier lerne ich. Deutschkursangebote für Frauen aus Drittstaaten in Tirol.</t>
  </si>
  <si>
    <t>Mit dem Projekt hat sich die Bildungs- und Beratungseinrichtung Frauen aus allen Ländern das Ziel gesetzt, mit Kursangeboten in verschiedenen Formaten jene Frauen zu erreichen, die sonst - aus unterschiedlichen Gründen - herkömmliche Bildungs- und Integrationsangebote nicht nutzen können. Im Projektzeitraum werden in geschlechtshomogenen Gruppen mit ressourcen- und alltagsbezogenen Ansätzen Kurse auf unterschiedlichen Niveaustufen einerseits in Innsbruck, andererseits in Landeck im Tiroler Oberland angeboten. Parallel dazu findet an beiden Orten wöchentlich ein freier Lernnachmittag statt. Dazu gibt es eine kostenlose und professionelle Kinderbetreuung sowie vielseitige Zusatzangebote. In der Leitung und Durchführung ebensolcher Projekte blickt Frauen aus allen Ländern auf langjährige Erfahrung und mehrjährige Professionalisierung zurück.</t>
  </si>
  <si>
    <t>T</t>
  </si>
  <si>
    <t>Deutschoffensive zur Förderung der kommunalen Integration im Bezirk Südoststeiermark</t>
  </si>
  <si>
    <t>In Feldbach bzw. im Bezirk Südoststeiermark lebenden Asylberechtigten, subsidiär Schutzberechtigten und Drittstaatsangehörigen sollen bedarfsorientiert Deutschkurse &amp; Lernbetreung angeboten werden. Schulungsort ist nicht nur der traditionelle Kursraum, sondern auch der kommunale Lebensraum. Zielgruppen sind Vorschul- und Schulkinder, denen auf spielerischer Basis bzw. schulgerecht deutsch vermittelt wird. Für Erwachsene werden Kurse für bildungsferne und für besser gebildete Personen angeboten, die mit einem anerkannten Zertifikat abgeschlossen werden sollen. Elternbildung und der Vermittlung von Werten kommt eine besondere Bedeutung zu. Alle Kurse werden von fachlich qualifizierten Personen mit langjähriger Berufserfahrung geleitet. Die Herausforderung des Projektes besteht darin, dass auf sehr unterschiedliche Bedarfe durch ein maßgeschneidertes Kursprogramm reagiert wird.</t>
  </si>
  <si>
    <t>Integrativer Lernclub</t>
  </si>
  <si>
    <t>Der Integrative Lernclub für schulpflichtige Drittstaatsangehörige, insbesondere Asylberechtigte und Subsidiär Schutzberechtigte soll die Integration der Kinder in Österreich erleichtern und dadurch bestmögliche Ausgangsbedingungen für eine erfolgreiche persönliche, soziale und berufliche Zukunft schaffen. Die Behebung des Sprachdefizits ist hier nicht ausreichend, vielmehr sind auch die Kultur, Religion, Werthaltungen sowie der persönliche Hintergrund und die Muttersprache des Kindes im Rahmen einer interkulturellen Erziehung zu berücksichtigen. Betreuungsziele sind daher die Verbesserung der Kenntnisse der deutschen Sprache, Ausgleich bereits entstandener schulischer Defizite, Erlernen sozialer Kompetenzen, Förderung der Selbständigkeit sowie die Vermittlung kultureller Werte. Die Betreuung erfolgt längerfristig 2 x pro Woche je 2 Stunden in Kleingruppen von max. 8 Kindern.</t>
  </si>
  <si>
    <t>CONCORDIA Verein für Sozialprojekte</t>
  </si>
  <si>
    <t>CONCORDIA Lern- und Familienzentrum LenZ" Familienorientierte Integrationsbegleitung</t>
  </si>
  <si>
    <t>Das CONCORDIA Lern- und Familienzentrum LenZ bietet ab Jänner 2017 kostenlose Bildungs- und Beratungsangebote für Kinder und Jugendliche sowie deren Eltern: Gerade Familien mit Migrations- und Fluchterfahrung benötigen individuelle und punktgenaue Unterstützung. Im Rahmen der Lernbegleitung erhalten die Kinder und Jugendlichen die Möglichkeit, ihre Sprachkenntnisse kontinuierlich zu festigen und werden Schritt für Schritt an die Bewältigung ihrer schulischen Aufgaben herangeführt. Ziel ist, die Talente der Kinder und Jugendlichen zu fördern und ihre Potenziale nachhaltig zu stärken, um ihnen optimale Perspektiven auf ihrem weiteren Bildungsweg zu eröffnen. Die Einbindung der Eltern in Form von  Elternbildungs- und Beratungsangeboten ist dabei zentral und erleichtert die Orientierung im neuen Umfeld. Bei der Umsetzung des Projektes setzt CONCORDIA großteils auf Freiwillige.</t>
  </si>
  <si>
    <t>MQA 2 – Modulare Qualifizierung und Aktivierung für Drittstaatsangehörige, Asylbe-rechtigte und subsidiär Schutzberechtigte</t>
  </si>
  <si>
    <t>Arbeitsmarkt</t>
  </si>
  <si>
    <t>Im Rahmen des Projektes wird Drittstaatsangehörigen, Asylberechtigten und subsidiär Schutzberechtigten durch verbesserte Sprachkompetenz und dem Erwerb eines ÖSD Diploms sowie einer europaweit anerkannten Fachqualifizierung (LAP Bürokaufmann/-frau) eine sichere Arbeitsmarktintegration in Österreich ermöglicht. Es werden insgesamt 3 Kurse inkl.  Deutschunterricht mit je 24 TeilnehmerInnen angeboten. Das Projekt richtet sich ausschließlich an arbeitssuchende, motivierte und lernwillige Erwachsene Personen mit geringen Deutschkenntnissen. Es wird versucht den Frauenanteil der TeilnehmerInnen auf über 75% zu bringen. Während der Fachausbildung sind auch Praktikumstage inkludiert. Die Notwendigkeit dieses Projektes beruht auf der Tatsache, dass es für diese Zielgruppe kein vergleichbares Angebot gibt. Während der gesamten Projektlaufzeit unterstützen wir die Lösung von persönlichen Problemen der TeilnehmerInnen.</t>
  </si>
  <si>
    <t>NÖ, W</t>
  </si>
  <si>
    <t>Fachwerkstatt04 - ein Projekt zur arbeitsmarktnahen Qualifizierung</t>
  </si>
  <si>
    <t>Das Projekt Fachwerkstatt04 beinhaltet eine (Vor-) Qualifizierung für unterschiedliche Segmente am Arbeitsmarkt: Gesundheitsberufe, Ausbildungsbegleitung Fachsozialbetreuer, Metall, Gastronomie und Baunebengewerbe.
Das Hauptaugenmerk der inhaltlichen Ausgestaltung der Lehrgänge liegt in der Fachqualifizierung und in der fachsprachlichen Förderung. IKT und Kommunikation sowie Förderung der interkulturellen Kompetenzlagen und out-going Maßnahmen wie Bewerbungstraining und Vermittlungsunterstützung sind Module, die je nach Lehrgang additive Bestandteile darstellen. Die Lehrgänge sind mit einem praktischen Ausbildungsteil und einem zu absolvierendem Praktikum im zukünftigen Berufsfeld verbunden. Die Ausbildungsbegleitung unterstützt Personen der Zielgruppe parallel zur weiterführenden Qualifizierung im Gesundheitsbereich in Form von Fachsprachtraining, Lern- und Prüfungsvorbereitung.</t>
  </si>
  <si>
    <t>Pole Position - Startklar für den Arbeitsmarkt</t>
  </si>
  <si>
    <t>Die berufliche Integration von Drittstaatsangehörigen in den Tiroler Arbeitsmarkt soll durch sprachliche und fachliche Qualifizierungen über das Projekt Pole Position für die Zielgruppe (Drittstaatsangehörige nach NAG sowie anerkannte Flüchtlinge und subsidiär Schutzberechtigte mit längerfristiger Aufenthaltsperspektive) erleichtert werden. Durch arbeitsmarktrelevante fachspezifische Sprachkurse und Qualifizierungsmaßnahmen in den Bereichen "Orientierung, Perspektiven und Kommunikation", "Vorbereitung für Matura und Studium", "Pflege", "Gastronomie", "gewerblich-technische Berufe" und "Verkauf" soll den Teilnehmer/innen eine nachhaltige Befähigung zur Arbeitsmarktintegration zukommen. Dadurch wird der Zielgruppe zu einem selbstständigen Leben in Österreich verholfen.</t>
  </si>
  <si>
    <t>Quantensprung II -  Modulare Qualifizierung und Arbeitsmarktintegration von Asylberechtigten und subsidiär Schutzberechtigten</t>
  </si>
  <si>
    <t>Das Projekt Quantensprung II hat die Verbesserung des nachhaltigen Zugangs für die TeilnehmerInnen zum Arbeitsmarkt zum Ziel. Angesetzt wird an identifizierten Hürden, welche die systematische Benachteiligung der Zielgruppenangehörigen am Arbeitsmarkt bedingen. Eine Reihe ineinandergreifender Maßnahmen werden bedarfsgerecht in modular kombinierbarer Form angeboten, welche sich zu den folgenden Clustern zusammenfassen lassen: 
1. Maßnahmen zur Vermittlung von Fachsprachkenntnissen, 2. Orientierungsmaßnahmen zu Bewerbungsverfahren und Abläufen in österreichischen Betrieben, 3. Maßnahmen zur Unterstützung bei dem Knüpfen relevanter Kontakte und dem Sammeln von Erfahrung in den angestrebten Berufssparten und 4. Qualifizierungsmaßnahmen im Berufsfeld Heimhilfe.</t>
  </si>
  <si>
    <t>ABZ*AUSTRIA - Verein zur Förderung von Arbeit, Bildung und Zukunft von Frauen</t>
  </si>
  <si>
    <t>abz*Handel(n) für Migrantinnen</t>
  </si>
  <si>
    <t>abz*Handel(n) für Migrantinnen verfolgt das Ziel die Erwerbsbeteiligung von drittstaatenangehörigen Migrantinnen, die über Deutschkenntnisse auf dem Niveau B1 verfügen, durch eine Arbeitsmarktvorbereitung im Bereich Handel (Fokus Online-Handel) zu erhöhen bzw. sie auf eine Höherqualifizierung für diesen Bereich (insbesondere das Absolvieren einer LAP) vorzubereiten.
In Wien fehlen Angebote für Migrantinnen, die an Deutschkurse anschließen und auf eine Spezialisierung/Qualifizierung in einem bestimmten Berufsfeld vorbereiten. Das Projekt unterstützt die Frauen professionell und arbeitsmarktnahe durch die Umsetzung von drei Maßnahmen: 1. Arbeitsmarktvorbereitungskurse, 2. Einzelberatung in "offener" Beratung, 3. Veranstaltungen: "Lebende Bibliothek der Berufsperspektiven im Handel" und „Roll&amp;fly“.</t>
  </si>
  <si>
    <t>SprachPflege – Intensivvorbereitung für den Pflege- und Betreuungsbereich</t>
  </si>
  <si>
    <t>SprachPflege ist eine Maßnahme für Drittstaatsangehörige, subsidiär schutzberechtigte und asylberechtigte Personen, welche diese durch einen Sprachkurs mit sozialen, kulturellen, gesellschafts- und arbeitsmarktpolitischen, gesundheitsrelevanten sowie persönlichkeitsbildenden Schwerpunkten auf die Ausbildung im Pflege- oder Betreuungsbereich vorbereiten soll. Am Ende der Maßnahme sollen die Personen sowohl sprachlich als auch persönlich soweit vorbereitet sein, um in die Pflegehelferausbildung oder eine andere weiterführende Ausbildung/Betreuung einzusteigen. Diese Ausbildung wurde entwickelt, da die Nachfrage an Personen im pflegenden Bereich, durch die Alterung der Gesellschaft, steigt und Personal mit Mehrsprachigkeit in den unterschiedlichsten Gesundheitseinrichtungen immer stärker benötigt wird. Durch dieses Projekt werden die Personen der Zielgruppe sprachlich sehr gut qualifiziert, wodurch sich deren Chancen auf berufliche Weiterqualifizierung und einen Einstieg in den Arbeitsmarkt erhöhen.</t>
  </si>
  <si>
    <t>alea + partner GmbH</t>
  </si>
  <si>
    <t>work stages</t>
  </si>
  <si>
    <t>Das Projekt „work  stages“ („Arbeitsschritte") unterstützt anerkannte junge Flüchtlinge (15 - 25 Jahre) auf dem Weg in die Arbeitswelt. Ziel ist die Vorbereitung und nachhaltige Integration in den Arbeitsmarkt bzw. die berufliche Ausbildung. Orientierung und Zielearbeit schaffen konkrete Perspektiven, bedarfsgerechte Bildungs- und Beratungsangebote sichern den Erwerb arbeitsplatzrelevanter Handlungskompetenz. Individuell gestaltete, strukturierte, gesteuerte Integrationsprozesse, die von einem Integrations-Coach verantwortet werden, sichern die Einbindung aller relevanten AkteurInnen sowie zielgerichtete, konsistente Teilprozesse  ohne Leerläufe und Redundanzen. Die aktive Einbindung regionaler Betriebe und das Management der Übergänge in die Arbeitswelt sichern über einen ausreichend langen Zeitraum (24 Monate) den Einstieg und den nachhaltigen Verbleib in der beruflichen Ausbildung.</t>
  </si>
  <si>
    <t>MTOP Potential:Integration GmbH</t>
  </si>
  <si>
    <t>MORE THAN ONE PERSPECTIVE ganzheitliche Vorbereitung zum Arbeitsmarkteintritt und gezielte Arbeitsmarktvorbereitung für Asylberechtigte mit akademischem Abschluss</t>
  </si>
  <si>
    <t>Das MTOP associate program ist ein integratives Ausbildungsprogramm für geflüchtete Menschen mit akademischen Abschluss. Die TeilnehmerInnen werden ausgewählt, ausgebildet und mit potentiellen ArbeitgeberInnen vernetzt. Die MTOP associates werden auf die Integration im Unternehmen vorbereitet und im Prozess begleitet. Durch regelmäßige Feedbackgespräche wird das Ausbildungsprogramm stetig verbessert und die Schlüsselfaktoren für Arbeitsmarktintegration von Menschen mit Migrationshintergrund identifiziert. Diese Expertise sichert eine erfolgreiche Integrationsbegleitung bzw. Integrationsberatung von Unternehmen.</t>
  </si>
  <si>
    <t>Mobile Integrationsbetreuung in der Steiermark XI</t>
  </si>
  <si>
    <t>Gemeinde und Identität</t>
  </si>
  <si>
    <t>Die „Mobile Integrationsbetreuung in der Steiermark“  ist die zentrale Anlaufstelle für Asylberechtigte und subsidiär Schutzberechtigte für den Start in ein selbstständiges Leben in der Frühphase nach Statuszuerkennung. Der mobile Betreuungsansatz ermöglicht die Abdeckung des Landesgebiets Steiermark. Der Schwerpunkt der Projektarbeit liegt beim Verzug vom organisierten Quartier in die erste Privatwohnung.
Die Angebote des Projektes umfassen:
*(Mobile) Betreuung, Beratung und Information
*Hilfestellung bei der Schaffung von geeigneten Wohnraum (tw. finanzielle Unterstützung)
*Suche nach Weiterbildungsmaßnahmen
*Konversationsgruppen
*Beratung zum Arbeitseinstieg
* Kontakte mit Ämtern, Behörden und im persönlichen Umfeld
*Wohnpatenschaften, Sprachtandems, Patentreffen und interkulturelle Besuche fördern den interkulturellen Dialog
*Frauentreffs, Workshops vermitteln österreichische Werte</t>
  </si>
  <si>
    <t>Treff.punkt Österreich - Integrationsprojekt für Asylberechtigte und subsidiär Schutzberechtigte in NÖ</t>
  </si>
  <si>
    <t>Das Projekt unterstützt Asyl- und subs. Schutzberechtigte im östlichen NÖ auf ihrem Integrationsweg und besteht aus drei aufeinander abgestimmten Modulen, die eine aktive Teilhabe am gesellschaftlichen, wirtschaftlichen und kulturellen Leben in Österreich ermöglichen sollen. Im Zentrum steht eine umfassende Beratung/Begleitung (u.a. Frauen-, Integrations- und Wohnberatung). Das Modul Spracherwerb bietet
• Deutsch-Integrationskurse mit Kinderbetreuung 
• Flexibles Kursmodulsystem 
• Möglichkeit der Absolvierung zertifizierter ÖSD-Prüfungen 
Das Modul Arbeitsmarkttintegration soll bei der Vorbereitung auf den Arbeitsmarkt und den Einstieg in Berufssparten mit Nachfrage (Zusammenarbeit mit AMS NÖ) unterstützen. KlientInnen werden unterstützt durch
• (Fach-)Sprachkurse und Höherqualifizierung B1
• Begleitung und Nachbetreuung durch Einzelcoaching
• Arbeitstraining und Praxisprojekte</t>
  </si>
  <si>
    <t>SI – Starthilfe zur Integration von Asylberechtigten und subsidiär Schutzberechtigten in Oberösterreich</t>
  </si>
  <si>
    <t>Das Projekt „SI – Starthilfe zur Integration“ richtet sich an Asylberechtigte und subsidiär Schutzberechtigten in den Bezirken: Braunau, Freistadt, Gmunden/Bad Ischl, Linz, Linz-Land, Perg, Rohrbach, Urfahr-Umgebung  und Vöcklabruck. Ziel des Projektes ist eine chancengleiche Teilhabe in der Gesellschaft durch wirtschaftliche, individuelle und soziale Eingliederung von Asylberechtigten und subsidiär Schutzberechtigten zu erreichen. Dies soll mit dem Angebot und Umsetzung der Projektmaßnahmen erreicht werden. Das Projekt setzt dabei Schwerpunkte auf fünf Bereiche (Wohnen, Bildung, Arbeit, Soziale Sicherheit und interkulturelle Kompetenz) sowie zwei Querschnittsthematiken (Frauen und Bedürfnisse von vulnerablen Personen). Die im Projekt „SI – Starthilfe zur Integration“ angebotenen Beratungen und Betreuungen sind bedarfsorientiert, mehrsprachig, ganzheitlich und daher nachhaltig.</t>
  </si>
  <si>
    <t>Integrations- und Bildungszentren Salzburg</t>
  </si>
  <si>
    <t>Das IBZ Salzburg leistet prozesshafte und bedarfsorientierte Starthilfe zur Integration von Flüchtlingen direkt ab Zuerkennung von Asyl oder subsidiärem Schutz. Die Leistungen des Beratungsteams beinhalten Wohnungsplatzvermittlung und -beratung, Angebot von Deutschkursen im Integrationshaus und Sprachclearing zur besseren Vermittlung zu relevanten Sprachkursen, sozial-psychologische Beratung und Unterstützung bei der Integration am Arbeitsmarkt. Die Beratung ist an die Bedürfnisse, Ressourcen und Defizite der KlientInnen abgestimmt und erfasst alle Lebensbereiche. Im individuellen Rhythmus erreichen die TeilnehmerInnen Schritt für Schritt die Meilensteine ihrer Integrationsplanung und schaffen die Grundlagen für ihre wirtschaftliche, soziale, kulturelle und gesellschaftliche Gleichberechtigung.</t>
  </si>
  <si>
    <t>Integrations-Caritas-Express</t>
  </si>
  <si>
    <t>Starthilfe-Projekt für Asylberechtigte und Subsidiär Schutzberechtigte in den ersten beiden Anerkennungsjahren an mehreren Standorten in Oberösterreich. Das Projekt bietet: Integrationsservice aus einer Hand und einem Guss; Einsatz von mehrsprachigen MitarbeiterInnen; Erstellen und Umsetzung eines individuellen Integrationsplans; Bearbeitung aller behördlichen Agenden insb. zur Existenzsicherung sowie aktive Wohnraumsuche - und vermittlung als Integrationsbasisleistung; Vermittlung in Kursmaßnahmen (Sprache und Qualifikation); Hilfestellung bei der Arbeitssuche; Aufbau und Forcierung von privaten Netzwerken der Zielgruppe sowie eines IntegrationslotsInnenpools; niederschwelliges Integrationscoaching schwerpunktmäßig für Frauen und vulnerable Gruppen; Werte &amp; Systemwissen (Orientierungshilfen); regelmäßige Rückkoppelung zu (system)relevanten Stakeholdern und AkteurInnen.</t>
  </si>
  <si>
    <t>Integrations- und Bildungszentren Niederösterreich</t>
  </si>
  <si>
    <t>Das IBZ NÖ bietet Asylberechtigten und subsidiär Schutzberechtigten ganzheitliche und klientInnenzentrierte Integrations-Startunterstützung im Einzugsgebiet NÖ West:
• Beratung: individuell zugeschnittene Beratung im Rahmen einer offenen Integrationsberatung, prozessorientiertes Case-Management für KlientInnen in Integrationsstartwohnungen. 
• Wohnen: Unterbringung in projekteigenen Integrationsstartwohnungen, nach 12 bzw. 18 Monaten Vermittlung in Finalwohnungen.
• Bildung: Deutschkurse der Niveaus A2 bis B2 sowie arbeitsmarktorientierte Fachsprachkurse.
• Arbeitsmarktintegration: Berufsorientierung, Bewerbungstraining, Outplacement, Bildungsberatung für Jugendliche als Befähigung, selbständig Arbeit zu finden.
• MultiplikatorInnen: Beratungen für Gemeinden, Behörden, Sozialeinrichtungen, Öffentlichkeitsveranstaltungen sowie Frauencafes, Männercafes, Seminare für ehrenamtliche Buddies.</t>
  </si>
  <si>
    <t>Integrations- und Bildungszentren Wien</t>
  </si>
  <si>
    <t>IBZ Wien – Integration von Flüchtlingen ist ein hochschwelliges, klient*innenzentriertes Projekt, das Personen aus der Zielgruppe ganzheitliche Unterstützung im Integrationsprozess bietet. Basierend auf den individuellen Bedürfnissen und Möglichkeiten der Klient*innen werden Integrations- bzw. Perspektivenpläne ausgearbeitet und unterstützt von einem umfassenden projekteigenen Angebot an Integrationsmaßnahmen, in deren Zentrum ganzheitliche Beratung steht, Schritt für Schritt umgesetzt. Die IBZ Wien bieten ganzheitliche Starthilfe im Integrationsprozess: Startwohnungen, Integrationsberatung, Sprach- &amp; Lernhilfe für Jugendliche, Vermittlung von Sprach &amp; Qualifizierungskursen; Arbeitsmarktintegration; Arbeit mit MultiplikatorInnen;
Das Projekt IBZ Wien vereint in diesem AMIF Fortsetzungsprojekt die Vorgängerprojekte INTO Wien und BASIS Zinnergasse.</t>
  </si>
  <si>
    <t>Starthilfe zur Integration von wieder vereinten asylberechtigten und subsidiär schutzberechtigten Flüchtlingsfamilien</t>
  </si>
  <si>
    <t>Zielgruppe des Projektes "FamilienTreffen" sind anerkannte Flüchtlinge und subsidiär schutzberechtigte Personen, die im Rahmen des §35 AsylG den Sachverhalt eines Familienverfahrens vor kurzem erfolgreich realisiert haben bzw. sich in einem laufenden erfolgsversprechenden Verfahren befinden. Die allgemeine Projektzielsetzung ist eine Starthilfe zur Integration anhand Integrationsberatung und - unterstützung durch professionelle IntegrationsberaterInnen und freiwillige Buddies, um eine nachhaltige Verankerung der Flüchtlingsfamilien in der Aufnahmegesellschaft zu gewährleisten. Gleichzeitig erfolgt eine Sensibilisierung der österreichischen Gesellschaft durch die Multiplikatorfunktion der Buddies und sachliche Informationen.</t>
  </si>
  <si>
    <t>NÖ, OÖ, ST, T, W</t>
  </si>
  <si>
    <t>Integrations- und Bildungszentren Tirol</t>
  </si>
  <si>
    <t>Die IBZ Tirol bieten an vier strategischen Standorten in Tirol Startbegleitung inklusive Wohnversorgung für Asylberechtigte und subsidiär Schutzberechtigte. Diese werden in projekteigenen Integrations- oder Finalwohnungen wohnversorgt und ganzheitlich zu Perspektiven in Österreich, zu Integration und Arbeitsmarkt beraten. Im Rahmen unterschiedlicher Bildungsformate werden integrationsrelevante Inhalte vermittelt. Im Rahmen von Tandem-Arbeit und Begegnungsveranstaltungen tauschen sich Schutzberechtigte mit Wohnbevölkerung und Stakeholder*innen zu Fragen von Kultur und Integration aus. Die Maßnahmen werden speziell für die Zielgruppe konzipiert und fachlich begleitet. Ein weiterer Schwerpunkt liegt auf Vernetzung und Durchführung von regionalen und überregionalen Maßnahmen, welche die Einbindung von Zivilgesellschaft und Ehrenamtlichen fördern und zur Integration beitragen.</t>
  </si>
  <si>
    <t>Station Wien, Verein für Bildung, Beratung und kulturellen Austausch</t>
  </si>
  <si>
    <t>Kontaktepool</t>
  </si>
  <si>
    <t>Kontaktepool Wien vermittelt private Kontakte zwischen Migrant_innen und freiwillig tätigen Österreicher_innen. Die Interessent_innen entscheiden sich für einen Freizeitbuddy-Kontakt, ein Sprachentandem oder für die ehrenamtliche Lernhilfe für Kinder und Jugendliche mit nicht deutscher Erstsprache bzw. für erwachsene Asylberechtigte/subs. Schutzberechtigte. Die Paare treffen sich privat, wodurch Migrant_innen das Einleben in der österreichischen Gesellschaft ermöglicht wird und ein intensiver Wertediskurs stattfindet. Zusätzlich finden viele Veranstaltungen statt: Sprachencafés, die von Zuwander_innen dazu genützt werden, mit Österreicher_innen die institutionell erworbenen Deutschkenntnisse abseits der Kurse zu festigen und sich in die Gesellschaft einzubringen, Cinemama (Kino mit gratis Kinderbetreuung), "Raus aus dem Haus"-Aktivitäten, Kulturveranstaltungen, Workshops und ein Fest.</t>
  </si>
  <si>
    <t>*peppa interkulturelles Mädchenzentrum - Lernbetreuung sowie Bildungs- und Berufsberatung für Mädchen und junge Frauen</t>
  </si>
  <si>
    <t>Das interkulturelle Mädchenzentrum *peppa im 16. Wiener Gemeindebezirk setzt mit seinem niederschwelligen Beratungs-, Bildungs-, Freizeit- und Informationsangebot den Schwerpunkt auf Bildung und Sprache. Das Ziel des Projekts ist es, junge Frauen und Mädchen bei der selbständigen Lebensführung zu begleiten. Die Projektteilnehmerinnen haben die Möglichkeit mit hauptamtlichen sowie zahlreichen freiwilligen Mitarbeiterinnen in der Lernbetreuung ihre schulischen Aufgaben zu bewältigen und ihre Deutschkenntnisse auszubauen sowie durch das Beratungs- und Betreuungsangebot Perspektiven für ihre Bildungs- und Berufswege zu erarbeiten. Die Angebote des *peppa wirken dem Einfluss der Faktoren „Migrationshintergrund“ und „sozio-ökonomische Verhältnisse“ auf den Schulerfolg entgegen, ermöglichen langfristig eine erfolgreiche gesellschaftliche Teilhabe und minimieren die Anzahl der NEET Jugendlichen.</t>
  </si>
  <si>
    <t>crosstalk</t>
  </si>
  <si>
    <t>Crosstalk ermöglicht und begleitet Gespräche über kulturelle Grenzen hinweg und stellt damit das Verbindende vor das Trennende. Im Rahmen des Projektes werden Begegnungen zwischen Drittstaatsangehörigen und Mitgliedern der österreichischen Bevölkerung initiiert und begleitet mit dem Ziel, Ängsten zu begegnen und das friedliche Zusammenleben zu fördern. Es werden drei Arten von Begegnungen angeboten: 1) Welcome Talks, bei denen ein Crosstalk-Botschafter einen österreichischen Verein, eine Firma etc. in der Gemeinde besucht 2) Community Talks, bei denen ein Crosstalk-Botschafter einen migrantischen Verein (Kulturverein) etc. besucht 3) Smart Talks, das sind kleine Gesprächsrunden mit dem Bürgermeister der Gemeinde. Im Vordergrund steht jeweils die Person des Botschafters, Schwerpunktthemen sind darüber hinaus „Frauenbilder“, „Männerbilder“ und „Interreligiöser Austausch“.</t>
  </si>
  <si>
    <t>W, NÖ, OÖ, S, ST</t>
  </si>
  <si>
    <t>Magistrat der Stadt Wels</t>
  </si>
  <si>
    <t>Neu in Wels?!</t>
  </si>
  <si>
    <t>Das Projekt widmet sich besonders den Asylberechtigten/subsidiär Schutzberechtigten, und hier besonders Personen, die BMS beziehen. Diese Personen sowie andere Drittstaatsangehörige und die angestammte Bevölkerung werden ebenso einbezogen. Das Projekt soll die Zielgruppe im Integrationsprozess unterstützen und fördern und ihnen das Ankommen in der Österr. Gesellschaft erleichtern.
Meilensteine sind regelmäßige Beratung, Unterstützung im Spracherwerb und Orientierung in Wels sowie Vermittlung und Leben von Werten. Bei der Vermittlung von Werten wird  die angestammte Bevölkerung über Dialogforen und Workshops (gemeinsamer Wertediskurs) eingebunden. Ein weiterer Meilenstein sind Buddy-Systeme für Freizeit, Sport und Ehrenamt.
Kinder der Zielgruppe erfahren Unterstützung in der Schule beim Spracherwerb und Sprachkompetenz sowie bei der Vermittlung von Werten und sozialem Lernen.</t>
  </si>
  <si>
    <t>Österreichische Integrationsindikatorenberichte 2017, 2018 und 2019</t>
  </si>
  <si>
    <t>In Fortsetzung des 2010 eingerichteten Integrationsmonitorings soll das Projekt die im NAP Integration definierten Indikatoren erheben, um gesicherte Aussagen über den Stand/ die Veränderung der Eingliederung von ZuwanderInnen zu ermöglichen. Es beinhaltet sowohl eine Zusammenstellung objektiv messbarer Indikatoren, wie beispielsweise Einkommen oder Haushaltsgröße, als auch Informationen über die subjektive Einschätzung, Wahrnehmung und Einstellung der zugewanderten Bevölkerung sowie der Mehrheitsbevölkerung zur Integration.
Der Indikatorenbericht als Endprodukt des Projekts wird in einer Auflage von 10.000 Stück gedruckt und an Entscheidungsträger und Multiplikatoren in ganz Österreich verschickt sowie zusätzlich in Kooperation mit dem Österreichischen Integrationsfonds als Online-Version im Internet zugänglich gemacht.</t>
  </si>
  <si>
    <t>Gesamt Ö</t>
  </si>
  <si>
    <t>Department für Migration und Globalisierung/ Donau-Universität Krems</t>
  </si>
  <si>
    <t>Dialogforum - Dialog zwischen Politik, Wissenschaft und Praxis</t>
  </si>
  <si>
    <t>Das Dialogforum ist eine Plattform des Dialogs und Wissensaustausches zwischen innerstaatlichen Akteuren (polit. Entscheidungsträger Bund/ Länder/ Gemeinden) im Migrations- und Integrationsbereich, (inter)nationalen ForscherInnen und zivilgesellschaftlicher Einrichtungen. Die Wissenschaft informiert über Forschungserkenntnisse zu Integration und Migration, in Ergänzung werden Projekte der Zivilgesellschaft miteinbezogen und die Vernetzung der TeilnehmerInnen mit interaktiven Maßnahmen unterstützt. Die Zusammenführung wissenschaftlicher Erkenntnisse und der Umsetzung in die Praxis sind zentrale Aspekte in der gemeinsamen Arbeit. Das Dialogforum als interaktive Plattform ermöglicht österr. Akteuren der Integrationspolitik ihre Erfahrungen und Fähigkeiten weiterzugeben und sich neue anzueignen (Capacity building). Dokumentation und Dissemination erfolgen durch Websites und Tagungsbände.</t>
  </si>
  <si>
    <t>SPES GmbH - SPES Familien-Akademie</t>
  </si>
  <si>
    <t>Netzwerk - Integration von Familien mit Kindern</t>
  </si>
  <si>
    <t>Das Netzwerk – Integration von Familien mit Kindern hat zum Ziel, Familien aus Drittstaaten bzw. mit Asylberechtigung über Lotsen und Vernetzungsmaßnahmen auf mehreren Ebenen an die österreichische Gesellschaft heranzuführen. In 2 Lehrgängen werden jeweils 20 Lotsen für die Leitung interkultureller Eltern-Kind-Gruppen sowie für die Assistenz bei Vereinen und Initiativen ausgebildet. Sie fungieren als BrückenbauerInnen zwischen Familien aus Drittstaaten und Aufnahmegesellschaft. In 10 oö. Pilotgemeinden werden Mikro-Netzwerke aufgebaut, um familienrelevante, zivilgesellschaftliche Einrichtungen wie Eltern-Kind-Zentren, Vereine und öffentliche Leistungsträger zu vernetzen und sensibilisieren und so Unterstützungsnetzwerke für die Lotsen und die Familien zu schaffen. 7 Bezirksvernetzungstreffen und 1 Fachtagung dienen dem interkulturellen Kapazitätenaufbau und der regionalen Vernetzung.</t>
  </si>
  <si>
    <t>Universität Wien - Postgraduate Center</t>
  </si>
  <si>
    <t>Universitätslehrgang Muslime in Europa</t>
  </si>
  <si>
    <t>Der Lehrgang befähigt die AbsolventInnen zur kompetenten und gegenwartsbezogenen Präsentation und Erläuterung islamischer Inhalte im europäischen Kontext. Durch diese spezielle Ausbildung werden die TeilnehmerInnen für ihre Tätigkeiten in den verschiedenen integrationsfördernden Institutionen, Moscheegemeinden und sozialen Einrichtungen in Österreich weitergebildet. Die AbsolventInnen können nach der Weiterbildung die Integration der muslimischen Minderheit gezielt fördern und aktiv als ExpertIn begleiten. Die TeilnehmerInnen werden mit genderspezifischen Fragestellungen, sowie der Geschichte und Entwicklung islamwissenschaftlicher Traditionen und Standpunkte vertraut gemacht. Neben fünf Pflichtmodulen ist zusätzlich ein Praktikum zu absolvieren, in dem die Herausforderungen des Zusammenlebens verschiedener Kulturen und Religionen im Vordergrund stehen.</t>
  </si>
  <si>
    <t>Universität Graz, Institut für Katechetik und Religionspädagogik</t>
  </si>
  <si>
    <t>Integration durch interreligiöse Bildung III</t>
  </si>
  <si>
    <t>Das dreijährige Projekt „Integration durch interreligiöse Bildung“ (2017-2020) hat zum Ziel, durch konkrete Bildungsinitiativen einen Beitrag zur Integration muslimischer SchülerInnen zu leisten. Aufbauend auf einer Ist-Stands-Analyse in Kärnten und in der Steiermark werden  Qualitätsentwicklungsmaßnahmen für den Islamischen Religionsunterricht etabliert, die dem Anliegen dienen, im Unterricht einen aufgeklärten Islam europäischer Prägung zu vermitteln sowie Kinder und Jugendliche im Blick auf ihre religiösen Überzeugungen dialogfähig zu machen. Neben der Entwicklung und Durchführung eines Hochschullehrgangs für Islamische ReligionslehrerInnen werden im Rahmen des Projekts interreligiöse Unterrichtseinheiten erprobt und erforscht. Zusätzlich werden in einer juristischen Analyse die rechtlichen Rahmenbedingungen des schulischen islamischen Religionsunterrichts geprüft.</t>
  </si>
  <si>
    <t>ST, K</t>
  </si>
  <si>
    <t>Österreichisches Rotes Kreuz, Landesverband Salzburg</t>
  </si>
  <si>
    <t>Qualifizierungsmaßnahme für arbeitsmarktferne Menschen mit Migrationshintergrund im Bundesland Salzburg</t>
  </si>
  <si>
    <t>Eine rasche und erfolgreiche Arbeitsmarktintegration ist neben einer frühen und nachhaltigen Selbsterhaltungsfähigkeit der Zielgruppe für eine gelungene und langfristige Sozialintegration in die Österreichische Gesellschaft wichtig. Durch eine praxisnahe Ausbildung in den verschiedensten Aspekten der Gastronomie in Verbindung mit Fachdeutschkursen, wird den Teilnehmerinnen und Teilnehmern eine Basisqualifikation vermittelt, die sie später in den Bereichen der Gastronomie und Hotellerie, in denen zurzeit ein Arbeitskräftemangel herrscht, sinnvoll Nützen können. Weiters sollen die erworbenen Kenntnisse den Einstieg in weiterführende Schulungsmaßnahmen und eventuelle Lehrausbildungen im Bereich Gastronomie ermöglichen. So soll ein breites Spektrum an Möglichkeiten zur Nutzung von beruflichen Potenzialen eröffnet werden.</t>
  </si>
  <si>
    <t>ASPIS - Psychosoziales Zentrum für Flüchtlinge und Opfer von Gewalt</t>
  </si>
  <si>
    <t>Integrationsinitiative Familie 2019: Ein Präventivprojekt mit Menschen aus Kriegs- und Krisengebieten</t>
  </si>
  <si>
    <t>Wir haben in den letzten zweieinhalb Jahren Präventivarbeit gegen Radikalisierung durchführen können. Die von uns betreuten und beratenen Familien werden aufgesucht (kulturspezifischer, psychologischer Zugang). Für Kinder und Jugendliche werden wöchentliche Workshops und Sportbegegnungen angeboten. Weiters ist unser Fußballteam ein idealer Platz für Jugendliche und junge Männer um ihren Selbstwert zu stärken. Zusätzlich finden Familienausflüge statt um die jeweiligen Familiensysteme zu stärken. Die Themen, die wir bei den Besuchen zu bearbeiten haben, handeln von Kränkungen, Familie, Rechtssystem, Schule, Rechte der Frauen, Gesundheitssystem und vieles mehr.</t>
  </si>
  <si>
    <t>Verein Impulse Krems</t>
  </si>
  <si>
    <t>Krems Interkulturell 2019 - Förderung von Begegnung, Sprache und Integration im Alltag - Schwerpunkt</t>
  </si>
  <si>
    <t>Krems Interkulturell ist eine Informations-, Förder- und Koordinationsstelle sowie Ansprechpartner in allen Anliegen/Maßnahmen der Integration im Raum Krems. Die Arbeitsschwerpunkte werden auf Sprach- und Freizeitkurse, Begegnung im Alltag, Anschluss an vorhandene gesellschaftliche Ressourcen, niederschwellige Beratung/Begleitung sowie gemeinwesenorientierte Angebote gelegt. Im Mittelpunkt stehen dabei die Arbeit mit Kindern, Jugendlichen und Frauen sowie die lebensweltnahe Ausrichtung (Grätzlarbeit) der Angebote. Aufbauend auf 20-jährige Erfahrung in der Integrationsarbeit sowie dem Niederösterreich-weiten Leitlinienprozess "Sozialräumliche Integrationsarbeit" werden bisherige Angebote bedarfsgerecht adaptiert. Neben kontinuerlicher Kooperation mit diversen Einrichtungen stellen wöchentliche Kurs- und Beziehungsangebote sowie gezielte Projekte die Grundlage für niederschwellige Integrationsarbeit dar.</t>
  </si>
  <si>
    <t>Pronegg &amp; Schleich Soziale Dienste GmbH</t>
  </si>
  <si>
    <t>BEAM Beratung_Begleitung Eltern Alltagskompetenz Migration</t>
  </si>
  <si>
    <t>Im Projekt BEAM (Beratung_Begleitung Eltern Alltagskompetenz Migration) gehen Prävention mit Information und Wissenstransfer Hand in Hand: Modul Mamaplausch bietet niederschwellige Information zu kindlicher Entwicklung und Gestaltung des Familienalltags - auch in interkulturellen Gruppen. Im Modul Beratung begleiten wir Familien und Kinder mit Unterstützungsbedarf und (drohender) Behinderung. Wissenstransfer: Durch Weitergabe von Informationen an Freiwillige, unsere Kolleginnen aus verschiedenen Kulturen und MultiplikatorInnen sollen Familien gut begleitet werden. Ziel ist es, Wissen und Kompetenzen zu erweitern und Netzwerke zu etablieren, um Kinder früh und umfassend zu fördern, Familien zu stärken und über vorhandene Angebote zu informieren.</t>
  </si>
  <si>
    <t>PluSprache</t>
  </si>
  <si>
    <t>Mit diesem Projekt soll die Stärkung der sprachlichen Kompetenz mit den Schwerpunkten geschäftliche Kommunikation, Verbesserung des Umgangs mit deutschsprachigen EDV-Anwendungen und der Tastatur, Erwerb des wirtschaftlichen Grundwissens sowie der Aufbau von Bewerbungskompetenzen ermöglicht werden. Durch gezielte und innovative Maßnahmen wird Chancengleichheit von  Personen mit Migrationshintergrund unterstützt. Migrantinnen werden ermutigt, ihren Weg zu gehen, um erfolgreich in Österreich tätig zu sein. Dadurch wird die Erwerbstätigkeit von Personen mit Migrationshintergrund gesteigert.</t>
  </si>
  <si>
    <t>Frauenberatung Waldviertel</t>
  </si>
  <si>
    <t>Beratungs- und Bildungsangebot für Migrantinnen zur Untertützung von Integration und eigenständiger Lebensgestaltung</t>
  </si>
  <si>
    <t>Das vorliegende Projekt richtet sich ausschließlich an Frauen und Mädchen im Waldviertel, welche entweder Drittstaatsangehörige mit Bleibeperspektive, Asylberechtigte oder subsidär Schutzberechtigte, EU.Bürgerinnen oder Österreicherinnen mit Migrationshintergrund und dauerhafter Niederlassung in Österreich sind. Wesentliches Projektziel ist, diesen Frauen ein niederschwelliges, gut zugängliches Beratungs- Informations-und Kommunikationsangebot  zu den Themen: Gesundheit, Arbeit, Rechtsstaat und Werte sowie theaterpädagogische Sprachförderung anzubieten, welches sie in die Lage versetzt, ihr Leben in Österreich eigenständig zu bewerkstelligen.</t>
  </si>
  <si>
    <t>ISK - Institut für Soziale Kompetenz</t>
  </si>
  <si>
    <t>Job4Life - Erfolg durch Berufsvorbereitung und Integration</t>
  </si>
  <si>
    <t>Jugendliche mit Migrationshintergrund haben oft nur einen Pflichtschulabschluss und sind überproportional von Arbeitslosigkeit betroffen. Sie haben am Ende der Pflichtschule häufiger Orientierungsprobleme und brechen ihren Bildungsweg ab.
Eine erfolgreiche berufliche Qualifizierung setzt daher eine fundierte Berufsvorbereitung voraus und ist eine wichtige Maßnahme zur langfristigen Erwerbstätigkeit und Integration.
Das Projekt Job4Life unterstützt Jugendliche beim Einstieg in die berufliche Qualifizierung (Lehre) in der 7. – 9. Schulstufe mit einem umfassenden Berufsvorbereitungs-Lehrgang (Workshops, Beratung, Praxistage, Firmenkontakte, Bewerbungscoaching, etc.) an Schulen in Oberösterreich im Rahmen der regulären Unterreichtseinheiten sowie der schulischen Nachmittagsbetreuung.
Job4Life bezieht die Eltern ein und baut eine nachhaltige Brücke zwischen Schule und regionalen Unternehmen.</t>
  </si>
  <si>
    <t>Romano Centro - Verein für Roma</t>
  </si>
  <si>
    <t>Roma-Schulmediation an Wiener Schulen</t>
  </si>
  <si>
    <t>Vier Roma-SchulmediatorInnen arbeiten an 6 Volksschulen, zwei Zentren für Inklusion und Sonderpädagogik und an einer Mittelschule in insgesamt 6 Wiener Bezirken und sind in Einzelfällen an bis zu 15 weiteren Schulen tätig. Sie unterstützen die Kommunikation zwischen Schule und Eltern, unterstützen die SchülerInnen, verbessern das soziale Umfeld der Kinder in Kooperation mit einer Sozialarbeiterin und vermitteln in der Schule wichtige Informationen. Sie tragen durch ihre Tätigkeit dazu bei, dass sich die Eltern mehr am Schulleben beteiligen, was zu geringeren Fehlzeiten, besseren Schulleistungen (insbesondere in Deutsch) und einem besseren Miteinander in der Schule führt. Mehrere Studien belegen, dass Roma/Romnja ein deutlich schlechteres Bildungsniveau haben, als der Durchschnitt der MigrantInnen: Roma-Schulmediation ist eine europaweit bewährte Maßnahme, diese Situation zu verbessern.</t>
  </si>
  <si>
    <t>Gemeinsam - Verein Initiative Interkulturelle Arbeit</t>
  </si>
  <si>
    <t>Deutschförderung und Integration von Schüler/innen aus Drittstaaten im Alter von 8-12 durch Mentoring nach dem Konzept Nightignale</t>
  </si>
  <si>
    <t>Beim Mentoring nach dem "Nightingale-Konzept" geht es darum, dass 132 Student/innen (=Mentor/innen)  132 Schüler/innen aus Drittstaaten mit Förderbedarf im Deutschspracherwerb und bei Fragen der Integration begleiten und unterstützen. Nach Einschulung treffen sich die Tandems, die an 9-11 Standorten gebildet werden (7 in Wien, 1-2 in Graz, 1-2in Salzburg) je ca. 18 mal zu gemeinsamen Bildungs- und Freizeitaktivitäten, um implizit den Deutsch-Spracherwerb der Kinder zu verbessern. Die Schüler werden nach Förderbedarf ausgewählt, die Student/innen kommen aus verschiedenen Studienrichtungen und absolvieren mit dem Projekt ein freiwilliges Praktikum. Mentoring („Nightingale“- Konzept) bewirkt bei den Kindern: Zuwachs an Deutsch-Sprachkompetenz (wissenschaftlich bestätigt 2016) Selbstwert, Orientierung in der Stadt, Bildungsmöglichkeiten (Kultur, Museen, etc.), Nutzung öffentlicher Verkehrsmittel, Schwimmen, Radfahren, Verhalten der Mehrheitsgesellschaft, usw.</t>
  </si>
  <si>
    <t>S, ST, W</t>
  </si>
  <si>
    <t>Meine Zukunft beginnt jetzt - Beratung und modulares Bildungsangebot für Mütter</t>
  </si>
  <si>
    <t>"Meine Zukunft beginnt jetzt" umfasst ein modulares Beratungs- und Bildungsangebot für Frauen mit Betreuungspflichten, die über Migrationshintergrund bzw. Fluchterfahrung verfügen. Das Angebot beinhaltet einen bedarfsorientierten, individuell kombinierbaren Maßnahmenmix (kontinuierliche Beratung und Workshops) und versteht sich auch als ergänzendes und aufbauendes Angebot nach bereits absolvierten Kursen und Veranstaltungen des ÖIF bzw. des AMS Wien. Die teilnehmenden Frauen werden auf ihrem Weg in ein selbständiges Leben begleitet und auf den Einstieg in den Arbeitsmarkt vorbereitet. Grundlegende Ziele sind dabei die Verfestigung der mündlichen Ausdrucksfähigkeit, die Erweiterung der Alltagskompetenzen, des Systemwissens, Vernetzung und Kommunikation, sowie die Aneignung von digitalem Grundwissen.</t>
  </si>
  <si>
    <t>Verein NL 40</t>
  </si>
  <si>
    <t>Psychosoziales Lernhilfeprojekt für bildungs- und sozial benachteiligte Kinder und Jugendliche</t>
  </si>
  <si>
    <t>Das „OMA/OPA-Projekt" ist ein psychosoziales Lernhilfeprojekt für bildungs- und sozial benachteiligte Kinder und Jugendliche. SchülerInnen der Volks- und Mittelschule werden kontinuierlich in einem Eins-zu-Eins-Verhältnis von freiwillig engagierten SeniorInnen und jüngeren Menschen betreut und dabei von einem multiprofessionellen Team begleitet. Die Basis der nachhaltigen Lernhilfe und Sprachförderung bildet die vertrauensvolle Beziehung zwischen den SchülerInnen, den LernhelferInnen und dem Projektteam. Dabei wird ein interkultureller und intergenerationeller Dialog eröffnet sowie Chancengerechtigkeit und gesellschaftliche Teilhabe junger und älterer Menschen durch gemeinsames Lernen gestärkt. Das Projekt schafft an seinen Standorten in Wien, Krems und Amstetten Orte der Begegnung und des respektvollen und toleranten Miteinanders.</t>
  </si>
  <si>
    <t>Lernförderung für Volks- und HauptschülerInnen mit nichtdeutscher Muttersprache</t>
  </si>
  <si>
    <t>Das Angebot richtet sich vor allem an Kinder/Jugendliche mit Migrationshintergrund, die Schwierigkeiten im Umgang mit der deutschen Sprache und dadurch bei der Bewältigung des Schulalltags haben. Die Lernförderung findet in Kleingruppen von 5 bis 12 Schüler*innen statt. Die Einheiten werden zur Sprachförderung bzw. für Hilfestellung bei Deutsch-Hausaufgaben verwendet. Zudem werden die Deutschkenntnisse mithilfe verschiedener Methoden (Gesprächskreise, Dialoge, Frage-Antwort-Spiele, Lernspiele) ausgebaut, die Schüler*innen zum (freien) Sprechen angeregt sowie das Lernen in Gemeinschaft gefördert und Sozialkompetenzen gestärkt. Es wird eine Verbesserung der Chancengleichheit im Bildungsbereich durch Hilfestellung in schulischen Belangen und beim Erwerb der deutschen Sprache sowie eine gelingende Integration der betroffenen Schüler*innen in den Unterrichtsverlauf erreicht.</t>
  </si>
  <si>
    <t>Regionale Kompetenzzentren für Integration und Diversität</t>
  </si>
  <si>
    <t>Das Projekt hat die bedarfsgerechte Prozessbegleitung von oberösterreichischen Gemeinden bei der Integrationsarbeit zum Ziel. Als Maßnahmen werden etwa Moderation, Fachexpertise, Koordination und Vernetzung angeboten. Außerdem werden Weiterbildungsformate für engagierte Zivilgesellschaft und andere Akteure angeboten und Projektförderungen vermittelt. Informationen über Integrationsangebote und -maßnahmen werden regelmäßig und bedarfsgerecht an die Zielgruppe vermittelt. ReKIs begleiten und unterstützen Gemeinden bei Integrationsthemen und den damit verbundenen Herausforderungen. Sie sind kompetente Partner*innen der Kommunen, der Bezirksverwaltungen, der Regelsysteme und der lokalen und landesweiten Akteure im Integrationsbereich und optimieren Mitteleinsatz und Abstimmung angebotener Maßnahmen und Projekte.</t>
  </si>
  <si>
    <t>inspire - Bildung und Beteiligung</t>
  </si>
  <si>
    <t>Anerkannt!2019 - Projekt zur leichteren Anerkennung von international erworbenen Qualifikationen</t>
  </si>
  <si>
    <t>Das Projekt Anerkannt!2019 arbeitet basierend auf bisherigen Projektergebnissen, die aus der Umsetzung des Projekts Anerkannt durch inspire seit 2012 resultieren, und aktuellen Trends entlang der Schlagworte Digitalisierung, Diversität, Dynamisierung und Demokratisierung. Diese bilden die Trends innerhalb der Arbeitswelt und der Standortpolitik in Österreich und darüber hinaus. Ziel ist mit den Methoden von praxisnahen Bildungsangeboten und Forschung, beteiligungsorientierten Veranstaltungsformaten und gender- und diversitätssensibler Öffentlichkeitsarbeit ein gutes Matching zwischen Personen mit international erworbenen Qualifikationen und dem Bedarf von Unternehmen sicherzustellen. Besondere Beachtung finden 2019 die Arbeits- und Unternehmenstrends Digitalisierung und Diversität sowie Female Migrant Entrepreneurship, mit Bezug zur Anerkennung international erworbener Kompetenzen.</t>
  </si>
  <si>
    <t>ST, K, OÖ</t>
  </si>
  <si>
    <t>akzente Salzburg - Initiativen für junge Leute</t>
  </si>
  <si>
    <t>HEROES - Gegen Unterdrückung im Namen der Ehre für Gleichberechtigung im Bundesland Salzburg</t>
  </si>
  <si>
    <t>HEROES - Gegen Unterdrückung im Namen der Ehre für Gleichberechtigung im Bundesland Salzburg, richtet sich an junge Männer mit Migrationshintergrund, die sich aktiv für das gleichberechtigte Zusammenleben von Männern und Frauen einsetzen und etwas in der Gesellschaft hin zum Positiven verändern wollen. Indirekt richtet sich das Projekt auch an Frauen, weil sie als potentielle Betroffene von Gewalt durch präventive Maßnahmen davor geschützt werden. Phase I (Grundausbildung der HEROES) ist 2019 abgeschlossen, danach startet  Phase II (Peer-to-Peer Workshops an Schulen). Die Workshops werden an Schulen und Jugendeinrichtungen gemeinsam mit einem Gruppenleiter oder der Projektleitung durchgeführt. Ziel ist ein partnerschaftliches, gewaltfreies Geschlechter- und Generationenverhältnis, welches auf den Grundsätzen der Menschenechtskonventionen basiert. Salzburg ist das erste Bundesland, welches dieses Konzept nach Österreich geholt hat. Seit 2007 wird es vom Hauptträger in Berlin (Strohhalm e.v. ) umgesetzt.</t>
  </si>
  <si>
    <t>migrants care - Gewinnung und Vorqualifizierung von MigrantInnen für die Pflege und Betreuung</t>
  </si>
  <si>
    <t>migrants care ist ein Kooperationsprojekt der größten Trägerorganisationen mobiler Pflege und Betreuung sowie des Projektpartners Österreichischer Integrationsfonds und wird seit 2012 in Wien und seit 2015 auch in der Steiermark umgesetzt. Projektträgerin ist die Bundesarbeitsgemeinschaft Freie Wohlfahrt (BAG), in der sich die großen Wohlfahrtsträger Caritas Österreich, Diakonie Österreich, Hilfswerk Österreich, Österreichisches Rotes Kreuz und Volkshilfe Österreich zusammengeschlossen haben.
Ziel von migrants care ist es MigrantInnen durch umfassende Beratung sowie fachsprachlichen und fachspezifischen Unterricht für Ausbildungen im Pflege- und Betreuungsbereich vorzubereiten, umso langfristig deren Integration in den österreichischen Arbeitsmarkt zu unterstützen.
Kooperationspartner sind das Arbeitsmarktservice sowie der Wiener ArbeitnehmerInnen Förderungsfonds.</t>
  </si>
  <si>
    <t>ST, W</t>
  </si>
  <si>
    <t>Perspektive: Deutsch</t>
  </si>
  <si>
    <t>Perspektive:Deutsch bietet Deutschqualifizierung in Kombination mit neuartigen Strategien zur Bewältigung sozialer und beruflicher Herausforderungen. Übergeordnetes Ziel des Projekts ist es, Deutschkenntnisse schnell und in einem ausreichenden Maß gut zu erlernen, um an einem Leben in Österreich selbstständig teilnehmen und auch aktiv beitragen zu können. Angeboten werden Deutsch-Intensivkurse mit zertifizierter Abschlussprüfung (ÖIF) und integrative Praxistage (vier während eines Kursdurchlaufes). Diese dienen zur sozialen und beruflichen Integration, öffnen den Blick und verbinden die Menschen in Austausch- und Dialogprozessen. Der Verein will damit den Lernenden ein Rüstzeug geben, mit dem sie längerfristig ein aktives Leben in Österreich führen können.
Das Projekt will die Sprachfähigkeiten von Personen mit Migrationshintergrund (z.B. ost- und südosteuropäische EU-Bürger, Türken, etc..). mit 14 Sprachkursen verbessern.</t>
  </si>
  <si>
    <t>Wort.SPIEL.Raum - DaZ-Kurse für Volksschüler/innen</t>
  </si>
  <si>
    <t>Im Rahmen des Projektes "Wort.SPIEL.Raum - DaZ-Kurse für Volksschüler/innen" bietet der Verein DEUTSCH&amp;MEHR gezielte Sprachförderung für Volksschulkinder der 1. - 4. Schulstufe mit einer anderen Erstsprache als Deutsch direkt an Grazer Volksschulen an. Das pädagogisch-linguistische Konzept basiert auf einem spiel- und erlebnispädagogischen Ansatz: Die teilnehmenden Schüler/innen erleben einen natürlichen Zugang zur Sprache und lernen effektiv durch das Spiel. Übergeordnetes Ziel ist eine intensive Förderung und Verbesserung aller sprachlichen Modalitäten (Hören, Lesen, Schreiben, Sprechen). Damit soll ein positiver Zugang zur Zweitsprache Deutsch einhergehen und die Freude am Lernen gefördert werden. Ergänzt wird das Angebot durch die spielerische Vermittlung kultureller Werte und Normen der Aufnahmegesellschaft.</t>
  </si>
  <si>
    <t>Niederösterreichisches Frauentelefon</t>
  </si>
  <si>
    <t>Das Niederösterreichische Frauentelefon bietet Frauen und Mädchen aller Altersgruppen mit oder ohne Migrationshintergrund, die aufgrund von prekären Lebensumständen oder Krisen psychosoziale, finanzielle oder rechtliche Hilfe brauchen, kostenlose und anonyme telefonische Beratung an – für Frauen mit Migrationshintergrund auch in Türkisch, Tschetschenisch, Russisch und Serbokroatisch. Die Anruferinnen werden ausschließlich von Frauen beraten.</t>
  </si>
  <si>
    <t>Lern- und Aufgabenclub für Kinder mit nicht deutscher Muttersprache</t>
  </si>
  <si>
    <t>Das Projekt „Lern- und Aufgabenclub für Kinder mit nicht deutscher Muttersprache“ der Hilfswerk Niederösterreich Betriebs GmbH orientiert sich an den Bedürfnissen und Anforderungen von Kindern mit Migrationshintergrund im Pflichtschulalter. Strategien zur Bewältigung von Schwierigkeiten im Schulalltag sollen erlernt und erweitert werden. Dazu gehört die Verbesserung der Sprachkenntnisse, Unterstützung bei Hausaufgaben und Prüfungsvorbereitung, sowie das Erlernen sozialer Kompetenzen und die Vermittlung von Lerntechniken und Lernstrategien. Durch die Vermittlung kultureller Werte soll die Integration erleichtert werden. Das Kind erfährt somit eine ganzheitliche Förderung seiner Persönlichkeit sowie den Aufbau einer tragfähigen Beziehung und die kontinuierliche Begleitung durch eine erwachsene Bezugsperson.</t>
  </si>
  <si>
    <t>alpha nova Betriebsgesellschaft mbH</t>
  </si>
  <si>
    <t>HIPPY ist ein international erfolgreiches, wissensbasiertes Programm zur frühen Bildungsförderung in Familien mit Migrationserfahrung. Es zielt darauf ab, die Entwicklungsmöglichkeiten von Kindern frühzeitig und nachhaltig zu verbessern. Zielgruppe sind sozial- und bildungsbenachteiligte Familien mit Kindern im Alter von 3 bis 7 Jahren.  In aufsuchender Familienarbeit durch muttersprachliche Hausbesucherinnen werden innerfamiliäre Bildungsaktivitäten auf spielerische Weise angeregt und vertieft und die Kinder auf den Schulbesuch vorbereitet. Durch begleitende Gruppentreffen und Exkursionen im sozialen Umfeld werden Kultur, Werte und Lebensweisen der Aufnahmegesellschaft vermittelt. Die Bildungssensibilisierung der gesamten Familie und die Verbesserung der sozialen Integration stellen einen wichtigen Beitrag zur Chancengerechtigkeit für Familien mit Migrationserfahrung dar.</t>
  </si>
  <si>
    <t>Biber Verlagsgesellschaft mbH</t>
  </si>
  <si>
    <t>biber Akademie 2019</t>
  </si>
  <si>
    <t>Die "biber" - Akademie bringt journalistische Talente mit Migrationsbackground in die Medien- und Kommunikationsbranche. Die "biber" - Akademie sorgt für eine praxisbezogene journalistische Grundausbildung, nimmt herkunftsbedingte Berührungsängste, sensibilisiert die TeilnehmerInnen für ihr interkulturelles Know-how und vermittelt Kontakte zu Medien und Kommunikationsabteilungen. Eine mediale Ausschreibung und ein dreistufiger Aufnahmeprozess garantieren eine bestmögliche Auswahl der TeilnehmerInnen. Im Aufnahmeprozess reagiert die Akademie-Leitung flexibel auf Migrations- und Flüchtlingsströme. Neben jungen ÖsterreicherInnen aus klassischen Zuwandererfamilien (etwa aus Ex-Yugoslawien und der Türkei), nimmt die "biber"-Akademie neben KandidatInnen mit einem osteuropäischen Hintergrund auch gezielt Asylberechtigte aus Afghanistan und Syrien auf.</t>
  </si>
  <si>
    <t>Israelitische Kultusgemeinde Wien</t>
  </si>
  <si>
    <t>LIKRAT - Lass uns reden! Dialogprojekt der IKG Wien</t>
  </si>
  <si>
    <t>Verein Frauenservice Graz</t>
  </si>
  <si>
    <t>UMIBERA_Frauenspezifische Beratung und Betreuung mit dem Schwerpunkt einer umfassenden multiprofessionellen Beratung und Betreuung für Frauen mit Migrationshintergund in besonders belastenden Lebenssituationen</t>
  </si>
  <si>
    <t>Unsicherer Aufenthaltsstatus, mangelnde Partizipation, Sprachbarrieren, Unwissenheit über die Gesetzeslage, Überforderung mit bürokratischen Hürden und Ämtern, familiäre Probleme und psychische Folgen von Migration, Gewalt und Traumatisierung erfordern eine hohe Kompetenz in der Beratung von Migrantinnen. UMIBERA bietet ein interdisziplinäres und frauenspezifisches Unterstützungsangebot durch Rechtsberatung, Interkultureller Beratung, Arbeits- und Bildungsberatung und Psychologischer Beratung. Ziel ist die Stärkung der psychischen Gesundheit, Ermächtigung und Selbstbestimmung, die (wirtschaftliche) Selbsterhaltungsfähigkeit und eine bewusste Auseinandersetzung mit Herkunft, Traditionen und innerfamiliären Wertesystemen von Frauen. UMIBERA ist Clearingstelle, gibt Information und Orientierungshilfe und bietet Begleitung dort, wo es notwendig ist und dem Empowerment der Frauen dient.</t>
  </si>
  <si>
    <t>MIGeinander – Von Armut und Wohnungslosigkeit zu selbstbestimmter Teilhabe</t>
  </si>
  <si>
    <t>Das im Rahmen eines Mutter-Kind-Hauses stattfindende Projekt „MIGeinander“ arbeitet auf die Integration von alleinerziehenden von Wohnungslosigkeit betroffenen Müttern und ihren Kindern aus EU- und Drittstaaten hin. Um diese vulnerable Zielgruppe nachhaltig zu unterstützen, wird bei ihren spezifischen Bedarfen angesetzt. Das Projekt besteht aus einer Reihe von Maßnahmenpaketen, welche die psychosoziale Gesundheit – die individuelle Vorbedingungen für Integration - stärken: 1. Erhöhung der Selbstwirksamkeitserwartung, 2. Ausbau des sozialen Netzwerkes und 3. Psychische Stabilisierung der Mütter und Kinder. Außerdem gibt es ein Maßnahmenpaket zur Gesundheitskompetenz in Österreich. In Informationsveranstaltungen wird der Aufbau des österreichischen Gesundheitssystems erklärt und Abläufe und Zugangsmöglichkeiten beleuchtet. In allen Projektelementen sind Maßnahmen zur Orientierung in österreichischen Strukturen eingearbeitet, sowie zur Erarbeitung und Reflexion eigener, österreichischer und integrierter kultureller Konzepte und Werte.</t>
  </si>
  <si>
    <t>Frauen ohne Grenzen / Women without Borders - SAVE</t>
  </si>
  <si>
    <t>MotherSchools Parenting for Peace! Implentierung und Roll-out in Wien, Graz und Innsbruck</t>
  </si>
  <si>
    <t>Frauen ohne Grenzen (FoG) wird das international anerkannte Good Practice Modell MotherSchools: Parenting for Peace! an zwei Standorten - Wien und Innsbruck - weiterhin verankern sowie an einem neuen Standort, in Graz, etablieren. Die MotherSchools sind ein einzigartes Konzept, um gegen Radikalisierung, extremistische Tendenzen, Segregation und parallelgesellschaftliche Entwicklungen aktiv einzuschreiten und nachhaltig zu reagieren: die Arbeit mit Müttern im Bereich der Prävention ist nachweislich ein gesamtgesellschaftlicher Zugang, um vor allem auch für Mütter mit Zuwanderungsgeschichte eine Basis zu schaffen, die die Eingliederung in die Gesellschaft fördert. In 10 wöchentlich aufeinanderfolgenden Kursen (Maßnahmen) werden Mütter, die Sorge haben, dass ihre Kinder gefährdet sind, ausgebildet, um Resilienz gegenüber extremistischen Ideologien in ihren Familien und Gemeinschaften zu fördern. Vor und nach den Kursen werden Befragungen mit den teilnehmenden Müttern durchgeführt, welche am Ende ausgewertet werden.</t>
  </si>
  <si>
    <t>ST, T, W</t>
  </si>
  <si>
    <t>Projektgruppe Frauen</t>
  </si>
  <si>
    <t>KommunikationsKultur "Frauen.Sprach.Raum" - Ein Bildungsjahr für Frauen</t>
  </si>
  <si>
    <t>KommunkationsKultur  "Frauen. Sprach. Raum." Ein Bildungsjahr für Frauen. 
"If you educate women, you educate an nation".
Ziel 1 ist die Sprachqualifizierung von (bildungsfernen) Frauen. In unserer täglichen Arbeit sehen wir die Nachfrage nach niederschwelligen Deutschkursen und Maßnahmen, die die Teilnehmerinnen motiviert, zu lernen. Neben der Sprachqualifizierung steht als 2. Ziel die Wertevermittlung bezogen auf Alltag und Arbeitswelt im Mittelpunkt. Deutschkurse, Beratung und Begleitung und das interkulturelle Netzwerk XENIA soll die Frauen dazu befähigen, ihre Zukunft selbstständig zu gestalten.  Ziel 3 ist die Vorbereitung auf erfolgreiche Teilnahme am Arbeitsmarkt, die Nostrifizierung und Weiterbildung ihrer in der Heimat erworbenen Ausbildung und die Bewusstmachung von einer guten Bildung für die Zukunft ihrer Kinder.</t>
  </si>
  <si>
    <t>STAR*K - Pilotprojekt zur Sensibilisierung gegen Gewalt an Frauen</t>
  </si>
  <si>
    <t>Das Peer-Pilotprojekt STAR*K hat zum Ziel, junge Frauen und Männer vorwiegend mit Migrationshintergrund in Bezug auf familiär, kulturell oder gesellschaftlich geprägte Haltungen und Machtstrukturen, die zu Gewalt gegen Mädchen/Frauen führen, zu sensibilisieren und ermächtigt sie, entschieden dagegen aufzutreten. Im Rahmen von Ausbildungsworkshops lernen die ausgewählten Jugendlichen und jungen Erwachsenen (STAR*K-Peers) traditionsbedingte Gewaltformen zu erkennen, abzulehnen und Handlungsmöglichkeiten dagegen zu entwickeln. Im Sinne der Gewaltprävention sollen die Peers am Ende der Ausbildung Gleichaltrige aufklären und zu verschiedenen Formen von Gewalt sensibilisieren. Das Projekt STAR*K ist im ersten Jahr als Pilotprojekt konzipiert, das nach erfolgreicher Umsetzung über mehrere Jahre hinweg fortgesetzt werden soll.</t>
  </si>
  <si>
    <t>B, NÖ, W</t>
  </si>
  <si>
    <t>Wohnen im Dialog – Interkulturelle Konfliktbegleitung und Gemeinwesenarbeit in Oberösterreich</t>
  </si>
  <si>
    <t>Wohnen im Dialog - Interkulturelle Konfliktbegleitung und Gemeinwesenarbeit in Oberösterreich ist ein Angebot mit aufsuchender Sozialarbeit im direkten Wohn- und Lebensumfeld der Menschen. Auf Basis von interkulturellem Konfliktmanagement und Gemeinwesenarbeit fungiert Wohnen im Dialog als operative Schnittstelle zwischen Kommunen, Bauvereinigungen, und Bewohner*innen. Das multiprofessionelle Team arbeitet nachhaltig für eine Verbesserung des Zusammenlebens in den Wohngebieten. Maßnahmen werden bedarfs- und wirkungsorientiert umgesetzt. Ob professionelle Konfliktbegleitung, Begegnungsaktionen, Feste, Einzugsbegleitung für Neuzugezogene, Multiplikator*innenarbeit, Freiwilligen- und Ehrenamtsbegleitung, wird vor Ort entschieden. Ziel ist dabei immer, gemeinsam mit den Bewohner*innen Schritte zur Verbesserung des Zusammenlebens umzusetzen, um so langfristig die Lebensqualität zu steigern.</t>
  </si>
  <si>
    <t>GIB - Gesundheit, Integration, Bildung in Wiener Neustadt &amp; in der Pilotregion Baden</t>
  </si>
  <si>
    <t>Das Projekt richtet sich an die Zielgruppe zugewanderter Frauen und Mädchen ab 14 Jahren mit kulturellen, psychosozialen und gesundheitlichen Barrieren bei der Integration in den Arbeitsmarkt und in die Gesellschaft. 
Oberstes Ziel ist die Stärkung der Selbsterhaltungsfähigkeit von vor allem asylberechtigten und subsidiär schutzberechtigten Frauen, um eine rasche Teilnahme am Arbeitsmarkt und Wirtschaftsleben zu ermöglichen. 
Um dies zu erreichen, zielen die Projektangebote auf die Stärkung:
- des Gesundheitsbewusstseins, 
- der Gesundheitskompetenz,
- der Aneignung von Basiswissen für weiterführende Gesundheitsberufe,
- sowie der Gesundheitsförderung im Sinne der Entwicklung eines gesunden Lebensstils und einer gesunden Psyche.
Aufgrund des großen Bedarfs an so einem Angebot, soll das Projekt heuer erstmalig nicht nur in Wiener Neustadt, sondern als Pilot auch in Baden stattfinden.</t>
  </si>
  <si>
    <t>Milli 2019 - Migrantinnen leben und lernen integriert</t>
  </si>
  <si>
    <t>Milli 2019 unterstützt 40 nicht berufstätige Frauen und Frauen mit kleinen Kindern mit geringen Deutschkenntnissen beim Spracherwerb und bei den ersten Schritten in den Arbeitsmarkt durch ein sehr niederschwelliges Angebot an Deutschkursen und Workshops in 4 oberösterreichischen Regionen.
Der Fokus von Milli 2019 liegt auf Förderung wirtschaftlicher und gesellschaftlicher Teilhabe der teilnehmenden Frauen durch Erweiterung der Sprachkenntnisse durch ein modulares Sprachlernangebot. Gekoppelt wird der Deutschspracherwerb mit einer intensiven Auseinandersetzung mit der österreichischen Aufnahmegesellschaft und Beratung insbesondere zum Thema Bildung und Beruf. Da gelungene gesellschaftliche und wirtschaftliche Integration mit einer Auseinandersetzung mit dem österreichischen Arbeitsmarkt in engem Zusammenhang steht, wird diese Auseinandersetzung beim Spracherwerb als ein wesentlicher inhaltlicher Fokus gewählt.</t>
  </si>
  <si>
    <t>Plattform für Kulturen, Integration und Gesellschaft – Verein der Absolvent/innen des Instituts für Kultur- und Sozialanthropologie der Universität Wien</t>
  </si>
  <si>
    <t>Interkulturelles Mentoring für Schulen</t>
  </si>
  <si>
    <t>Studierende mit Migrationshintergrund oder Fluchtbiographie besuchen als Mentor/innen einmal pro Woche eine Schulklasse. In Absprache mit der Lehrperson werden die Mentor/innen begleitend eingesetzt: Sie setzen sich intensiv mit den Kindern auseinander, unterstützen beim Lernen sowie bei sprachlichen Schwierigkeiten und verhelfen ihnen damit zu besseren schulischen Leistungen. Darüber hinaus sind sie Bezugs- sowie Ansprechpersonen und Rollenvorbilder, weil sie vermitteln, dass eine positive Bildungslaufbahn wertvoll ist. Aufgrund ihrer eigenen Erfahrungen können sie gerade Schüler/innen mit Migrations- und Fluchthintergrund besonders gut unterstützen und deren Selbstbewusstsein stärken. Auch in der Elternarbeit können die Mentor/innen eingesetzt werden. 2019 werden circa 35 Mentor/innen an 25 Schulen in Wien und Sankt Pölten tätig sein.</t>
  </si>
  <si>
    <t>hop on job 2019</t>
  </si>
  <si>
    <t>Das Projekt hop on job adressiert junge Erwachsene und gliedert sich in 2 Teilbereiche - die Stabilisierung und Unterstützung bei der Suche nach einer Lehrstelle und die Nachbetreuung der TeilnehmerInnen aus dem Jahr 2018.
Die Teilnehmenden werden beim Aufbau von Kompetenzen im schulischen und beruflichen Bereich unterstützt. Um sich unterschiedliche Fachbereiche ansehen bzw. in der ausgewählten Branche schnuppern zu können, wird ein kurzes Praktikum in einem Betrieb angestrebt. Dabei liegt der zentrale Fokus auf der Entwicklung einer Umsetzungsperspektive für die berufliche Zukunft sowie der Suche nach einem Lehrstellen- bzw. Ausbildungsplatz. Einzelcoachings dienen der Stabilisierung und der vorhin genannten Zielerreichung. Die Nachbetreuungsphase unterstützt bei anfänglichen Schwierigkeiten im Betrieb und organisiert Nachhilfe-Stunden zur Gewährleistung des schulischen Erfolgs.</t>
  </si>
  <si>
    <t>Österreichisches Jugendrotkreuz Landesleitung Tirol</t>
  </si>
  <si>
    <t>Lernhilfe für Kinder mit anderer Erstsprache als Deutsch in TirolLernhilfe Tirol</t>
  </si>
  <si>
    <t>Das Projekt ist mit 1. Jänner 2004 gestartet worden und läuft seitdem äußerst erfolgreich an ca. 40 Schulen in Tirol. Ziel des Projektes ist es, Kindern Lernhilfe anzubieten. Das Projekt bietet nachhaltige Unterstützung und fördert die Chancengleichheit vor allem für Kinder mit anderer Erstsprache als Deutsch. Lerninhalte werden in multikulturellen Kleingruppen vertieft und gefördert, miteinander und voneinander Lernen sind Bestandteile der Lernhilfe. Das Projekt wird durch ein eigenes Sprachförderkonzept begleitet und von fachlich qualifizierten PädagogInnen durchgeführt.</t>
  </si>
  <si>
    <t>HEROES® gegen Unterdrückung im Namen der Ehre. Für Gleichberechtigung in der Stmk</t>
  </si>
  <si>
    <t>HEROES® arbeitet präventiv mit jungen Männern aus ehrkulturellen Milieus, die sich für ein gleichberechtigtes Zusammenleben der Geschlechter in der Steiermark einsetzen. Ziel ist ein partnerschaftliches, gleichstellungsorientiertes und gewaltfreies Geschlechter- und Generationenverhältnis auf Basis der Menschenrechte. Mittels theaterpädagogischen Methoden setzen sich Burschen mit patriarchalen Geschlechterverhältnissen und Ehrenvorstellungen auseinander. Dieser Reflexions- und Selbsterfahrungsprozess wird von 2 Gruppenleitern, den großen Brüdern, sozialpädagogisch begleitet. Nach der intensiven Trainingsphase gestalten die jungen Männer als HEROES selbst Peer-Workshops für Jugendliche zu den Themen "Ehre", Menschenrechte, Gewaltfreiheit, Identität und Geschlechterrollen. Das beantragte Projekt dient der Sicherung der bestehenden 2 Heroes-Gruppen sowie dem Aufbau einer 3. Gruppe von Multiplikatoren.</t>
  </si>
  <si>
    <t>ST,W, OÖ</t>
  </si>
  <si>
    <t>ProLehRe 2019- Buddys für Lehrlinge in den Regionen</t>
  </si>
  <si>
    <t>ProLehRe fördert die Selbsterhaltungsfähigkeit von Asylberechtigten und subsidiär Schutzberechtigten (kurz Schutzberechtigte) durch Unterstützungsmaßnahmen für eine nachhaltige Integration in den Arbeitsmarkt. ProLehRe unterstützt die soziale Integration von Schutzberechtigten während einer Lehrausbildung durch Buddys. Einerseits können überregional vermittelte Schutzberechtigte aus Wien in anderen Bundesländern besser Fuß fassen und andererseits werden Schutzberechtigte in den Bundesländern motiviert, eine Lehrausbildung zu beginnen bzw. abzuschließen. Ergänzend werden junge Schutzberechtigte verstärkt über die Lehre informiert. Buddys begleiten, helfen und vernetzen vor Ort und erleichtern so die soziale Integration in der Gemeinde. ProLehRe umfasst die Bereiche Freizeit, Sport, Bildung, Kultur und Gesundheit. Erstmals werden durch ProLehRe insbesondere verstärkt Frauen angesprochen.</t>
  </si>
  <si>
    <t>S, T, V, W</t>
  </si>
  <si>
    <t>Volkshilfe Wien gemeinnützige Betriebs - GmbH</t>
  </si>
  <si>
    <t>MigrantInnen für Gesundheit (ehem. MiMi)</t>
  </si>
  <si>
    <t>Sozioökonomisch deprivierte Menschen sind oft bezüglich ihres Gesundheitsbedarfs und der Möglichkeiten gesundheitlicher Versorgung nicht ausreichend informiert. MigrantInnen sind besonders häufig davon betroffen. Diesem Umstand will das Projekt MigrantInnen für Gesundheit (MfG) entgegenwirken, indem geschulte GesundheitslotsInnen andere MigrantInnen durch das österreichische Gesundheitssystem lotsen und ihnen zu ausgesuchten Themen Informationen vermitteln. MfG baut auf den Erfahrungen der Volkshilfe Wien mit den Projekten „MiMi – interkulturelle GesundheitslotsInnen“ und „MigrantInnen für Gesundheit (2018)“ auf. 2019 wird das Augenmerk unter anderem auf die Weiterentwicklung des Projekts gelegt, eine Schulung zu Frauengesundheit entwickelt, das neue Curriculum fertiggestellt und der erste MfG-Lehrgang – nur für Frauen – durchgeführt.</t>
  </si>
  <si>
    <t>Kinderbüro Universität Wien gGmbH</t>
  </si>
  <si>
    <t>UniClub 2019 - Bildung und Integration für Jugendliche mit Migrationserfahrung und jugendliche Asylberechtigte</t>
  </si>
  <si>
    <t>Der UniClub setzt Angebote für jugendliche Asylberechtigte und Jugendliche mit Migrationserfahrung zwischen 13 und 19 Jahren. Ziel ist es Jugendliche auf ihrem persönlichen Bildungsweg, insbesondere auf dem Weg zur Matura zu begleiten. Die Angebote umfassen Lernbegleitung in allen Schulfächern, Förderung der Deutschkenntnisse und Bildungsberatung.
Lernraum: Wochentags steht jeden Nachmittag der Lernraum mit ruhigen Arbeitsplätzen, Lernmaterial, Computern und Druckern zur Verfügung.
LernClub: Zwei Mal wöchentlich besuchen Jugendliche den offenen Lernbetrieb und werden von Studierenden beim Lernen und Hausaufgaben machen unterstützt.
StudyBuddies: Lehramtsstudierende aller Fächer werden als Buddies vermittelt und bieten individuelle Lernhilfe.
Ausflüge und Workshops ermöglichen Einblicke in die österreichische Kultur und Geschichte, Berufsorientierung, Wissenschaft und Forschung.</t>
  </si>
  <si>
    <t>Sprich mit 2019 - Salzburg</t>
  </si>
  <si>
    <t>"Sprich mit 2019" ist eine Fortsetzung der erfolgreichen Integrationsreihe „Sprich mit“, die den Fokus auf den Ausbau der Deutschkenntnisse in Kombination mit den drei Schwerpunkten legt: Sprache &amp; Bildung, Arbeit &amp; Beruf, Rechtsstaat &amp; Werte. Deutschkompetenzen (B1/B2) werden durch intensive Beschäftigung mit diesen integrationsrelevanten Bereichen erworben. Das Projekt fokussiert sich auf Personen mit Migrationshintergrund, vorwiegend auf Frauen, Kinder und Jugendliche. Parallel zum Sprachenlernen erhalten TeilnehmerInnen damit Informationen, um sich in Österreich zurecht zu finden und setzen sich intensiv mit integrationsrelevanten Themen auseinander. Als Querschnittsthema in allen Modulen mitgedacht steht "Deutsch im Arbeitsleben" (z.B. Fachvokabular) immer im Fokus. Primäres Projektziel – neben der Erhöhung der Deutschkompetenzen – ist damit die schnellstmögliche Erschließung der Ressourcen von TeilnehmerInnen für den österreichischen Arbeitsmarkt und damit für die österreichische Gesellschaft.</t>
  </si>
  <si>
    <t>Sprich mit 2019 - Wien</t>
  </si>
  <si>
    <t>"Sprich mit 2019" ist eine Fortsetzung der erfolgreichen Integrationsreihe „Sprich mit“, die den Fokus auf den Ausbau der Deutschkenntnisse in Kombination mit den drei Schwerpunkten legt: Sprache und Bildung, Arbeit und Beruf, Rechtsstaat und Werte. Deutschkompetenzen (B1/B2) werden durch intensive Beschäftigung mit diesen integrationsrelevanten Bereichen erworben. Parallel zum Sprachenlernen erhalten TeilnehmerInnen damit Informationen, um sich in Österreich zurecht zu finden und setzen sich intensiv mit integrationsrelevanten Themen auseinander. Als Querschnittsthema in allen Modulen mitgedacht steht "Deutsch im Arbeitsleben" (z.B. Fachvokabular) immer im Fokus. Primäres Projektziel – neben der Erhöhung der Deutschkompetenzen – ist damit die schnellstmögliche Erschließung der Ressourcen von TeilnehmerInnen für den österreichischen Arbeitsmarkt und damit für die österreichische Gesellschaft.</t>
  </si>
  <si>
    <t>Orient Express - Beratungs-, Bildungs- und Kulturinitiative für Frauen</t>
  </si>
  <si>
    <t>BUNDESWEITE KOORDINATIONSSTELLE GEGEN VERSCHLEPPUNG UND ZWANGSHEIRAT</t>
  </si>
  <si>
    <t>Zwangsheirat bildet seit Langem einen inhaltlichen Schwerpunkt vom Verein Orient Express. Mit der umfangreichen Expertise in der Beratung, Begleitung und Betreuung von betroffenen Mädchen und jungen Frauen machte Orient Express als erste Organisation Österreichs diese Form der geschlechtsspezifischen Gewalt zum Thema. Der Verein ist mittlerweile die erste Anlaufstelle für Betroffene und konnte seit Initiierung der bundesweiten Koordinationsstelle gegen Verschleppung und Zwangsheirat im Jahre 2017 gute Erfolge erzielen. Der Handlungsbedarf in diesem Bereich ist jedoch nach wie vor groß und erfordert einen Ansatz auf verschiedenen Ebenen. Somit zielt dieses Projekt auch auf Multiplikator_innen als weitere Zielgruppe ab: Beamt_innen des öffentlichen Dienstes, Mitarbeiter_innen in Jugendeinrichtungen, Sozialarbeiter_innen etc., mit denen Trainings geplant und umgesetzt werden.</t>
  </si>
  <si>
    <t>W, B, OÖ, V, T</t>
  </si>
  <si>
    <t>LernBars Steiermark</t>
  </si>
  <si>
    <t>LernBars Steiermark sind ein kostenloses, freiwilliges außerschulisches Lernangebot in Jugendzentren für 12-21-Jährige. Angeboten wird: fächerspezifische Lernunterstützung, Unterstützung beim Erwerb der Bildungssprache Deutsch, Hilfestellung zum Erlangen der erforderlichen Sprach-und Lernkompetenz, Steigerung des Leistungsverhaltens und der Motivation, Erleichterung der Sozialisations- und Integrationsprozesse. LernBars stellen einen wichtigen Beitrag zum Durchbrechen der sozialen Vererbung dar. LernBars stellen eine konkrete Maßnahme im Bildungssystem dar und tragen zur verstärkten Partizipation von MigrantInnen an Bildung bei, gelten als Prävention gegen Drop outs und als Chance für NEETS und Quereinsteiger. Im Sommer besteht das Angebot des Intensiv-Lernens für Nachprüfungen und Bildungssprache an den Standorten.</t>
  </si>
  <si>
    <t>Kräfte stärken - Trauma bewältigen</t>
  </si>
  <si>
    <t>Das Projekt zielt darauf ab, die psychische Gesundheit von Menschen, die in Österreich Asyl oder subsidären Schutz erhalten oder Migrationshintergrund haben, zu fördern und posttraumatische Belastungen zu reduzieren. Es richtet sich vorwiegend an Frauen sowie Kinder und Jugendliche. Mit verbesserter psychosozialer Gesundheit und Gesundheitkompetenz wird eine wesentliche Voraussetzung für Bildung, Integration und ein gutes Leben in Österreich geschaffen.
Das Projektkonzept ist niederschwellig, kultursensibel und setzt auf (international) bewährte Strategien (wie zB. Informationsveranstaltungen und Workshops) zur Stärkung emotionaler Kompetenzen, Ressourcen und der Selbstwirksamkeit von Betroffenen. In Österreich ist dieser Zugang neu. Geschulte muttersprachliche TrainerInnen bringen die notwendige Sprach- und Kulturkompetenz und werden mit fachlicher Expertise begleitet.  Durch die Arbeit in Gruppen erreicht das Projekt eine hohe Zahl Betroffener und erzielt durch Einbindung des sozialen Umfeldes nachhaltige Wirkung.</t>
  </si>
  <si>
    <t>„Frauenspezifische Beratung für Migrantinnen mit       spezialisiertem Angebot für Betroffene von
„Gewalt im Namen der Ehre“ IX</t>
  </si>
  <si>
    <t>Das Projekt „Frau Gewalt Ehre“ der Caritas-Beratungsstelle DIVAN ermöglicht eine frauenspezifische Beratung und Begleitung für Mädchen und Frauen mit Flucht- oder Migrationshintergrund, die aufgrund ihrer aktuellen Lebenssituation besonderen Belastungen ausgesetzt sind und Schutz vor „Gewalt im Namen der Ehre“ oder „häuslicher Gewalt“ brauchen. Neben der direkten Kriseninterventions- und psychosozialen und juristischen Beratungsarbeit bietet die Caritas-Beratungsstelle DIVAN auch Veranstaltungen, ExpertInnencoachings, Workshops mit Mädchen, jungen Frauen und Müttern, sowie Workshops mit MultiplikatorInnen aus den Bereichen Justiz, Sicherheit, Soziales, Bildung, Gesundheit und Kinder-/Jugendarbeit. Die Workshops mit MultiplikatorInnen beinhalten Informationen und eine gemeinsame Entwicklung von Leitfäden und Handlungsstrategien zum Themenkomplex „Gewalt im Namen der Ehre“.</t>
  </si>
  <si>
    <t>Österreichweites Projekt Caritas-Lerncafés VIII - Kostenlose Lernbegleitung für Kinder und Jugendliche</t>
  </si>
  <si>
    <t>Die Caritas Lerncafés sind ein kostenloses Lern- und Nachmittagsbetreuungsangebot für PflichtschülerInnen mit und ohne Migrationshintergrund. Hauptaufgaben sind die gezielte Bearbeitung schulischer Defizite, Stärkung der Lesekompetenz und der Deutschkenntnisse (die Deutschförderung wird als Querschnittsmaterie über alle Aktivitäten hinweg ausgeübt), Förderung der Lese- und Sprachkompetenz sowie Begleitung zu einem positiven Pflichtschulabschluss und Befähigung, eine weiterführende Schule oder Lehre zu absolvieren. Pädagogisch wertvolles Spiel fördert die sozialen Kompetenzen und wichtige Werte des Zusammenlebens werden vermittelt. Gezielte Freizeitaktivitäten eröffnen Möglichkeiten zur Teilhabe und das Miteinander wird über die verschiedenen Kulturen hinweg aktiv gelebt. Die Eltern werden zu wichtigen Themen informiert und in ihrer Rolle als ExpertInnen für ihre Kinder gestärkt.</t>
  </si>
  <si>
    <t>WIENER LERNTAFEL</t>
  </si>
  <si>
    <t>Ich schaff's 2019 - Intensivförderung für Kinder der 3. und 4. Schulstufe</t>
  </si>
  <si>
    <t>Im Projekt erhalten Kinder der 3. und 4. Schulstufe aus sozial benachteiligten Familien eine Intensivförderung. Diese unterstützt die Kinder bei der Bewältigung ihrer Schulprobleme, damit der erfolgreiche Grundschulabschluss und die Aufnahme in eine weiterführende Schule ermöglicht werden. 95% der Kinder haben eine andere Erstsprache als Deutsch. 
In 4 Workshops und wöchentlichen Coachingstunden stehen die Vermittlung geeigneter Lernstrategien, Stressmanagementtechniken sowie die Festigung des Basiswissens des Grundschulstoffs in Mathematik und Deutsch im Fokus. Das Projekt wird von qualifiziertem Fachpersonal (Klinische- und Gesundheitspsychologin, Coach, MitarbeiterInnen des Vereins und freiwilligen LernhelferInnen) durchgeführt.</t>
  </si>
  <si>
    <t>die chance Agentur gemeinnützige GmbH</t>
  </si>
  <si>
    <t>die chanceBMVB, chanceBUDDY/FAIRbesserer, chanceKolleg</t>
  </si>
  <si>
    <t>Die gGmbH arbeitet im Bereich der Bildungs- und Arbeitsmarktintegration mobil, präventiv, intervenierend mit der Zielgruppe Kinder/Jugendl./junge Erwachsene/Mädchen/Frauen/Schulabbruchsgefährdete/Neets/Dropouts/QuereinsteigerInnen/UMF/anerkannte Flüchtlinge, von 10 bis 24 Jahren, mit deren Eltern, an Schulen, mit Unternehmen, in migrantischen Communities gegen Schul-, Lehr- und Ausbildungsabbruch. Das Projekt setzt Maßnahmen zur Berufs- und Bildungsorientierung sowie Sprachfördermaßnahmen zur Erhöhung der Bildungschancen, Verlängerung der Bildungskarriere, für einen gelungenen Bildungsabschluss, für den Einstieg in die Erwerbstätigkeit und die Teilhabe an der Gesellschaft.
Zu den sich ergänzenden Modulen gehören chance BMVB - Berufs-, und Bildungsorientierung MobilVertiefendBegleitend, chanceBuddy/FAIRbesserer - Peer to Peer Hilfe von Jugendlichen für Jugendliche/Lehrlinge und chanceKolleg/Sprach- Kompetenztraining für Personen mit erschwerten Rahmenbedingungen.</t>
  </si>
  <si>
    <t>Verein JUKUS - Verein zur Förderung von Jugend, Kultur und Sport</t>
  </si>
  <si>
    <t>Der 2. Weg - Ganzheitliche Steuerung und Qualifizierung von Jugendlichen mit Migrationshintergrund</t>
  </si>
  <si>
    <t>"Der 2. Weg" ist ein niederschwelliges Beratungsprojekt, das die Aufgabe verfolgt, junge Menschen bei der Suche nach einer Arbeitsstelle bzw. (Aus-)Bildungsmöglichkeit zu unterstützen. Oberstes Projektziel ist die (Re-)Inklusion der jugendlichen Zielgruppe in den Arbeitsmarkt. Weiters zählt zur Zielvorstellung die Begleitung der Jugendlichen und jungen Erwachsenen beim Einstieg bzw. Wiedereinstieg in das (berufliche) Ausbildungssystem. Die Erweiterung des ausbildungs- und berufsspezifischen Netzwerks, sowie die Herstellung von Zugangsmöglichkeiten zu anderen Fachstellen ist ein weiterer Teilaspekt des Projekts. Die Methodenvielfalt umfasst: Netzwerkarbeit, Streetwork, Community- und Gemeinwesenarbeit, Einzel- bzw. Onlineberatung und Workshops.</t>
  </si>
  <si>
    <t>Plattform Christdemokratie</t>
  </si>
  <si>
    <t>Empowerment für junge Christen mit Migrationshintergrund: Mitreden und Mitgestalten in Österreich</t>
  </si>
  <si>
    <t>Befähigung der TeilnehmerInnen (junge Erwachsene christlicher Konfession), sich im öffentlichen Leben erfolgreich zu engagieren. Durch öffentliches Engagement werden Zusammengehörigkeitsgefühl und emotionale Verbundenheit mit Österreich gestärkt. Die Identifizierung und Anerkennung der verfassungsmäßig verankerten Werte wird vertieft. Das Wissen wird auch in die jeweiligen Communities verbreitet. Der Lehrgang vermittelt die österreichische Rechts- Politik- und Wertekultur (Systemwissen) praxisnah. Im Rahmen einer Abschlusspräsentation wird das Wissen den Communities zugänglich gemacht und Diplome vergeben. Teilnehmer profitieren: Wissen und Netzwerk werden erweitert und der Einstieg ins öffentliche Engagement erleichtert. Aufnahmegesellschaft profitiert: Menschen mit Migrationshintergrund beteiligen sich aktiv an der Gesellschaft und leisten ihren Beitrag.</t>
  </si>
  <si>
    <t>Intercultural Competence Initiative Vienna - Verein zur Förderung von Interkulturellem Dialog</t>
  </si>
  <si>
    <t>not in god`s name – speak out against radicalism and antisemitism</t>
  </si>
  <si>
    <t>NIGN (not in god´s name) ist eine präventive Maßnahme, um Jugendliche zu erreichen, die sich sonst radikalisieren könnten bzw. Jugendliche, die bereits Interesse an radikalem Gedankengut zeigen, auf die rechte Bahn zurückzubringen. NIGN arbeitet mit Vorbildern, sogenannten „Role-Models“ mit Migrationsgeschichte. Die Role Models sind für die Jugendlichen ein gutes Beispiel, da sie ihnen zeigen, dass man in Österreich auch mit Migrationsgeschichte alles erreichen kann. Themen die besprochen werden, sind, unter anderem: Ablehnung von IS/Radikalem Gedankengut, Gewalt im Namen Gottes, Ablehnung von Antisemitismus, Wichtigkeit von friedlichem Dialog zwischen Kulturen und Religionen, Aufbrechen von Rollenbildern.</t>
  </si>
  <si>
    <t>SIQ+ (Sport-Integration-Qualifikation)</t>
  </si>
  <si>
    <t>Das Projekt SIQ+ versteht sich als sozialpädagogisches Projekt für Kinder und Jugendliche sowie als Plattform für Sportintegration. Es setzt sich zum Ziel, das sozialintegrative Potential des Sports in seiner gesamten Bandbreite zu nützen, und somit die Integration der Zielgruppe entscheidend voranzutreiben. KlientInnen können an den regelmäßig stattfindenden Sport- und Sprachförderungs-Modulen, an Sportveranstaltungen, dem Lern- und Sportprogramm GRAgustl, an beruflichen Qualifizierungsangeboten sowie Adventuretagen und Sportfesten teilnehmen, Workshops absolvieren, ehrenamtlich mitarbeiten oder auch Mitglied in einem der SIQ+Partnervereine werden. Das Angebot von SIQ+ ist aufbauend und interdisziplinär und in vier Kernbereiche untergliedert:  Sport +Teilnahme, + Teilhabe, + Bildung und Öffentlichkeitsarbeit.</t>
  </si>
  <si>
    <t>migrare - Zentrum für MigrantInnen OÖ</t>
  </si>
  <si>
    <t>migra - Frauenspezifisches Inklusionsprojekt in OÖ</t>
  </si>
  <si>
    <t>migra ist ein Integrationsprojekt für Frauen mit Migrationsbiographien. Es stärkt ihre Handlungskompetenzen mit dem Ziel einer aktiven gesellschaftlichen Teilnahme. Die einzelnen Projektmodule ergänzen sich untereinander und tragen gemeinsam zur Zielerreichung bei.
2019 sollen bereits bewährte Module fortgesetzt werden: 
- Frauentandems (Spracherwerb, Networking, Interkulturelle Kompetenz)
- Offene Frauengruppen (Empowerment, Selbsthilfe, Alltagskompetenz)
- Psychosoziale Beratung (Gesundheit, Handlungskompetenz)
Innovation - 2019:
- Offene Infotreffs für Migrantinnen (Vermittlung von System- und Orientierungswissen)
- Aktionstag (Aktivierung, Networking, Regionalität, Orientierung)
- Offene Frauengruppe mit erweitertem Sprachportfolio: neben Bosnisch-Kroatisch-Serbisch/Deutsch und Türkisch/Deutsch,  neu für Arabisch/Deutsch und Tschetschenisch/Deutsch</t>
  </si>
  <si>
    <t>Hippy - Hausbesuchsprogramm für Eltern mit Kindern im Alter von drei bis sieben Jahren in Oberösterreich</t>
  </si>
  <si>
    <t>Teach For Austria gemeinnützige GmbH</t>
  </si>
  <si>
    <t>uugot.it GmbH</t>
  </si>
  <si>
    <t>OÖ, ST, W</t>
  </si>
  <si>
    <t>Verein Oberkärntner Frauenhaus, Oberkärntner Mädchen- und Frauenberatung, Berufliche Mädchen- und Frauenberatung</t>
  </si>
  <si>
    <t>Reden heißt Leben - Spracherwerb und Alltagscoaching als Schlüssel zur Integration</t>
  </si>
  <si>
    <t>Das Projekt setzt sich aus Sprachkursen sowie Einzelcoachings inklusive Zusatzmaßnahmen für Frauen aus der oben angeführten Zielgruppe zusammen. Der Bedarf hat sich aus der Arbeit in der Migrantinnenberatung ergeben. Für Asyl- und subsidiär Schutzberechtigte werden nur Einzelcoachings bzw. bei Bedarf B1-Sprachkurse angeboten. Im Jahr 2019 soll noch mehr Augenmerk auf die ressourcenorientierte Förderung der Frauen gelegt werden. Während der Kurszeiten wird Kinderbetreuung angeboten, um auch jungen Müttern die Teilnahme zu ermöglichen. Essentiell ist nach wie vor das Erlernen der deutschen Sprache, auch für Selbstwertstärkung und Selbstsicherheit der Frauen. Dies kommt indirekt der gesamten Familie zugute. Die Frauen werden ermutigt aktiv an ihrer Integration zu arbeiten. Dadurch und durch die Teilhabe am gesellschaftlichen Leben sind die Frauen auch besser für den Arbeitsmarkt vermittelbar.</t>
  </si>
  <si>
    <t>OMEGA - Transkulturelles Zentrum für psychische und physische Gesundheit und Integration</t>
  </si>
  <si>
    <t>Interkulturelle Frauencafés Steiermark und Burgenland 2019 – Information, Kommunikation, Kulturaustausch</t>
  </si>
  <si>
    <t>Übergeordnetes Ziel des Projekts „Interkulturelle Frauencafés Steiermark und Burgenland“ ist der Abbau von kulturellen und sprachlichen Barrieren und die Unterstützung des Integrationsprozesses von Frauen mit Migrationshintergrund in steirische und burgenländische Gemeinden. 
Zur Zielerreichung werden in jeder Gemeinde „Interkulturelle Frauencafès“ (thematische Workshops) durchgeführt, die sich mit Themen aus den Bereichen Kultur und Werte, Gesundheit, Bildung und Soziales beschäftigen. Neben den fachlichen Inputs von externen Referentinnen bieten die Workshops ausreichend Möglichkeit zum Austausch zwischen den Frauen. Die Workshops sind dementsprechend interaktiv geplant. Weitere wichtige Bausteine dazu sind die Vernetzung mit lokalen Angeboten sowie die kontinuierliche Evaluation der Aktivitäten.</t>
  </si>
  <si>
    <t>ST, B</t>
  </si>
  <si>
    <t>OMEGA-SCHULE Sprache, Grundbildung und Berufsorientierung</t>
  </si>
  <si>
    <t>Das Projekt OMEGA-Schule zielt auf die Vermittlung einer Basisbildung: Deutsch (Niveau B1), Mathematik und Englisch, politische Bildung/Geographie sowie Clearings/Berufsorientierung und Vermittlung der Europäischen Werte und Kulturstandards für die Zielgruppe junge Erwachsene mit Fluchthintergrund ab.
Das Schulkonzept wird für zwei Gruppen pro Jahr zu je 20 Teilnehmenden für die Dauer von je 26 Wochen und einem wöchentlichen Stundenausmaß von 20 – 30 Stunden zzgl. Praktikum umgesetzt.
Ein/e umfangreiche/s Beratung/Coaching ist begleitend notwendig, da weitreichende Entscheidungen getroffen werden müssen und die Zielgruppe per se aufgrund ihrer Situation (Krieg, Trauma, Flucht) belastet ist.
Durch die finanzielle Unterstützung in Form einer Aus- und Weiterbildungsbeihilfe durch das AMS können sich die TN voll auf die OMEGA-SCHULE konzentrieren.</t>
  </si>
  <si>
    <t>Frauenzentrum Olympe</t>
  </si>
  <si>
    <t>Das Frauenzentrum OLYMPE ist eine psychosoziale Anlauf- und Beratungsstelle für Frauen mit Migrations- oder Fluchterfahrung. 
Die Angebote bestehen aus drei Grundsäulen. Die erste Säule umfasst den Beratungsinhalt  zu den Themen: Finanzielles, Soziales, Psychisches, Gesundheit, Rechtliches (Scheidung, Obsorge, Schulden, Aufenthaltsstatus, StaatsbürgerInnenschaft,..) und  familiäre Belange. 
Die zweite Säule bildet das Empowerment. In diesem Bereich werden Vorträge, Workshops, Kurse, Seminare, kulturelle und frauenspezifische Veranstaltungen sowie interkulturelle Frauentreffs zur gegenseitigen Stärkung, Vernetzung und dem Erfahrungsaustausch angeboten.  Die dritte Säule bildet das Gerüst der Bildungsberatung.</t>
  </si>
  <si>
    <t>Schritte in den Beruf</t>
  </si>
  <si>
    <t>Ziel des Projektes SIB (Schritte in den Beruf) ist es, Frauen mit Migrations- oder Fluchterfahrung, die arbeitslos, arbeitssuchend oder (Wieder)Einsteigerinnen sind, in Form von Motivation, Deutschkursen und Jobcoaching in den Arbeitsmarkt zu integrieren. 
Die grundsätzliche Stärkung der Handlungsfähigkeit, die Selbstbestimmung der Teilnehmerinnen und die Unterstützung beim Finden eines Arbeitsplatzes sind die wesentlichen Pfeiler.
Das Modular aufgebaute Projekt beinhaltet:
- Motivations- und interkulturelles Kompetenztraining: persönliche und berufliche Standortbestimmung und erste berufliche Orientierung
- Deutsch-Intensiv-Kurs: Die Inhalte der Kurse beziehen sich stark auf die späteren Bewerbungssituationen
- Jobcoaching: intensive Auseinandersetzung mit den eigenen beruflichen Vorstellungen und Möglichkeiten. Die Teilnehmerinnen werden bei der Arbeitssuche aktiv unterstützt.</t>
  </si>
  <si>
    <t>AMAL - Initiative zur Integrationsbegleitung für Migrantenfamilien</t>
  </si>
  <si>
    <t>Gemeinsam in die Zukunft II</t>
  </si>
  <si>
    <t>Das Projekt “Gemeinsam in die Zukunft II“ (GIDZ) ist ein Integrationsprojekt, das MigrantInnen und deren Familie (Frauen, Männer, Jugendliche und Kinder) mit ehrenamtlich engagierten Menschen zusammenführt. Ziel ist es, Flüchtlingsfamilien auf niederschwelliger Ebene auf ihrem Integrationsweg durch Freiwillige zu unterstützen. 
Die GIDZ-Ehrenamtlichen bieten individuelle Sprachkonversationen zur Stärkung der Deutschkompetenz an. Sie begleiten bei Behördenwegen und vermitteln zu Experten und Institutionen. 
Für Schulkinder bietet GIDZ II individuelle Lernbetreuung an und Festigung der Deutschkenntnisse. Während Jugendsommerwochen werden die Deutsch- und interkulturelle Kompetenz der Kinder gestärkt. 
Ein besonderes Interesse liegt in der Förderung von nicht berufstätigen Migrantinnen und deren Möglichkeiten von gesellschaftlicher Teilhabe und Einstieg ins Berufsleben.</t>
  </si>
  <si>
    <t>Ikemba: Verein für Interkultur, Konfliktmanagement, Empowerment, Migrationsbegleitung, Bildung und Arbeit.</t>
  </si>
  <si>
    <t>Health literacy for everyone</t>
  </si>
  <si>
    <t>Das Projekt fördert die Gesundheitskompetenz von Menschen mit Migrationshintergrund und der Mehrheitsbevölkerung.Zielgruppe des Projekts sind Erwachsene, insbesondere Frauen. Außerdem stärkt es die interkulturelle Kompetenz von MitarbeiterInnen des Gesundheitswesens. Durch aufsuchende Outreach-Arbeit im Lebensumfeld der für Gesundheitsinfos schwerer zu erreichenden MigrantInnen werden Kontakte aufgebaut. Outreach-ArbeiterInnen mit Migrationerfahrung arbeiten eng mit Community-LeaderInnen zusammen. Es werden relevante Gesundheitsinfos in Muttersprache an die Menschen weitergegeben und Exkursionen zu Gesundheitseinrichtungen organisiert - diese Einrichtungen sind wichtige KooperationsparternInnen. Durch Begleitungen zu diesen und durch Kulturdolmetsch wird die interkulturelle Kompetenz von MitarbeiterInnen gestärkt. MigrantInnen werden über berufliche Perspektiven im Gesundheitswesen beraten. Seit 2016 ist Verein IKEMBA mit „Health literacy for everyone“ Mitglied der ÖPGK.</t>
  </si>
  <si>
    <t>Verein zur Förderung des Gedankenguts Atatürks in Österreich (ADD)</t>
  </si>
  <si>
    <t>Nachhilfe für SchülerInnen bis 14 Jahre in den Hauptfächern Deutsch, Englisch und Mathematik;  Deutsch-/Alphabetisierungskurse  für Frauen/Mütter</t>
  </si>
  <si>
    <t>Der Verein unterstützt seit seiner Gründung mit diversen sozialen Aktivitäten die Integration türkischstämmiger Mitbürger in die österreichische Gesellschaft. Viele Veranstaltungen wurden zusammen oder mit Unterstützung von anderen Vereinen bzw. österreichischen Behörden durchgeführt. Dazu gehören viele Kultur-, Kunst-, Bildungs-, Sport- und Beratungsprojekte. Ziele des Projektes sind die Beseitigung von Sprach- und Lerndefiziten bei Volksschul- und Mittelschulkindern aufgrund des mangelnden Bildungsniveaus der Eltern und damit verbunden der Mangel an Unterstützung und Lernbetreuung durch diese. Ein weiteres Ziel ist die Alphabetisierung und das Erlernen der deutschen Sprache auf A2 Niveau für Frauen..</t>
  </si>
  <si>
    <t>Österreichisches Rotes Kreuz, Landesverband Steiermark</t>
  </si>
  <si>
    <t>ESIRAS+ - Berufsvorbereitungsmodul zum Einstieg in einen Lehrberuf</t>
  </si>
  <si>
    <t>"ESIRAS+, Fit für die Lehre!" ist ein Arbeitsmarkintegrationsprojekt des Österreichischen Roten Kreuzes, Landesverband Steiermark für Jugendliche und junge Erwachsene bis 25 Jahre, die eine Lehre beginnen wollen.
Ziel von ESIRAS+ ist es, Menschen mit Migrationshintergrund durch ein breites Maßnahmenpaket aus kompetenzbildenden Workshops und fachspezifischen Deutschkursen auf ihre Lehrausbildung vorzubereiten und zu qualifizieren. Ergänzend zu den Kursmaßnahmen erhalten die Partizipienten Informationen zum Lehrstellenmarkt und werden zur Lehrstellensuche sowie zu den Aufnahmeverfahren umfassend beraten und geschult. Weiters werden die Partizipienten darin unterstützt ein Kurzpraktikum in Unternehmen zu absolvieren.
Begleitet wird das Training durch ein Mentoring-Programm durch Freiwillige des Roten Kreuzes.
Eine enge Zusammenarbeit mit dem AMS Steiermark wird forciert.</t>
  </si>
  <si>
    <t>Lernförderung &amp; Deutsch in Graz und steirischen Gemeinden</t>
  </si>
  <si>
    <t>In Graz und steirischen Gemeinden werden Kinder und Jugendliche mit Flucht- und Migrationshintergrund (gemäß NAP.I), die der Schulpflicht unterliegen, bedarfsorientiert durch Deutsch- und Lernbetreuungsangebote unterstützt. Projektbegleitend wird Elternarbeit und Bildungsberatung angeboten. Anliegen des Projektes ist es, dass die Zielgruppe häufiger als bislang Anschlussperspektiven vorfindet (etwa durch den Besuch weiterführender Schulen oder durch die Aufnahme einer Lehre). Damit wird ein nachhaltiger Beitrag zur Integration durch Bildung im Sinne des 50-Punkte-Plans geleistet. QuereinsteigerInnen sollen bei Bedarf möglichst unvermittelt in das Projekt aufgenommen werden, damit sie schnell am Unterrichtsgeschehen aktiv teilnehmen können. Alle Kurse werden von fachlich qualifizierten Personen durchgeführt.</t>
  </si>
  <si>
    <t>Internationale Organisation für Migration (IOM) Österreich</t>
  </si>
  <si>
    <t>Workshops zur Integration und Radikalisierungsprävention - Junge Tschetschen/innen in Österreich</t>
  </si>
  <si>
    <t>Ziel des Projekts ist es, eine potentiellen Radikalisierung von Jugendlichen vorzubeugen. Daher werden in Wien, Linz, Wels und Graz jeweils Workshopreihen mit tschetschenischen Jugendlichen durchgeführt, in denen die jungen Tschetschen/innen mit interkulturellen Mediator/innen und erfahrenen Jugendarbeiter/innen in Dialog treten. In den Workshops sollen sie sich mit ihren Wurzeln auseinandersetzen und ihre interkulturellen Werte als Tschetschen/innen in Österreich, sowohl im Einklang mit ihrer Herkunft, als auch mit österreichischen Grundwerten, reflektieren. Zusätzlich werden interkulturelle Multiplikator/innen ausgebildet, welche sich in der Community besonders engagieren, eigene Workshopkonzepte erarbeiten und durchführen sollen. Weiters werden regionale Netzwerke gebildet bzw. gestärkt, die einer breiten Vernetzung dienen, da gerade die tschetschenische Community eine schwer greifbare Gruppe ist.</t>
  </si>
  <si>
    <t>OÖ , ST, W</t>
  </si>
  <si>
    <t>SprachArbeit</t>
  </si>
  <si>
    <t>Im Projekt "SprachArbeit" werden Deutschkurse für Frauen angeboten. Dabei sollen Frauen erreicht werden, die ihre Deutschkenntnisse verbessern wollen und anstreben, in Österreich zu arbeiten. Das Projekt soll der Verbesserung des Arbeitsmarktzugangs von Migrantinnen ebenso dienen wie der Verbesserung ihrer Sprachkenntnisse. Das klassische Konzept des Sprache Lernens wird dabei um eine praktische Dimension ergänzt. Die Teilnehmerinnen absolvieren neben dem Sprachkurs eine Sprachpraxis in der Arbeitswelt, in einem Betrieb oder in gemeinnützigen bzw. sozialen Einrichtungen. Dabei erhalten sie Einblick in berufliche Perspektiven und festigen/erweitern ihre sprachlichen Kompetenzen im (beruflichen) Alltag. Bei der Auswahl der Praxisorte wird auf umfangreiche Kommunikation geachtet. Ziel ist es auch, Frauen zu unterstützen, ihren Alltag mit einer Berufstätigkeit in Einklang zu bringen.</t>
  </si>
  <si>
    <t>Frauen.Refugium - Psychologische Beratung und Behandlung von asylberechtigten Frauen und Migrantinnen</t>
  </si>
  <si>
    <t>Das Projekt bietet zielgruppenorientierte psychologische Behandlung sowie psychosoziale/gesundheitspsychologische Beratung für zugewanderte, asylberechtigte und subsidiär Schutzberechtigte Frauen/Mädchen. Projektziele: Verbesserung der psychischen Symptome/Beschwerden, Erarbeitung von Bewältigungsstrategien im Umgang mit psychischen Erkrankungen, Unterstützung in Krisensituationen, Minimierung der Risikofaktoren für Entstehung/Chronifizierung von psychischen Erkrankungen, Erarbeitung von Handlungskompetenz, Steigerung sozialer Funktionsfähigkeit und Schaffung von Voraussetzungen für aktive gesellschaftliche Teilnahme und nachhaltige Integration. Projektmaßnahmen: klinisch-psychologische Diagnostik, telefonische/persönliche psychologische Beratung/Behandlung, gesundheitspsychologische Beratung, Maßnahmen zur Förderung von Health Literacy in Einzelbetreuung und Informationsveranstaltungen.</t>
  </si>
  <si>
    <t>lobby.16 - Unterstützung für unbegleitete junge Flüchtlinge - Bildung, Arbeit, Alltag</t>
  </si>
  <si>
    <t>Bildungswege - ausbildungsbezogene Perspektiven für unbegleitete junge Flüchtlinge</t>
  </si>
  <si>
    <t>Das Projekt Bildungswege zielt auf die nachhaltige Integration junger Flüchtlinge in den Arbeitsmarkt ab. Dies soll durch die Vermittlung in Lehrstellen erreicht werden. Dafür benötigt es spezifische Maßnahmen wie die Erarbeitung realistischer Berufsziele, schulische Nachqualifizierung sowie auch psycho-soziale Betreuung und die Bearbeitung von alltagsrelevanten Themen wie Werte, Umgang mit Geld etc. lobby.16 betreut die ProjektteilnehmerInnen bis zum Ende der Ausbildung. Zusätzlich zu diesen Projektteilen wird eng mit Unternehmen kooperiert; so kann die Vorbereitung auf und Vermittlung in Lehrstellen nahe am wirtschaftlichen Bedarf orientiert stattfinden. Dementsprechend und aufgrund der aktuellen wirtschaftlichen Lage ist für 2019 - neben der Weiterführung bestehender Kooperationen in Wien (Umgebung) - der Aufbau neuer Partnerschaften mit Unternehmen vor allem in Oberösterreich geplant.</t>
  </si>
  <si>
    <t>PIVA - Projektgruppe Integration von Ausländerinnen und Ausländern</t>
  </si>
  <si>
    <t>Alpha-Frauen Integrative Deutschkurse für Frauen mit Kinderbetreuung, Sozialbetreuung und Lernbetreuung</t>
  </si>
  <si>
    <t>„Alpha-Frauen“ ist ein Sozialprojekt für zugewanderte Frauen und deren Kinder. Aufgrund ihrer familiären Situation ist es für sie oft schwierig oder unmöglich an „regulären Kursen“ teilzunehmen. In den integrativen Deutschkursen sind Kursunterbrechungen und Wiedereinstieg erlaubt. Die Themenschwerpunkte behandeln die aktuellen Bedürfnisse der Frauen, parallel dazu erhalten die Kinder professionelle Betreuung und Vorbereitung  auf den Kindergarten. Das Projekt bietet Orientierung und fördert die Erweiterung der Sprachkenntnisse, die Kontaktpflege außerhalb der Familie, sowie den Aufbau von kleinen Selbsthilfe-Netzwerken.  Zur Entlastung sozial schwacher Eltern erhalten SchülerInnen Lernbetreuung und Unterstützung bei Prüfungsvorbereitungen.  
• Sprachkurse : Alpha, A1, A2, Konversation
• Sozialbetreuung für Frauen
• Kinderbetreuung
• Lernbetreuung
• Exkursionen, Workshops</t>
  </si>
  <si>
    <t>Beratungsstelle für Migrantinnen und Migranten</t>
  </si>
  <si>
    <t>Die "Beratungsstelle für Migrantinnen und Migranten" ist Teil des sozialen Netzwerkes in der Region. Als zentrale Anlaufstelle für Problemstellungen und Fragen, die sich für MigrantInnen im Zusammenhang mit der Integration in die österreichische Gesellschaft ergeben, wird sie sowohl von Privatpersonen als auch von öffentlichen Institutionen und  NGOs kontaktiert. Durch das Projekt werden MultiplikatorInnen gefördert und die Bildung von Netzwerken unterstützt.
Das Maßnahmenpaket umfasst:
•  Information, Beratung, Unterstützung bei Behördenangelegenheiten, Schriftverkehr und  Begleitung in besonderen Lebenslagen. 
• Dolmetsch-Pool
• Club der Begegnung</t>
  </si>
  <si>
    <t>Österreichisches Rotes Kreuz, Landesverband Wien</t>
  </si>
  <si>
    <t>Lernhilfe</t>
  </si>
  <si>
    <t>Als langfristige und strategische Investition in eine Gesellschaft des Miteinanders steht die umfassende Lernförderung im Zentrum einer funktionierenden Integration und dient als Fundament einer selbstgesteuerten, freien und positiven Entfaltung von jungen Menschen in der Gegenwart und ihrer gesamten Zukunft. Das Projekt Lernhilfe trägt dazu bei, Kindern im Volksschulter mit besonderem Lern- und Sprachförderbedarf eine Chancengleichheit zu bieten. Das Projekt umfasst eine fächerübergreifende und alle Unterrichtsgegenstände einschließende Förderung. Sprache und Bildung steht dabei inhaltlich im Mittelpunkt.</t>
  </si>
  <si>
    <t>"Jugendinitiative Triestingtal" Verein für Jugend- Projekt- und Sozialarbeit</t>
  </si>
  <si>
    <t>Go BIG! Bildung,Integration,Gesundheit (ehem. Int. Jugendcafe)</t>
  </si>
  <si>
    <t>Das Projekt verfolgt 2019 einen regionalen und settingübergreifenden Ansatz und setzt sich aus mehreren Modulen zusammen um den Erwerb von Gesundheitsbewusstsein und Lebens-/Gesundheitskompetenz bei benachteiligten Jugendlichen mit Migrationshintergrund zu erreichen. Die aufeinander abgestimmten niederschwelligen Maßnahmenpakete wie Burschentreff, Mädchencafe, Lerncafe und aufsuchenden sozialen Angebote im öffentlichen Raum erreichen dabei auch „hard to reach“ Jugendliche und ihre Eltern. Durch die Stabilisierung der psychosozialen Gesundheit und sozialen Situation sowie den Erwerb von Lebens- und Sprachkompetenzen wirkt das Projekt auch nachhaltig auf eine verbesserte Chance der Integration in den Arbeitsmarkt- und Bildungssektor hin. Soziale Gruppenangebote stärken die Zugehörigkeit und das Heimatgefühl der Jugendlichen und bearbeiten Konflikte im Sozialraum.</t>
  </si>
  <si>
    <t>Sozialmedizinische Beratung für Frauen und ihre Angehörigen mit Flucht- oder Migrationshintergrund</t>
  </si>
  <si>
    <t>Frauen mit Flucht- oder Migrationshintergrund, die selbst unter einer Erkrankung/Behinderung leiden oder Angehörige betreuen, haben besondere Nachteile bei der Integration (Sprache, Arbeit, psych. Situation, etc.). Das interdisziplinäre Team der „Sozialmedizinischen Beratung“ (Sozialberater*innen, DGKP, Ärzt*innen, Klinische Psycholog*in, Dolmetscher*innen) unterstützt diese Personengruppe durch primäre, sekundäre und tertiäre Gesundheitsberatung und -interventionen, stärkt Betroffene durch nachhaltige sozial(-rechtlichen) Inklusion/Integration und vermittelt Gesundheitskompetenz. Die Beratungsstelle verwirklicht damit wichtige Ziele der aktuellen Gesundheitspolitik gegen soziale Ungleichheit und für gesundheitliche Chancengerechtigkeit.</t>
  </si>
  <si>
    <t>Immo-humana – Verein für Mütter in Wohnungsnot</t>
  </si>
  <si>
    <t>„Integration und Wiedereingliederung alleinstehender Mütter mit Kindern bzw. Schwangerer"</t>
  </si>
  <si>
    <t>Der gemeinnützige Verein immo-humana widmet sich seit 21 Jahren der wichtigen Aufgabe, alleinerziehenden Müttern und ihren Kindern bzw. alleinstehenden schwangeren Frauen Wohnungen zu vermitteln und sie vor Obdachlosigkeit zu bewahren. Aufgrund der stark eingeschränkten finanziellen Möglichkeiten sind vor allem Mütter, die asylberechtigt sind, oder Mütter mit Migrationshintergrund von der drohenden Obdachlosigkeit betroffen. Nach der telefonischen Erstabklärung erfolgt ein Beratungsgespräch, nach Prüfung der Situation und der Unterlagen versucht immo-humana eine Wohnung zu finden. Ein fester Wohnsitz hilft, die oft sehr schweren Schicksalsschläge zu verarbeiten und ist Ausgangspunkt für die Integration in die Mehrheitsgesellschaft.</t>
  </si>
  <si>
    <t>W, T</t>
  </si>
  <si>
    <t>BACH – Stützangebote für Jugendliche und junge Erwachsene mit Migrationsbiographie und erhöhtem Förderbedarf</t>
  </si>
  <si>
    <t>Personen mit Förderbedarf müssen im Sinne der Chancengleichheit unterstützt und ihre Arbeitsintegration nachhaltig verbessert werden. Dieser Projektvorschlag sichert durch begleitende Stütz- und Förderangebote den Pflichtschulabschluss für Jugendliche und junge Erwachsene mit Migrationshintergrund, die aufgrund ihrer Bildungsbiographie und/oder psychischer/physischer Disposition diesen sonst nicht erreichen würden. Ein zielgruppenspezifischer Förderunterricht soll den Kurserfolg ermöglichen. Ehrenamtliche unterstützen die Kursteilnehmer*innen (TN) regelmäßig. Die TN können so Vertreter*innen der Mehrheitsgesellschaft in verschiedenen Rollen kennenlernen. 
Ziel ist die Förderung der Bildungsneigung und der Sprachkompetenz sowie die Heranführung an den Arbeitsmarkt. Im Rahmen einer 4-wöchigen Transferphase sollen TN verstärkt in Qualifizierungsmaßnahmen für Berufe einbezogen werden.</t>
  </si>
  <si>
    <t>Katholisches Bildungswerk Kärnten</t>
  </si>
  <si>
    <t>HIPPY &amp; SMILE - Fit für die Schule und das Leben in Österreich</t>
  </si>
  <si>
    <t>intact - Aufklärung, Bewusstseinsbildung und Unterstützung bei weiblicher Genitalverstümmelung - Phase 2</t>
  </si>
  <si>
    <t>Das Vorhaben dient der Verbesserung der gesundheitlichen Situation von Frauen und Mädchen, die von weiblicher Genitalverstümmelung betroffen sind sowie dem Schutz bedrohter Mädchen. Female Genital Mutilation/Cutting (FGM/C) ist geschlechtsspezifische Gewalt gegen Frauen und Mädchen mit gravierenden Auswirkungen. Im Jahr 2019 sollen Multiplikatorinnen in Wien, Oberösterreich und Salzburg Aktivitäten umsetzen. Die von FEM Süd ausgebildeten "FGM-Peers" sollen betroffene Frauen und Mädchen beraten und begleiten. 100 Frauen und Mädchen sollen so bei psychischen und physischen Problemen Hilfestellung erhalten, spezialisierte medizinische Versorgung soll besser zugänglich gemacht werden. Mittels Informationsworkshops sollen 800 Frauen und Männer für die Problematik sensibilisiert werden - das Vorhaben soll somit auch präventiv wirksam sein. Strukturaufbau und Vernetzung werden gestärkt.</t>
  </si>
  <si>
    <t>W, OÖ, S</t>
  </si>
  <si>
    <t>Beratung und Unterstützung für schutzberechigte Frauen</t>
  </si>
  <si>
    <t>Frauen kommt eine zentrale Rolle in der Integration zu, da sie ihr Umfeld nachhaltig beeinflussen. Frauen aus patriarchalen Strukturen und Alleinerzieherinnen sind jedoch mit herkömmlichen Integrationsmaßnahmen kaum zu erreichen. Eine Beratungsstelle von Frauen für Frauen schafft einen Raum, in dem auch marginalisierte Frauen Unterstützung finden. Mit Hilfe eines rein weiblichen Teams und kulturellen Vermittlerinnen wird eine vertrauensvolle Atmosphäre geschaffen, in der auch sensible Themen wie Familienplanung, Gewalt und FGM (Female Genital Mutilation) bearbeitet werden können. Mit Einzelfallhilfe und Gruppenangeboten werden Frauen über ihre Rechte aufgeklärt und bei deren Durchsetzung unterstützt. Patriarchale Muster in ihrer Lebenswelt werden analysiert und Frauen dazu ermächtigt, diesen entgegenzutreten. Empowerment und Partizipation führen Frauen zu einem selbstbestimmten Leben in Österreich.</t>
  </si>
  <si>
    <t>Talenteentwicklung Missethon GmbH</t>
  </si>
  <si>
    <t>Der Weg zur Klarheit, Stabilität und Arbeit – Leistung als wechselseitiger Prozess zur Integration von jungen MigrantInnen</t>
  </si>
  <si>
    <t>Das Projekt beinhaltet drei Handlungsfelder (im Weiteren Module) und erfüllt als ein Teil des Gesamtkonzeptes des Projektträgers („Grundversorgung - Bildung - Wirtschaft“) die Grundvoraussetzungen sowohl für ein gelingendes Miteinander als auch für den Einstieg der minderjährigen unbegleiteten Flüchtlinge in weiterführende Bildung und Arbeit. Die Module im Projekt beschäftigen sich mit Kommunikation und Lehrstellenvorbereitung. Das Projekt trägt zur Akzeptanz bei der Bevölkerung bei, unterstützt die Stabilität der Jugendlichen, sowie ihre Vernetzung in die Gesellschaft und ermöglicht den Zugang zu einer Lehre.</t>
  </si>
  <si>
    <t>ST, NÖ</t>
  </si>
  <si>
    <t>„BANONDA – Dialog und Integration“</t>
  </si>
  <si>
    <t>Das Projekt "Banonda - Dialog und Integration" zielt auf die Verbesserung der Integration und des positiven Miteinanders von neu Zugewanderten und der Wohnbevölkerung in Gemeinden im ländlichen Raum im Pongau, Pinzgau und Lungau ab. Integration versteht sich als chancengleiche Teilnahme am sozialen und gesellschaftlichen Leben und soll wechselseitig (zugezogene und autochthone Wohnbevölkerung) erfolgen. Innovativ in diesem Projekt sind die intensive regionale Vernetzungsarbeit und Bündelung lokaler und ehrenamtlicher Intiativen. Angebote und Maßnahmen im Integrationsbereich sollen attraktiv, überschaubar, punktuell, aber auch effizient und ergänzend gestaltet werden. Sie richten sich gleichermaßen an alle Bürger*innen einer Gemeinde. Durch Beratungsgespräche mit wichtigen Akteur*innen in den Projektgemeinden kann bedarfsorientiert mit Angeboten reagiert werden.</t>
  </si>
  <si>
    <t>LAP-top!: Begleitungsangebot auf dem Weg zur Lehrabschlussprüfung</t>
  </si>
  <si>
    <t>Das Projekt „LAP-top!“ unterstützt Lehrlinge und im Arbeitsprozess stehende, niedrigqualifizierte Erwachsene mit Migrationshintergrund bei ihrer Vorbereitung auf die Lehrabschlussprüfung bzw. LAP im 2. Bildungsweg.  
Neben der Lernunterstützung steht die Information, Sensibilisierung und Motivation zur beruflichen Qualifizierung und Nachqualifizierung dieser am Arbeitsmarkt benachteiligten Zielgruppe im Mittelpunkt des Projekts. 
Das Angebot setzt sich zusammen aus einem offenen Lehrabschluss-Zentrum (kurz: „LAZ“) und einem breiten Angebot an Fachtutorien zur Vertiefung berufsspezifischer Kompetenzen.</t>
  </si>
  <si>
    <t>Arbeit Stiften II</t>
  </si>
  <si>
    <t>„Arbeit Stiften II“ ist die Fortsetzung eines Lückenschlusses bei der Arbeitsmarktintegration von Flüchtlingen und MigrantInnen. Sowohl Unternehmen als auch die arbeitsmarktferne Zielgruppe können stark von der Aufklärung über das Stiftungswesen und der Arbeitsmarktintegration profitieren. Stiftungen bieten ein großes Potenzial im Arbeitsmarktzugang. Die ProjektteilnehmerInnen erhalten umfassende Unterstützung bei der Arbeitssuche. Unternehmen werden talentierte Angestellte präsentiert, die über das Stiftungswesen nicht nur bedarfsorientierte Schulungen erhalten können – deren Anstellung bieten auch finanzielle Anreize für die Firmen. Die Caritas als Drehscheibe betreut KlientInnen und Unternehmen individuell und ist als Schnittstelle aktiv. Projektziel: Erhöhung des Arbeitsmarktzuganges von Flüchtlingen und MigrantInnen in der Steiermark als Beitrag zu erfolgreicher Integration.</t>
  </si>
  <si>
    <t>Verein Multikulturell</t>
  </si>
  <si>
    <t>Vita Mobil 2.019</t>
  </si>
  <si>
    <t>Das Projekt Vita Mobil 2.019 ist eine bedarfsgerecht und zielgruppenorientiert gestaltete Maßnahme  zur Vermittlung von Informationen zum Gesundheitswesen, Ernährungsumstellung, Bewegungsförderung, bestehende Beratungs-/Betreuungsleistungen zum Thema Gesundheit sowie zum Kennenlernen von Berufen, die mit den Themenbereichen Bewegung und Ernährung in Zusammenhang stehen. Zielgruppen sind vordergründig Frauen und Kinder/Jugendliche mit Migrations- oder Fluchthintergrund. In 22 Workshops kombinieren Gesundheitsmentorinnen, welche selbst Migrationshintergrund haben, Theoriewissen mit Basiswissen zu gesunder Ernährung und Bewegung. 6 Workshops zu Berufen in den Themenbereichen ergänzen das erworbene Wissen um Einblicke in entsprechende Berufsfelder. BerufsmentorInnen, die im Bereich arbeiten, bieten zudem einige Stunden Coaching für besonders interessierte TeilnehmerInnen an.</t>
  </si>
  <si>
    <t>International Centre for Migration Policy Development (ICMPD)</t>
  </si>
  <si>
    <t>Prozesse der Arbeitsmarktintegration von jungen Geflüchteten in Östereich</t>
  </si>
  <si>
    <t>Mixed-Methods-Forschungsdesign zur Exploration und Analyse der Arbeitsmarktintegration von Asylberechtigten und subsidiär Schutzberechtigten in Österreich, mit Schwerpunkt auf jungen Erwachsenen (15-25 Jahre) und jungen Frauen
• Fortsetzung der Flüchtlingsbefragung FIMAS (4. Erhebungswelle) inkl. Schwerpunkterhebung junge Geflüchtete
o 1.800 Interviews, davon 900 Interviews mit jungen Erwachsenen, 900 Interviews mit Erwachsenen ab 26 Jahren (Stratifizierung)
• Ergänzende qualitative Befragung zur Schwerpunkterhebung Jugendliche
o 20 leitfadengestützte Einzelinterviews mit jungen Erwachsenen
o 20 leitfadengestützte ExpertInneninterviews in Österreich</t>
  </si>
  <si>
    <t>Verein Begegnung - arcobaleno</t>
  </si>
  <si>
    <t>Für schlaue Füchse für Kinder und Jugendliche mit nicht deutscher Erstsprache</t>
  </si>
  <si>
    <t>Schülerinnen mit nichtdeutscher Muttersprache und entsprechendem Förderbedarf erhalten nach Beendigung des regulären Schultages an Volksschulen und Neuen Mittelschulen (NMS) in Linz, Traun und Leonding eine zusätzliche Deutschstunde pro Woche. Schülerinnen können bei uns regelmäßig Deutschkurse besuchen, um ihre Sprachkenntnisse zu verbessern. Diese werden auch bei der Erledigung ihrer Hausübungen unterstützt, da mangelnde Deutschkenntnisse sehr oft das Verstehen der Unterrichtsinhalte erschweren. Für SchülerInnen, die in den Sommerferien  neu nach Österreich kommen, bieten wir einen Intensivkurs, um den Einstieg in das Schulsystem zu erleichtern. Für Jugendliche, die aus der Bildungspflicht herausfallen jedoch zu wenig Deutschkenntnisse für berufsqualifizierende Maßnahmen besitzen, bieten wir spezielle Deutschkurse an.</t>
  </si>
  <si>
    <t>Afro-Asiatisches Institut Graz</t>
  </si>
  <si>
    <t>ComUnitySpirit - Religionen und Kulturen im Dialog 2019</t>
  </si>
  <si>
    <t>Im Afro-Asiatischen Institut Graz angesiedelt, nimmt das Projekt “ComUnitySpirit – Religionen und Kulturen im Dialog” (CUS) die gemeinschaftsbildende Kraft, die in den in Österreich vertretenen Religionen und Kulturen angelegt ist, in den Blick. Es regt auf kommunaler Ebene in Graz und der Steiermark den interreligiösen und interkulturellen Dialog auf Augenhöhe unter Einbeziehung der Mehr- und Minderheiten an. Das grundlegende Ziel ist die Förderung des friedlichen, gemeinschaftlichen Zusammenlebens in einer diverser werdenden Gesellschaft. Die Wege dorthin sind vielfältig, doch fußen alle auf Begegnung und Austausch, dem Abbau von Vorurteilen, dem Aufbau von Vertrauen und der Umsetzung gemeinsamer Anliegen. Das lebendige Netzwerk, die Dialogbereitschaft und das sichtbare Engagement werden seit Beginn des Projekts 2013 von Bund, Stadt Graz sowie der Diözese-Graz Seckau unterstützt.</t>
  </si>
  <si>
    <t>Verein START-Stipendien Österreich</t>
  </si>
  <si>
    <t>START-Österreich Bildungsprogramm und Bundesländerarbeit bzw. -ausbau</t>
  </si>
  <si>
    <t>Das Projekt START-Österreich Bildungsprogramm, Bundesländerarbeit- und ausbau besteht aus Bildungsseminaren und Veranstaltungen, an denen alle START-StipendiatInnen aus ganz Österreich teilnehmen sowie dem Aufbau eines Alumninetzwerkes.
Das Projekt will mit 150 Workshops für Jugendliche mit Migrationshintergrund an maturaführenden Schulen dafür sorgen, dass sich die Bildungschancen dieser Zielgruppe erhöhen.</t>
  </si>
  <si>
    <t>W, V, S, OÖ, NÖ</t>
  </si>
  <si>
    <t>Verein Schulerfolg</t>
  </si>
  <si>
    <t>ElternRaum</t>
  </si>
  <si>
    <t>Im Pilotprojekt ELTERNRAUM nehmen Eltern von Pflichtschulkindern aus der Gruppe der migrantischen Eltern, mit österreichischer Staatsbürgerschaft, Asylberechtigten, EU-BürgerInnen und der Mehrheitsbevölkerung teil. Die Projektsprache ist Deutsch mit Übersetzungsmöglichkeiten in Arabisch, Türkisch, Farsi, Pashtu, Dhari, Rumänisch, Russisch und BKS. Die teilnehmenden Eltern, unabhängig von ihren Deutsch- oder Schulsystemkenntnissen, werden regelmäßig von zertifizierten Eltern-LernbegleiterInnen angeleitet, gestärkt, unterstützt, informiert und lernen dadurch ihre Kinder für eine erfolgreiche Bildungs- oder Berufsausbildung zu unterstützen. Ziel: Bildungsabbrüche zu vermeiden und Kindern mittelfristig und langfristig die Teilhabe an allen Gesellschaftsbereichen zu ermöglichen. Die Handlungsfelder Spracherwerb, Integration und interkultureller Dialog fördern die Integration dieser Familien.</t>
  </si>
  <si>
    <t>Zwischensumme: AMIF</t>
  </si>
  <si>
    <t>Zwischensumme: National</t>
  </si>
  <si>
    <t>GESAMT 2019</t>
  </si>
  <si>
    <t>* Summen reagieren auf Filter und Zeilenlöschung  |  Quelle: BKA Integrationsprojekte 2019</t>
  </si>
  <si>
    <t>Gesamtübersicht Integrationsprojekte 2020</t>
  </si>
  <si>
    <t>AMIF-Mittel 2020</t>
  </si>
  <si>
    <t>BKA-Mittel 2020</t>
  </si>
  <si>
    <t>Gesamt 2020</t>
  </si>
  <si>
    <t>Ö</t>
  </si>
  <si>
    <t>Region Vorderland-Feldkirch</t>
  </si>
  <si>
    <t>Universität Wien</t>
  </si>
  <si>
    <t>Wir haben in den letzten zweieinhalb Jahren Präventivarbeit gegen Radikalisierung und Identitätsdifussionen durchführen können. Die von uns betreuten und beratenen Familien werden aufgesucht (kulturspezifischer, psychologischer Zugang). Für Kinder und Jugendliche werden wöchentliche Workshops und Sportbegegnungen angeboten. Weiters ist unser Fußballteam ein idealer Platz für Jugendliche und junge Männer um ihren Selbstwert zu stärken. Zusätzlich finden Familienausflüge statt um die jeweiligen Familiensysteme zu stärken. Die Themen die wir bei den Besuchen zu bearbeiten haben handeln von Kränkungen, Familie, Rechtssystem, Schule, Rechte der Frauen, Gesundheitssystem u.v.m.</t>
  </si>
  <si>
    <t>Krems Interkulturell ist eine Informations-, Förder- und Koordinationsstele sowie Ansprechpartner in allen Anliegen/Maßnahmen der Integration im Raum Krems. Die Arbeitsschwerpunkte werden auf Sprach- u Freizeitkurse, Begegnung im Alltag, Anschluss an vorhandene gesellsch. Ressourcen, niederschwellige Beratung/Begleitung sowie gemeinwesenorientierte Angebote gelegt. Im Mittelpunkt stehen dabei die Arbeit mit Kindern, Jugendlichen u Frauen sowie die lebensweltnahe Ausrichtung (Grätzlarbeit) der Angebote. Aufbauend auf 20J-Erfahrung in der Integrationsarbeit sowie dem NÖweiten Leitlinienprozess "Sozialräumliche Integrationsarbeit" werden bisherige Angebote bedarfsgerecht adaptiert. Neben kontinuerlicher Kooperation mit div. Einrichtungen stellen wöchentliche Kurs- und Beziehungsangebote sowie gezielte Projekte die Grundlage für niederschwellige Integrationsarbeit dar.</t>
  </si>
  <si>
    <t>Im Projekt BEAM (Beratung_Begleitung Eltern Alltagskompetenz Migration) gehen Prävention mit Information und Wissenstransfer Hand in Hand: Modul Mamaplausch bietet niederschwellige Information zu kindlicher Entwicklung und Gestaltung des Familienalltags - auch in interkulturellen Gruppen. Im Modul Beratung begleiten wir Familien und Kinder mit Unterstützungsbedarf und (drohender) Behinderung. Wissenstransfer: Durch Weitergabe von Informationen an Freiwillige, unsere Kolleginnen aus verschiedenen Kulturen und MultiplikatorInnen sollen Familien gut begleitet werden. Ziel ist es, Wissen und Kompetenzen zu erweitern und Netzwerke zu etablieren, um Kinder früh und umfassend zu fördern, Familien zu stärken und über vorhandene Angebote zu informieren</t>
  </si>
  <si>
    <t>Das vorliegende Projekt richtet sich ausschließlich an Frauen und Mädchen im Waldviertel, welche entweder Drittstaatsangehörige mit Bleibeperspektive, Asylberechtigte oder subsidär Schutzberechtigte, EU Bürgerinnen oder Österreicherinnen mit Migrationshintergrund und dauerhafter Niederlassung in Österreich sind. Wesentliches Projektziel ist, diesen Frauen ein niederschwelliges, gut zugängliches Beratungs- Informations-und Kommunikationsangebot  zu den Themen: Gesundheit, Arbeit, Rechtsstaat und Werte sowie theaterpädagogische Sprachförderung anzubieten, welches sie in die Lage versetzt, ihr Leben in Österreich eigenständig zu bewerkstelligen.</t>
  </si>
  <si>
    <t>Jugendliche mit Migrationshintergrund haben oft nur einen Pflichtschulabschluss und sind überproportional von Arbeitslosigkeit betroffen. Sie haben am Ende der Pflichtschule häufiger Orientierungsprobleme und brechen ihren Bildungsweg ab. Eine erfolgreiche berufliche Qualifizierung setzt daher eine fundierte Berufsvorbereitung voraus und ist eine wichtige Maßnahme zur langfristigen Erwerbstätigkeit und Integration. Das Projekt Job4Life unterstützt Jugendliche beim Einstieg in die berufliche Qualifizierung (Lehre) in der 7. – 9. Schulstufe mit einem umfassenden Berufsvorbereitungs-Lehrgang (Workshops, Beratung, Praxistage, Firmenkontakte, Bewerbungscoaching, etc.) an Schulen in OÖ im Rahmen der regulären Unterreichtseinheiten sowie der schulischen Nachmittagsbetreuung. Job4Life bezieht die Eltern ein und baut eine nachhaltige Brücke zwischen Schule und regionalen Unternehmen.</t>
  </si>
  <si>
    <t>132 Student/innen (=Mentor/innen) begleiten und unterstützen 132 Schüler/innen aus Drittstaaten mit Förderbedarf im Deutschspracherwerb und bei Fragen der Integration. Nach Einschulung treffen sich die Tandems, die an 9-11 Standorten gebildet werden (7 in Wien, 1-2 in Graz, 1-2in Salzburg) je ca. 18 mal zu gemeinsamen Bildungs- und Freizeitaktivitäten, um implizit den Deutsch-Spracherwerb der Kinder zu verbessern. Die Schüler werden nach Förderbedarf ausgewählt, die Student/innen kommen aus verschiedenen Studienrichtungen und absolvieren mit dem Projekt ein freiwilliges Praktikum. Mentoring („Nightingale“- Konzept) bewirkt bei den Kindern: Zuwachs an Deutsch-Sprachkompetenz (wiss. bestätigt 2016) Selbstwert, Orientierung in der Stadt, Bildungsmöglichkeiten (Kultur, Museen, etc.), Nutzung öffentlicher Verkehrsmittel, Schwimmen, Radfahren, Verhalten der Mehrheitsgesellschaft, usw.</t>
  </si>
  <si>
    <t>K, OÖ, ST</t>
  </si>
  <si>
    <t>HEROES - Gegen Unterdrückung im Namen der Ehre für Gleichberechtigung im Bundesland Slazburg, richtet sich an junge Männer mit Migrationshintergrund, die sich aktiv für das gleichberechtigte Zusammenleben von Männern und Frauen einsetzen und etwas in der Gesellschaft hin zum Positiven verändenr wollen. Phase I (Grundausbildung der HEROES) ist 2019 abgeschlossen, danach starten ab wiederum PhaseII (Peer-to-Peer Workshops an Schulen). Die Workshops werden an Schulen und Jugendeinrichtungen gemeinsam mit einem Gruppenleiter oder der Projektleitung durchgeführt. Ziel ist ein partnerschaftliches, gewaltfreies Geschlechter- und Generationenverhältnis, welches auf den Grundsätzen der Menschenechtskonventionen basiert. Salzburg ist das erste Bundesland, welches dieses Konzept nach Österreich geholt hat. Sei 2007 wird es vom Hauptträgr in Berlin (Strohhalm e.v. ) umgesetzt.</t>
  </si>
  <si>
    <t>Perspektive:Deutsch bietet Deutschqualifizierung in Kombination mit neuartigen Strategien zur Bewältigung sozialer und beruflicher Herausforderungen. Übergeordnetes Ziel des Projekts ist es, Deutschkenntnisse schnell und in einem ausreichenden Maß gut zu erlernen, um an einem Leben in Österreich selbstständig teilnehmen und auch aktiv beitragen zu können. Angeboten werden Deutsch-Intensivkurse mit zertifizierter Abschlussprüfung (ÖIF) und integrative Praxistage (vier während eines Kursdurchlaufes). Diese dienen zur sozialen und beruflichen Integration, öffnen den Blick und verbinden die Menschen in Austausch- und Dialogprozessen. Der Verein will damit den Lernenden ein Rüstzeug geben, mit dem sie längerfristig ein aktives Leben in Österreich führen können.</t>
  </si>
  <si>
    <t>Das NÖ Frauentelefon bietet Frauen und Mädchen aller Altersgruppen mit oder ohne Migrationshintergrund, die aufgrund von prekären Lebensumständen oder Krisen psychosoziale, finanzielle oder rechtliche Hilfe brauchen, kostenlose und anonyme telefonische Beratung an – für Frauen mit Migrationshintergrund auch in Türkisch, Tschetschenisch, Russisch und Serbokroatisch. Die Anruferinnen werden ausschließlich von Frauen beraten.</t>
  </si>
  <si>
    <t>HIPPY Hausbesuchsprogramm für Eltern von Kindern im Alter von drei bis sieben Jahren</t>
  </si>
  <si>
    <t>Jüdische Jugendliche können in die Schulklasse eingeladen werden, um sich und ihr Judentum vorzustellen.
Ziel ist es den Jugendlichen einen Raum zu schaffen, in welchem sie unbefangen allmögliche Fragen stellen können, um somit Vorurteile ab zu bauen und ein besseres zukünftiges Miteinander der österreichischen Gesellschaft zu fördern.
In der Begegnung wird ein lebendiges, bleibendes und bildendes Erlebnis ermöglicht. Das Spannende an dieser Form des Dialogs ist, dass alleine durch die Gleichaltrigkeit der BesucherInnen Nähe geschaffen wird. Mit einer Begegnung im Unterricht wird es den SchülerInnen ermöglicht, eine interkulturelle Erfahrung zu machen, stereotype Wahrnehmungen zu durchbrechen und einen unbefangenen Zugang zum Judentum zu erhalten.</t>
  </si>
  <si>
    <t>W, NÖ, B, K, OÖ, S</t>
  </si>
  <si>
    <t>Das im Rahmen eines Mutter-Kind-Hauses stattfindende Projekt „MIGeinander“ arbeitet auf die Integration von alleinerziehenden von Wohnungslosigkeit betroffenen Müttern und ihren Kindern aus EU- und Drittstaaten hin. Um diese vulnerable Zielgruppe nachhaltig zu unterstützen, wird bei ihren spezifischen Bedarfen angesetzt. Das Projekt besteht aus einer Reihe von Maßnahmenpaketen, welche die psychosoziale Gesundheit – die individuelle Vorbedingungen für Integration - stärken: 1. Erhöhung der Selbstwirksamkeitserwartung, 2. Ausbau des sozialen Netzwerkes und 3. Psychische Stabilisierung der Mütter und Kinder. Dazu gibt es eine Komponente zur Gesundheitskompetenz in Österreich. In allen Projektelementen sind Maßnahmen zu Orientierung in österreichischen Strukturen eingearbeitet, sowie zur Erarbeitung und Reflexion eigener, österreichischer und integrierter kultureller Konzepte und Werte.</t>
  </si>
  <si>
    <t>Wohnen im Dialog - Interkulturelle Konfliktbegleitung und Gemeinwesenarbeit in Oberösterreich ist ein Angebot mit aufsuchender Sozialarbeit im direkten Wohn- und Lebensumfeld der Menschen. Auf Basis von interkulturellem Konfliktmanagement und Gemeinwesenarbeit fungiert WiD als operative Schnittstelle zwischen Kommunen, Bauvereinigungen, und Bewohner*innen. Das multiprofessionelle Team arbeitet nachhaltig für eine Verbesserung des Zusammenlebens in den Wohngebieten. Maßnahmen werden bedarfs- und wirkungsorientiert umgesetzt. Ob professionelle Konfliktbegleitung, Begegnungsaktionen, Feste, Einzugsbegleitung für Neuzugezogene, Multiplikator*innenarbeit, Freiwilligen- und Ehrenamtsbegleitung, wird vor Ort entschieden. Ziel ist dabei immer, gemeinsam mit den Bewohner*innen Schritte zur Verbesserung des Zusammenlebens umzusetzen, um so langfristig die Lebensqualität zu steigern.</t>
  </si>
  <si>
    <t>GIB - Gesundheit, Integration, Bildung</t>
  </si>
  <si>
    <t>Das Projekt richtet sich an die Zielgruppe zugewanderter Frauen und Mädchen ab 14 Jahren mit kulturellen, psychosozialen und gesundheitlichen Barrieren bei der Integration in den Arbeitsmarkt und in die Gesellschaft. 
Oberstes Ziel ist die Stärkung der Selbsterhaltungsfähigkeit von v. a. asylberechtigten und subsidiär schutzberechtigten Frauen, um eine rasche Teilnahme am Arbeitsmarkt und Wirtschaftsleben zu ermöglichen. 
Um dies zu erreichen, zielen die Projektangebote auf die Stärkung:
- des Gesundheitsbewusstseins, 
. der Gesundheitskompetenz,
- der Aneignung von Basiswissen für weiterführende Gesundheitsberufe,
- sowie der Gesundheitsförderung im Sinne der Entwicklung eines gesunden Lebensstils und einer gesunden Psyche.
Aufgrund des großen Bedarfs an so einem Angebot, soll das Projekt heuer erstmalig nicht nur in Wiener Neustadt, sondern als Pilot auch in Baden stattfinden.</t>
  </si>
  <si>
    <t>Milli 2019 &amp; 2020 - Migrantinnen leben und lernen integriert</t>
  </si>
  <si>
    <t>Milli 2019 unterstützt 40 nicht berufstätige Frauen und Frauen mit kleinen Kindern mit geringen Deutschkenntnissen beim Spracherwerb und bei den ersten Schritten in den Arbeitsmarkt durch ein sehr niederschwelliges Angebot in 4 OÖ Regionen
Der Fokus von Milli 2019 liegt auf Förderung wirtschaftlicher und gesellschaftlicher Teilhabe der teilnehmenden Frauen durch Erweiterung der Sprachkenntnisse durch ein modulares Sprachlernangebot. Gekoppelt wird der Deutschspracherwerb mit einer intensiven Auseinandersetzung mit der österreichischen Aufnahmegesellschaft und Beratung insbesondere zum Thema Bildung und Beruf. Da gelungene gesellschaftliche und wirtschaftliche Integration mit einer Auseinandersetzung mit dem österreichischen Arbeitsmarkt in engem Zusammenhang steht, wird diese Auseinandersetzung beim Spracherwerb als ein wesentlicher inhaltlicher Fokus gewählt.</t>
  </si>
  <si>
    <t>Studierende mit Migrationshintergrund oder Fluchtbiographie besuchen als Mentor/innen einmal pro Woche eine Schulklasse. In Absprache mit der Lehrperson werden die Mentor/innen begleitend eingesetzt: Sie setzen sich intensiv mit den Kindern auseinander, unterstützen beim Lernen sowie bei sprachlichen Schwierigkeiten und verhelfen ihnen damit zu besseren schulischen Leistungen. Darüber hinaus sind sie Bezugs- sowie Ansprechpersonen und Rollenvorbilder, weil sie vermitteln, dass eine positive Bildungslaufbahn wertvoll ist. Aufgrund ihrer eigenen Erfahrungen können sie gerade Schüler/innen mit Migrations- und Fluchthintergrund besonders gut unterstützen und deren Selbstbewusstsein stärken. Auch in der Elternarbeit können die Mentor/innen eingesetzt werden. 2019 werden circa 35 Mentor/innen an 25 Schulen in Wien und St. Pölten tätig sein.</t>
  </si>
  <si>
    <t>HEROES® arbeitet präventiv mit jungen Männern aus ehrkulturellen Milieus, die sich für ein gleichberechtigtes Zusammenleben der Geschlechter in der Steiermark einsetzen. Ziel ist ein partnerschaftliches, gleichstellungsorientiertes &amp; gewaltfreies Geschlechter &amp; Generationenverhältnis auf Basis der Menschenrechte. Mittels theaterpädagogischen Methoden setzten sich Burschen mit patriarchalen Geschlechterverhältnissen &amp; Ehrenvorstellungen auseinander. Dieser Reflexions- &amp; Selbsterfahrungsprozess wird von 2 Gruppenleitern, den großen Brüdern, sozialpädagogisch begleitet. Nach der intensiven Trainingsphase gestalten die jungen Männer als HEROES selbst Peer-Workshops für Jugendliche zu den Themen "Ehre", Menschenrechte, Gewaltfreiheit, Identität &amp; Geschlechterrollen.Das beantragte Projekt dient der Sicherung der bestehenden 2 Heroes-Gruppen sowie dem Aufbau einer 3. Gruppe von Multiplikatoren.</t>
  </si>
  <si>
    <t>ST, V</t>
  </si>
  <si>
    <t>MigrantInnen für Gesundheit</t>
  </si>
  <si>
    <t>Sozioökonomisch deprivierte Menschen sind oft bezüglich ihres Gesundheitsbedarfs und der Möglichkeiten gesundheitlicher Versorgung nicht ausreichend informiert; MigrantInnen sind besonders häufig davon betroffen. Diesem Umstand will das Projekt MigrantInnen für Gesundheit (MfG) entgegenwirken, indem geschulte GesundheitslotsInnen andere MigrantInnen durch das österreichische Gesundheitssystem lotsen und ihnen zu ausgesuchten Themen Informationen vermitteln. MfG baut auf den Erfahrungen der Volkshilfe Wien mit den Projekten „MiMi – interkulturelle GesundheitslotsInnen“ und „MigrantInnen für Gesundheit (2018)“ auf. 2019 wird das Augenmerk u.a. auf die Weiterentwicklung des Projekts gelegt, eine Schulung zu Frauengesundheit entwickelt, das neue Curriculum fertiggestellt und der erste MfG-Lehrgang – nur für Frauen – durchgeführt.</t>
  </si>
  <si>
    <t>UniClub 2020 - Bildung und Integration für Jugendliche mit Migrationserfahrung und jugendliche Asylberechtigte</t>
  </si>
  <si>
    <t>Zwangsheirat bildet seit Langem einen inhaltlichen Schwerpunkt vom Verein Orient Express. Mit der umfangreichen Expertise in der Beratung, Begleitung und Betreuung von betroffenen Mädchen und jungen Frauen machte Orient Express als erste Organisation Österreichs diesen Form der geschlechtsspezifischen Gewalt zum Thema. Der Verein ist mittlerweile die erste Anlaufstelle für Betroffene und konnte seit Initiierung der bundesweiten Koordinationsstelle gegen Verschleppung und Zwangsheirat im Jahre 2017 gute Erfolge erzielen. Der Handlungsbedarf in diesem Bereich ist jedoch nach wie vor groß und erfordert einen Ansatz auf verschiedenen Ebenen. Somit zielt dieses Projekt auch auf Multiplikator_innen als weitere Zielgruppe ab: Beamt_innen des öffentlichen Dienstes, Mitarbeiter_innen in Jugendeinrichtungen, Sozialarbeiter_innen etc., mit denen Trainings geplant und umgesetzt werden.</t>
  </si>
  <si>
    <t>W, K, NÖ, OÖ, S, T, V</t>
  </si>
  <si>
    <t>LernBars Steiermark sind ein kostenloses, freiwilliges außerschulisches Lernangebot in Jugendzentren für 12-21jährige.Angeboten wird:fächerspezifische Lernunterstützung, Unterstützung beim Erwerb der Bildungssprache Deutsch; Hilfestellung zum Erlangen der erforderl Sprach-und Lernkompetenz; Steigerung d Leistungsverhaltens u d Motivation; Erleichterung der Sozialisations-u Integrationsprozesse; LernBars stellen einen wichtigen Beitrag zum Durchbrechen d sozialen Vererbung dar.LernBars stellen eine konkrete Maßnahme im Bildungssystem dar u tragen zur verstärkten Partizipation v MigrantInnen an Bildung bei u gelten als Prävention gg Drop outs, als Chance für NEETS u Quereinsteiger.Im Sommer besteht das Angebot des Intensiv-Lernens f Nachprüfungen u Bildungssprache a d Standorten</t>
  </si>
  <si>
    <t>Das Projekt zielt darauf ab, die psychische Gesundheit von Menschen, die in Österreich Asyl oder subsidären Schutz erhalten haben, zu fördern und posttraumatische Belastungen zu reduzieren. Damit schafft es - mit verbesserter psychosozialer Gesundheit und Gesundheitkompetenz - eine wesentliche Voraussetzung für Bildung, Integration und ein gutes Leben in Österreich. 
Das Projektkonzept ist niederschwellig, kultursensibel und setzt auf (international) bewährte Strategien zur  Stärkung emotionaler Kompetenzen, Ressourcen und der Selbstwirksamkeit von Betroffenen.  In Österreich ist dieser Zugang neu. Geschulte muttersprachlicher TrainerInnen bringen die notwendige Sprach- und Kulturkompetenz und werden mit fachlicher Expertise begleitet.  Durch die Arbeit in Gruppen erreicht das Projekt eine hohe Zahl Betroffener und erzielt durch Einbindung des sozialen Umfeldes nachhaltige Wirkung.</t>
  </si>
  <si>
    <t>W, NÖ, OÖ, ST</t>
  </si>
  <si>
    <t>Das Projekt „Frau Gewalt Ehre“ der Caritas-Beratungsstelle DIVAN ermöglicht eine frauenspezifische Beratung und Begleitung für Mädchen und Frauen mit Flucht- oder Migrationshintergrund, die aufgrund ihrer aktuellen Lebenssituation besonderen Belastungen ausgesetzt sind und Schutz vor „Gewalt im Namen der Ehre“ oder „häuslicher Gewalt“ brauchen. Neben der direkten Kriseninterventions- und psychosozialen und juristischen Beratungsarbeit bietet die Caritas-Beratungsstelle DIVAN auch Veranstaltungen, ExpertInnencoachings, Workshops mit Mädchen, jungen Frauen und Müttern, sowie Workshops mit MultiplikatorInnen aus den Bereichen Justiz, Sicherheit, Soziales, Bildung, Gesundheit und Kinder-/Jugendarbeit. Die Workshops mit MultiplikatorInnen beinhalten Informationen und eine gemeinsamen Entwicklung von Leitfäden und Handlungsstrategien zum Themenkomplex „Gewalt im Namen der Ehre“.</t>
  </si>
  <si>
    <t>Die Caritas Lerncafés sind ein kostenloses Lern- &amp; Nachmittagsbetreuungsangebot für PflichtschülerInnen mit/ohne Migrationshintergrund. Hauptaufgaben sind die gezielte Bearbeitung schulischer Defizite, Stärkung der Lesekompetenz und der Deutschkenntnisse (die Deutschförderung wird als Querschnittsmaterie über alle Aktivitäten hinweg ausgeübt), Förderung der Lese- und Sprachkompetenz sowie Begleitung zu einem positiven Pflichtschulabschluss und Befähigung, eine weiterführende Schule oder Lehre zu absolvieren. Pädagogisch wertvolles Spiel fördert die sozialen Kompetenzen und wichtige Werte des Zusammenlebens werden vermittelt. Gezielte Freizeitaktivitäten eröffnen Möglichkeiten zur Teilhabe und das Miteinander wird über die verschiedenen Kulturen hinweg aktiv gelebt. Die Eltern werden zu wichtigen Themen informiert und in ihrer Rolle als ExpertInnen für ihre Kinder gestärkt.</t>
  </si>
  <si>
    <t>Ich schaff's 2019 &amp; 2020 - Intensivförderung für Kinder der 3. und 4. Schulstufe</t>
  </si>
  <si>
    <t>Die gGmbH arbeitet im Bereich der Bildungs- und Arbeitsmarktintegration mobil, präventiv, intervenierend mit der Zielgruppe Kinder/Jugendl./junge Erwachsene/Mädchen/Frauen/Schulabbruchsgefährdete/Neets/Dropouts/QuereinsteigerInnen/UMF/anerkannte Flüchtlinge, von 10 bis 24 Jahren, mit deren Eltern, an Schulen, mit Unternehmen, in migrant. Com. gegen Schul-, Lehr- und Ausbildungsabbruch, setzt Fördermaßnahmen zur Erhöhung der Bildungschancen, Verlängerung der Bildungskarriere für einen gelungenen Bildungsabschluss, Einstieg in die Erwerbstätigkeit, Teilhabe an der Gesellschaft
mit den sich ergänzenden Modulen chance BMVB - Berufs-, und Bildungsorientierung MobilVertiefendBegleitend, chanceBuddy/FAIRbesserer - Peer to Peer Hilfe von Jugendlichen für Jugendliche/Lehrlinge und chanceKolleg/Sprach- Kompetenztraining für Personen mit erschwerten Rahmenbedingungen.</t>
  </si>
  <si>
    <t>"Der 2. Weg" ist ein niederschwelliges Beratungsprojekt, das die Aufgabe verfolgt, junge Menschen bei der Suche nach einer Arbeitsstelle bzw. (Aus-)Bildungsmöglichkeit zu unterstützen. Oberstes Projektziel ist die (Re-)Inklusion der jugendlichen Zielgruppe in den Arbeitsmarkt. Weiters zählt zur Zielvorstellung die Begleitung der Jugendlichen und jungen Erwachsene beim Einstieg bzw. Wiedereinstieg in das (berufliche) Ausbildungssystem. Die Erweiterung des ausbildungs- und berufsspezifischen Netzwerks, sowie die Herstellung von Zugangsmöglichkeiten zu anderen Fachstellen ist ein weiterer Teilaspekt des Projekts. Die Die Methodenvielfalt umfasst: Netzwerkarbeit, Streetwork, Community- und Gemeinwesenarbeit, Einzel- bzw. Onlineberatung und Workshops.</t>
  </si>
  <si>
    <t>NIGN ist eine präventive Maßnahme, um Jugendliche zu erreichen, die sich sonst radikalisieren könnten bzw. Jugendliche, die bereits Interesse an radikalem Gedankengut zeigen, auf die rechte Bahn zurückzubringen. NIGN arbeitet mit Vorbildern, sogenannten „Role-Models“ mit Migrationsgeschichte. Die Role Models sind für die Jugendlichen ein gutes Beispiel, da sie ihnen zeigen, dass man in Österreich auch mit Migrationsgeschichte alles erreichen kann. Themen die besprochen werden, sind, u.a.: Ablehnung von IS / Radikalem Gedankengut, Gewalt im Namen Gottes, Ablehnung von Antisemitismus Wichtigkeit von friedlichem Dialog zwischen Kulturen und Religionen, Aufbrechen von Rollenbildern,</t>
  </si>
  <si>
    <t>Das Projekt SIQ+ versteht sich als sozialpädagogisches Projekt für Kinder und Jugendliche sowie als Plattform für Sportintegration. Es setzt sich zum Ziel, das sozialintegrative Potential des Sports in seiner gesamten Bandbreite zu nützen, und somit die Integration der Zielgruppe entscheidend voranzutreiben. KlientInnen können an den regelmäßig stattfindenden Sport- und Sprachförderungs-Modulen, an Sportveranstaltungen, dem Lern- und Sportprogramm GRAgustl, an beruflichen Qualifizierungsangeboten sowie Adventuretagen und Sportfesten teilnehmen, Workshops absolvieren, ehrenamtlich mitarbeiten oder auch Mitglied in einem der SIQ+Partnervereine werden. Das Angebot von SIQ+ ist aufbauend und interdisziplinär und in vier Kernbereiche untergliedert:  Sport+Teilnahme, + Teilhabe, + Bildung und Öffentlichkeitsarbeit.</t>
  </si>
  <si>
    <t>migra ist ein Integrationsprojekt für Frauen mit Migrationsbiographien. Es stärkt ihre Handlungskompetenzen mit dem Ziel, einer aktiven gesellschaftlichen Teilnahme. Die einzelnen Projektmodule ergänzen sich untereinander und tragen gemeinsam zur Zielerreichung bei. 2019/2020 sollen bereits bewährte Module fortgesetzt werden: Frauentandems (Spracherwerb, Networking, Interkulturelle Kompetenz), Offene Frauengruppen (Empowerment, Selbsthilfe, Alltagskompetenz), Psychosoziale Beratung (Gesundheit, Handlungskompetenz), frauen.netzwerk - Abschlussveranstaltung (Aktivierung, Networking, Orientierung), Innovation - 2019/2020: Offene Infotreffs für Migrantinnen (Vermittlung von System- und Orientierungswissen), Offene Frauengruppe mit erweitertem Sprachportfolio: neben Bosnisch-Kroatisch-Serbisch/Deutsch und Türkisch/Deutsch,  neu für Arabisch/Deutsch und Tschetschenisch/Deutsch.</t>
  </si>
  <si>
    <t>HIPPY, Elternbildungsprogramm für bildungsunerfahrene Familien mit Migrationshintergrund. Ziel der aufsuchenden Arbeit: Stärkung des Empowerments von Mütter/Eltern.Innerfamiliäre Bildungsaktivitäten versetzen sie in die Lage, ihren Kindern positive Bildungsverläufe zu ermöglichen. Mütter/Eltern sind Haupakteurinnen.Durch die aufsuchende Methodik können auch schwer erreichbare Familien nachhaltig begleitet werden.Jede Familie wird wöchentlich zu Hause von einer zielgruppennahen, geschulten Hausbesucherin aufgesucht.Sie führt in das HIPPY Übungsmaterial ein, welches die Mutter eigenständig mit ihrem Kind durcharbeitet.Deutschsprachiges Material und sprachförderliche Aktivitäten verbessern die Deutschkenntnisse. Im Idealfall erstreckt sich die Begleitung von 3 Jahren bis zum Schuleintritt.Gruppentreffen/ Exkursionen vermitteln bildungs- und inklusionsrelevante Informationen, Kultur/Werte.</t>
  </si>
  <si>
    <t>Teach For Austria Sommerwochen</t>
  </si>
  <si>
    <t>Bei den Teach For Austria (TFA)-Sommerwochen 2019 arbeiten angehende Teach For Austria-LehrerInnen (=Fellows) für 2 Wochen in den Sommerferien mit SchülerInnen, von denen viele Migrationshintergrund haben. Die Kinder (meist zw. 10 und 15 Jahren) erhalten dadurch eine - ansonsten oft fehlende - spezielle Betreuung und Förderung auch in den Ferien, durch die sie unter anderem ihre Deutschkenntnisse ausbauen/festigen können. Ein großer Teil der teilnehmenden SchülerInnen hat in den Hauptfächern (meist auch in Deutsch) die Schulnoten „Nicht Genügend“, „Genügend“ oder „Ohne Beurteilung“. Die Teach For Austria-LehrerInnen werden darüber hinaus durch die Sommerwochen auf die Arbeit als vollwertige Lehrkräfte in Neuen Mittelschulen und Polytechnischen Schulen im urbanen Bereich vorbereitet. Die TFA-Zielschulen werden in der Regel mehrheitlich von Kindern mit Migrationshintergrund besucht.</t>
  </si>
  <si>
    <t>Das Projekt setzt sich aus Sprachkursen sowie Einzelcoachings inkl. Zusatzmaßnahmen für Frauen aus der ZG zusammen. Der Bedarf hat sich aus der Arbeit in der Migrantinnenberatung ergeben. Für Asyl- und subsidiär Schutzberechtigte werden nur Einzelcoaching bzw. bei Bedarf B1-Sprachkurse angeboten. Wie bereits im Jahr 2019 soll auch 2020 vor allem Augenmerk auf die ressourcenorientierte Förderung der Frauen gelegt werden. Essentiell ist nach wie vor das Erlernen der deutschen Sprache, auch für Selbstwertstärkung und Selbstsicherheit der Frauen. Dies kommt indirekt der gesamten Familie zugute. Die Frauen werden ermutigt, aktiv an ihrer Integration zu arbeiten. Dadurch und durch die Teilhabe am gesellschaftlichen Leben sind die Frauen auch besser für den Arbeitsmarkt vermittelbar.</t>
  </si>
  <si>
    <t>Interkulturelle Frauencafés Steiermark und Burgenland – Information, Kommunikation, Kulturaustausch</t>
  </si>
  <si>
    <t>Übergeordnetes Ziel des Projekts „Interkulturelle Frauencafés Steiermark und Burgenland“ ist der Abbau von kulturellen und sprachlichen Barrieren und die Unterstützung des Integrationsprozesses von Frauen mit Migrationshintergrund in steirische und burgenländische Gemeinden. 
Zur Zielerreichung werden in jeder Gemeinde „Interkulturelle Frauencafès“ (thematische Workshops) durchgeführt, die sich mit Themen aus den Bereichen Kultur&amp;Werte, Gesundheit, Bildung und Soziales beschäftigen. Neben den fachlichen Inputs von externen Referentinnen bieten die Workshops ausreichend Möglichkeit zum Austausch zwischen den Frauen. Die Workshops sind dementsprechend interaktiv geplant. Weitere wichtige Bausteine dazu sind die Vernetzung mit lokalen Angeboten sowie die kontinuierliche Evaluation der Aktivitäten.</t>
  </si>
  <si>
    <t>Übergeordnete Ziele: Bildung; Prävention (sozial, psychisch, physisch); Integration (gesellschaftlich, Arbeitsintegration)
Schulkonzept: 2 Gruppen zu je 20 TN; Dauer je 26 Wochen (13 Wochen zu je 20EH, 13 Wochen zu je 30EH, 2 Wochen Praktikum)
Das Projekt richtet sich an Asylberechtigte und subsidiär Schutzberechtigte im Alter von 18 - 29 Jahren aus der Steiermark und bietet Vermittlung von Basisbildung, um die Arbeitsmarktinetragtion der ZG langfristig zu verbessern. "Das Projekt OMEGA-Schule zielt auf die Vermittlung einer Basisbildung: Deutsch (Niveau B1), Mathematik und Englisch, politische Bildung/Geographie sowie clearings/Berufsorientierung und Vermittlung der Europäischen Werte und Kulturstandards für die Zielgruppe junge Erwachsene mit Fluchthintergrund ab. Das Schulkonzept wird für zwei Gruppen pro Jahr zu je 20 Teilnehmenden für die Dauer von je 26 Wochen und einem wöchentlichen Stundenausmaß von 20 – 30 Stunden angeboten und umgesetzt zzgl. Praktikum umgesetzt wird. Ein/e umfangreiche/s Beratung/Coaching ist begleitend notwendig.Durch die finanzielle Unterstützung in Form einer Aus- und Weiterbildungsbeihilfe durch das AMS können sich die TN voll auf die OMEGA-SCHULE konzentrieren."</t>
  </si>
  <si>
    <t>Das Frauenzentrum OLYMPE ist eine psychosoziale  Anlauf- und Beratungsstelle für Frauen mit Migrations- oder Fluchterfahrung. 
Die Angebote bestehen aus drei Grundsäulen. Die erste Säule umfasst den Beratungsinhalt   zu den Themen: Finanzielles, Soziales, Psychisches, Gesundheit, Rechtliches (Scheidung, Obsorge, Schulden, Aufenthaltsstatus, StaatsbürgerInnenschaft,..) und  familiäre Belange. 
Die zweite Säule bildet das Empowerment. In diesem Bereich werden Vorträge, Workshops, Kurse, Seminare, kulturelle und frauenspezifische Veranstaltungen sowie interkulturelle Frauentreffs zur gegenseitigen Stärkung, Vernetzung und dem Erfahrungsaustausch, angeboten.  Die dritte Säule bildet das Gerüst der Bildungsberatung</t>
  </si>
  <si>
    <t>Das Projekt fördert die Gesundheitskompetenz von Menschen mit Migrantionserfahrung &amp; stärkt die interkulturelle Kompetenz von MitarbeiterInnen des Gesundheitswesens. Durch aufsuchende Outreach-Arbeit im Lebensumfeld der für Gesundheitsinfos schwerer zu erreichenden MigrantInnen werden Kontakte aufgebaut. Outreach-ArbeiterInnen mit Migrationerfahrung arbeiten eng mit Community-LeaderInnen zusammen, es werden relevante Gesundheitsinfos in Muttersprache an die Menschen weitergegeben und Exkursionen zu Gesundheitseinrichtungen organisiert - diese Einrichtungen sind wichtige KooperationsparternInnen. Durch Begleitungen zu diesen und durch Kulturdolmetsch wird die interkulturelle Kompetenz von MitarbeiterInnen gestärkt. MigrantInnen werden über berufliche Perspektiven im Gesundheitswesen beraten. Seit 2016 ist Verein IKEMBA mit „Health literacy for everyone“ Mitglied der ÖPGK.</t>
  </si>
  <si>
    <t>Der Verein unterstützt seit der Gründung mit diversen sozialen Aktivitäten die Integration türkischstämmiger Mitbürger in die österreichische Gesellschaft. Viele Veranstaltungen wurden zusammen oder mit Unterstützung von anderen Vereinen bzw. österreichischen Behörden durchgeführt. Dazu gehören viele Kultur-, Kunst-, Bildungs-, Sport- und Beratungsprojekte. Immer wieder suchen wir den Dialog zu Wiener und Wienerinnen, denn wir denken, dass ein harmonisches Zusammmenleben nur funktionieren kann, wenn beide Seite anfangen, miteinander zu reden. Der Wirkungsbereich unseres Projektes ist in Wien.</t>
  </si>
  <si>
    <t>Ziel des Projekts ist es, eine potentiellen Radikalisierung von Jugendlichen vorzubeugen. Daher werden in Wien, Linz, Wels und Graz jeweils Workshopreihen mit tschetschenischen Jugendlichen durchgeführt, in denen die jungen Tschetschen/innen mit interkulturellen Mediator/innen und erfahrenen Jugendarbeiter/innen in Dialog treten, um sich mit ihren Wurzeln auseinandersetzen und ihre interkulturellen Werte als Tschetschen/innen in Österreich, sowohl im Einklang mit ihrer Herkunft, als auch mit österreichischen Grundwerten, reflektieren. Zusätzlich werden interkulturelle Multiplikator/innen ausgebildet, welche sich in der Community besonders engagieren, eigene Workshopkonzepte erarbeiten und durchführen sollen. Weiters werden regionale Netzwerke gebildet bzw. gestärkt, die einer breiten Vernetzung dienen, da gerade die tschetschenische Community eine schwer greifbare Gruppe ist.</t>
  </si>
  <si>
    <t>Das Projekt bietet zielgruppenorientierte psychologische Behandlung sowie psychosoziale/gesundheitspsychologische Beratung für zugewanderte, asylberechtigte und subsidiär Schutzberechtigte Frauen/Mädchen. Projektziele: Verbesserung der psychischen Symptome/Beschwerden, Erarbeitung von Bewältigungsstrategien im Umgang mit psychischen Erkrankungen, Unterstützung in Krisensituationen, Minimierung der Risikofaktoren für Entstehung/Chronifizierung von psychischen Erkrankungen, Erarbeitung von Handlungskompetenz, Steigerung sozialer Funktionsfähigkeit und Schaffung von Voraussetzungen für aktive gesellschaftliche Teilnahme und nachhaltige Integration. Projektmaßnahmen: klinisch-psychologische Diagnostik, telefonische/persönliche psychologische Beratung/Behandlung, gesundheitspsychologische Beratung; Maßnahmen zur Förderung von Health Literacy in Einzelbetreuung und Informationsveranstaltungen.</t>
  </si>
  <si>
    <t>Das Projekt Bildungswege zielt auf die nachhaltige Integration junger Flüchtlinge in den Arbeitsmarkt ab. Dies soll durch die Vermittlung in Lehrstellen erreicht werden; dafür benötigt es spezifische Maßnahmen wie die Erarbeitung realistischer Berufsziele, schulische Nachqualifizierung sowie auch psycho-soziale Betreuung und die Bearbeitung von alltagsrelevanten Themen wie Werte, Umgang mit Geld etc.. lobby.16 betreut die ProjektteilnehmerInnen bis zum Ende der Ausbildung. Zusätzlich zu diesen Projektteilen wird eng mit Unternehmen kooperiert; so kann die Vorbereitung auf und Vermittlung in Lehrstellen nahe am wirtschaftlichen Bedarf orientiert stattfinden. Dementsprechend und aufgrund der aktuellen wirtschaftlichen Lage ist für 2019 - neben der Weiterführung bestehender Kooperationen in Wien (Umgebung) - der Aufbau neuer Partnerschaften mit Unternehmen v. a. in Oberösterreich geplant.</t>
  </si>
  <si>
    <t>„Alpha-Frauen“ ist ein Sozialprojekt für zugewanderte Frauen u. deren Kinder. Aufgrund ihrer familiären Situation ist es  für sie  oft schwierig oder unmöglich  an „regulären Kursen“ teilzunehmen.  In den integrativen Deutschkursen sind Kursunterbrechungen und Wiedereinstieg erlaubt. Die  Themenschwerpunkte behandeln die aktuellen Bedürfnisse der Frauen , parallel dazu erhalten die Kinder  professionelle Betreuung  und Vorbereitung  auf den Kindergarten.  Das Projekt bietet Orientierung und  fördert die Erweiterung der Sprachkenntnisse,  die Kontaktpflege  außerhalb der Familie, sowie den Aufbau von kl. Selbsthilfe-Netzwerken.  Zur Entlastung sozial schwacher  Eltern erhalten  SchülerInnen   Lernbetreuung u. Unterstützung bei Prüfungsvorbereitungen.  
• Sprachkurse : Alpha, A1, A2, Konversation
• Sozialbetreuung für Frauen
• Kinderbetreuung
• Lernbetreuung
• Exkursionen, Workshops</t>
  </si>
  <si>
    <t>Die "Beratungsstelle für Migrantinnen und Migranten" ist  Teil des sozialen Netzwerkes in der Region.  Als zentrale Anlaufstelle für  Problemstellungen und Fragen,  die sich für MigrantInnen im Zusammenhang mit der Integration in die österreichische Gesellschaft ergeben, wird sie sowohl von Privatpersonen als auch von öffentlichen Institutionen und  NGOs kontaktiert. Durch das Projekt werden MultiplikatorInnen gefördert und die Bildung von Netzwerken unterstützt.
Das Maßnahmenpaket  umfasst:
•  Information, Beratung; Unterstützung bei Behördenangelegenheiten, Schriftverkehr und  Begleitung in besonderen Lebenslagen. 
• Dolmetsch-Pool
• Club der Begegnung</t>
  </si>
  <si>
    <t>K, W, NÖ, ÖO, S, ST, T</t>
  </si>
  <si>
    <t>Das Projekt verfolgt einen regionalen und settingübergreifenden Ansatz und setzt sich aus mehreren Modulen zusammen, um den Erwerb von Gesundheitsbewusstsein und Lebens-/Gesundheitskompetenz bei benachteiligten Jugendlichen mit MH zu erreichen. Die aufeinander abgestimmten niederschwelligen Maßnahmenpakete wie Workshops (u.a. im geschlechtshomogenen Setting),  Lerncafé und aufsuchende soziale Angebote im öffentlichen Raum erreichen dabei auch „hard to reach“ Jugendliche und ihre Eltern. Durch die Stabilisierung der psychosozialen Gesundheit und sozialen Situation sowie den Erwerb von Lebens- und Sprachkompetenzen wirkt das Projekt auch nachhaltig auf eine verbesserte Chance der Integration in den Arbeitsmarkt- u. Bildungssektor hin. Soziale Gruppenangebote stärken die Zugehörigkeit und das Heimatgefühl der Jugendlichen und bearbeiten Konflikte im Sozialraum.</t>
  </si>
  <si>
    <t>Sozialmedizinische Beratung für asylberechtigte und subsidiär schutzberechtigte Frauen und ihre Angehörigen</t>
  </si>
  <si>
    <t>Frauen mit Flucht- oder Migrationshintergrund, die selbst unter einer Erkrankung/Behinderung leiden oder Angehörige betreuen, haben besondere Nachteile bei der Integration (Sprache, Arbeit, psych. Situation, etc.). Das interdisziplinäre Team der „Sozialmedizinischen Beratung“ (Sozialberater*innen, DGKP, Ärzt*innen, Klinische Psycholog*in, Dolmetscher*innen) unterstützt diese Personengruppe durch primäre, sekundäre und tertiäre Gesundheitsberatung und -interventionen, stärkt Betroffene durch nachhaltige sozial(-rechtlichen) Inklusion/Integration und vermittelt Gesundheitskompetenz. Die Beratungsstelle verwirklicht damit wichtige Ziele der aktuellen Gesundheitspolitik gegen soziale Ungleichheit und für gesundheitliche Chancengerechtigkeit. Aufgrund der positiven Erfahrungen der laufenden Projektperiode wird das Angebot auch auf Frauen mit Migrationshintergrund ausgedehnt.</t>
  </si>
  <si>
    <t>Der gemeinnützige Verein immo-humana widmet sich seit 21 Jahren der wichtigen Aufgabe, alleinerziehenden Müttern und ihren Kindern bzw. alleinstehenden schwangeren Frauen Wohnungen zu vermitteln und sie vor Obdachlosgkeit zu bewahren. Aufgrund der stark eingeschränkten finanziellen Möglichkeiten sind vor allem Mütter, die asylberechtigt sind, oder Mütter mit Migrationshintergrund von der drohenden Obdachlosigkeit betroffen. Nach der telefonischen Erstabklärung erfolgt ein Beratungsgespräch, nach Prüfung der Situation und der Unterlagen versucht immo-humana, eine Wohnung zu finden. Ein fester Wohnsitz hilft, die oft sehr schweren Schicksalsschläge zu verarbeiten und ist Ausgangspunkt für die Integration in die Mehrheitsgesellschaft.</t>
  </si>
  <si>
    <t>HIPPY &amp; SMILE - Fit für die Schule und das Leben in Österreich ist ein aufsuchendes Modellprojekt ausgehend vom bewährten Hausbesuchsprogramm HIPPY-Home Instruction for Parents of Preschool Youngsters und SMILE-Spracherwerb mit Lernerfolg. Eltern stärken die Beziehung zu ihren Kindern und lernen sie beim Erweb der deutschen Sprache und beim Eintritt in Kindergarten bzw. Schule zu unterstützen. Im Schwerpunkt Schule wird die Zusammenarbeit mit PädagogInnen verbessert. Dabei lernen die Eltern selbst die wichtigsten Voraussetzungen um in Österreich gut integriert zu leben: die deutsche Sprache, Werte, Kultur, Familienleben, Gesundheits-, Bildungs- und Berufssysteme, Rechte und Pflichten in Österreich. Durch Ausbildungen in den Bereichen Elternbildung und Kommunikation können einzelne im Katholischen Bildungswerk mitarbeiten. Dadurch verbessern sich ihre Chancen auf dem Arbeitsmarkt.</t>
  </si>
  <si>
    <t>Beratung und Unterstützung für schutzberechtigte Frauen</t>
  </si>
  <si>
    <t>Frauen kommt eine zentrale Rolle in der Integration zu, da sie ihr Umfeld nachhaltig beeinflussen. Frauen aus patriarchalen Strukturen und Alleinerzieherinnen sind jedoch mit herkömmlichen Integrationsmaßnahmen kaum zu erreichen. Eine Beratungsstelle von Frauen für Frauen schafft einen Raum, in dem auch marginalisierte Frauen Unterstützung finden. Mit Hilfe eines rein weiblichen Teams und kulturellen Vermittlerinnen wird eine vertrauensvolle Atmosphäre geschaffen, in der auch sensible Themen wie Familienplanung, Gewalt und FGM bearbeitet werden können. Mit Einzelfallhilfe und Gruppenangeboten werden Frauen über ihre Rechte aufgeklärt und bei deren Durchsetzung unterstützt. Patriarchale Muster in ihrer Lebenswelt werden analysiert und Frauen dazu ermächtigt, diesen entgegenzutreten. Empowerment und Partizipation führen Frauen zu einem selbstbestimmten Leben in Österreich.</t>
  </si>
  <si>
    <t>Das Projekt beinhaltet drei Handlungsfelder (im Weiteren Module) und erfüllt als ein Teil unseres Gesamtkonzeptes („Grundversorgung - Bildung - Wirtschaft“) die Grundvoraussetzungen sowohl für ein gelingendes Miteinander als auch für den Einstieg der minderjährigen unbegleiteten Flüchtlinge in weiterführende Bildung und Arbeit. Das Projekt trägt zur Akzeptanz bei der Bevölkerung bei, unter-stützt die Stabilität der Jugendlichen, sowie ihre Vernetzung in die Gesellschaft und ermöglicht den Zugang zu einer Lehre.</t>
  </si>
  <si>
    <t>Das Projekt "Banonda - Dialog und Integration" zielt auf die Verbesserung der Integration und des positiven Miteinanders von neu Zugewanderten und der Wohnbevölkerung in Gemeinden im ländlichen Raum im Pongau, Pinzgau und Lungau ab. Integration versteht sich als chancengleiche Teilnahme am sozialen und gesellschaftlichen Leben und soll wechselseitig (Zugezogene und autochthone Wohnbevölkerung) erfolgen. Innovativ in diesem Projekt sind die intensive regionale Vernetzungsarbeit und Bündelung lokaler und ehrenamtlicher Intiativen. Angebote und Maßnahmen im Integrationsbereich sollen attraktiv, überschaubar, punktuell, aber auch effizient und ergänzend gestaltet werden. Sie richten sich gleichermaßen an alle Bürger*innen einer Gemeinde. Durch Beratungsgespräche mit wichtigen Akteur*innen in den Projektgemeinden kann bedarfsorientiert mit Angeboten reagiert werden.</t>
  </si>
  <si>
    <t>Für schlaue Füchsefür Kinder und Jugendliche mit nicht deutscher Erstsprache</t>
  </si>
  <si>
    <t>Schülerinnen mit nichtdeutscher Muttersprache und entsprechendem Förderbedarf erhalten nach Beendigung des regulären Schultages an Volksschulen und NMS in Linz, Traun und Leonding eine zusätzliche Deutschstunde pro Woche.Schülerinnen können bei uns regelmäßig Deutschkurse besuchen, um ihre Sprachkenntnisse zu verbessern. Diese werden auch bei der Erledigung ihrer Hausübungen unterstützt, da mangelnde Deutschkenntnisse sehr oft das Verstehen der Unterrichtsinhalte erschweren. Für SchülerInnen, die in den Sommerferien neu nach Österreich kommen, bieten wir einen Intensivkurs, um den Einstieg in das Schulsystem zu erleichtern. Für Jugendliche, die aus der Bildungspflicht herausfallen jedoch zu wenig Deutschkenntnisse für berufsqualifizierende Maßnahmen besitzen, bieten wir spezielle Deutschkurse an.</t>
  </si>
  <si>
    <t>ComUnitySpirit - Religionen und Kulturen im Dialog 2020</t>
  </si>
  <si>
    <t>Im Afro-Asiatischen Institut Graz angesiedelt, nimmt das Projekt “ComUnitySpirit – Religionen und Kulturen im Dialog” (CUS) die gemeinschaftsbildende Kraft, die in den in Österreich vertretenen Religionen und Kulturen angelegt ist, in den Blick und regt auf kommunaler Ebene in Graz und der Steiermark den interreligiösen und interkulturellen Dialog auf Augenhöhe unter Einbeziehung der Mehr- und Minderheiten an. Das grundlegende Ziel ist die Förderung des friedlichen, gemeinschaftlichen Zusammenlebens in einer diverser werdenden Gesellschaft. Die Wege dorthin sind vielfältig, doch fußen alle auf Begegnung und Austausch, dem Abbau von Vorurteilen, dem Aufbau von Vertrauen und der Umsetzung gemeinsamer Anliegen. Das lebendige Netzwerk, die Dialogbereitschaft und das sichtbare Engagement werden seit Beginn des Projekts 2013 von Bund, Stadt Graz sowie der Diözese-Graz Seckau unterstützt.</t>
  </si>
  <si>
    <t>1) Finanzierung der zentral durchgeführten Bildungsseminare, an denen alle START-StipendiatInnen aus ganz Österreich teilnehmen. Hier werden Sachkosten in Form von Trainerhonoraren abgerechnet.
2) Finanzierung der Organisation und Durchführung von allen österreichweit bzw. bundesländerübergreifenden Veranstaltungen im Rahmen des START-Programms durch die Zurverfügungstellung von Personalressourcen (15 Wochenstunden ) 
3) Finanzierung des Bundesländerausbaus (Personalressourcen 5 Wochenstunden und Sachkosten in Form von Reisekosten)
4) Finanzierung des START-Österreich Alumninetzwerks (Sachkosten für Weiterbildung und integrative Workshops)</t>
  </si>
  <si>
    <t>GESAMT 2020</t>
  </si>
  <si>
    <t>* Summen reagieren auf Filter und Zeilenlöschung  |  Quelle: BKA Integrationsprojekte 2020</t>
  </si>
  <si>
    <t>AMIF-Mittel 2021</t>
  </si>
  <si>
    <t>BKA-Mittel 2021</t>
  </si>
  <si>
    <t>Gesamt 2021</t>
  </si>
  <si>
    <t>Univ.-Prof. Dr. Zekirija Sejdini (Institut für Islamische Theologie und Religionspädagogik, Universität Innsbruck)</t>
  </si>
  <si>
    <t>Verein für Männer- und Geschlechterthemen Steiermark</t>
  </si>
  <si>
    <t>Verein Wohnen</t>
  </si>
  <si>
    <t>Caritas der Diözese Eisenstadt für Menschen in Not</t>
  </si>
  <si>
    <t>GESAMT 2021</t>
  </si>
  <si>
    <t>* Summen reagieren auf Filter und Zeilenlöschung  |  Quelle: BKA Integrationsprojekte 2021</t>
  </si>
  <si>
    <t>Gesamtübersicht Integrationsprojekte 2022</t>
  </si>
  <si>
    <t>AMIF-Mittel 2022</t>
  </si>
  <si>
    <t>BKA-Mittel 2022</t>
  </si>
  <si>
    <t>Gesamt 2022</t>
  </si>
  <si>
    <t>bit social - Verein zur Förderung von Bildungschancen für Benachteiligte</t>
  </si>
  <si>
    <t>pitanga - gemeinsam Vielfalt leben</t>
  </si>
  <si>
    <t>Miteinander Lernen-Birlikte Öğrenelim</t>
  </si>
  <si>
    <t>Verein STARTKLAR</t>
  </si>
  <si>
    <t>Diakonie de La Tour</t>
  </si>
  <si>
    <t>Lebenshilfen Soziale Dienste GmbH</t>
  </si>
  <si>
    <t>ibis acam gemeinnützige Bildungs GmbH</t>
  </si>
  <si>
    <t>Zwischensumme: AMIF-UKR</t>
  </si>
  <si>
    <t>Zwischensumme: NATÜ</t>
  </si>
  <si>
    <t>GESAMT 2022</t>
  </si>
  <si>
    <t>* Summen reagieren auf Filter und Zeilenlöschung  |  Quelle: BKA Integrationsprojekte 2022</t>
  </si>
  <si>
    <t>Gesamtübersicht Integrationsprojekte 2023</t>
  </si>
  <si>
    <t>AMIF-Mittel 2023</t>
  </si>
  <si>
    <t>BKA-Mittel 2023</t>
  </si>
  <si>
    <t>Gesamt 2023</t>
  </si>
  <si>
    <t>Sphinx Lingua e.U.</t>
  </si>
  <si>
    <t>Wiener Hilfswerk</t>
  </si>
  <si>
    <t>Die Kärntner Volkshochschulen GmbH</t>
  </si>
  <si>
    <t>St. Elisabeth-Stiftung der Erzdiözese Wien</t>
  </si>
  <si>
    <t>BRIOS GmbH</t>
  </si>
  <si>
    <t>wirkt. social innovation GmbH</t>
  </si>
  <si>
    <t>equalizent Schulungs- und Beratungs GmbH</t>
  </si>
  <si>
    <t>Kärntner Caritasverband für Wohlfahrtspflege und Fürsorge</t>
  </si>
  <si>
    <t>TRALALOBE Verein zur Förderung und Hilfe von Bedürftigen</t>
  </si>
  <si>
    <t>Verein PatInnen für alle</t>
  </si>
  <si>
    <t>EDUCULT - Denken und Handeln in Kultur und Bildung</t>
  </si>
  <si>
    <t>Muslimisches Forum Österreich</t>
  </si>
  <si>
    <t>erfa GmbH</t>
  </si>
  <si>
    <t>Austrian Health Academy</t>
  </si>
  <si>
    <t>GESAMT 2023</t>
  </si>
  <si>
    <t>* Summen reagieren auf Filter und Zeilenlöschung  |  Quelle: BKA Integrationsprojekte 2023</t>
  </si>
  <si>
    <t>Gesamtübersicht Integrationsprojekte 2024</t>
  </si>
  <si>
    <t>AMIF-Mittel 2024</t>
  </si>
  <si>
    <t>BKA-Mittel 2024</t>
  </si>
  <si>
    <t>Gesamt 2024</t>
  </si>
  <si>
    <t>Sindbad - Mentoring für Jugendliche Österreich</t>
  </si>
  <si>
    <t>PeriFeri-Verein zur Förderung von Beratung, Bildung und Empowerment</t>
  </si>
  <si>
    <t>SICHER LEBEN gGmbH</t>
  </si>
  <si>
    <t>uniT GmbH</t>
  </si>
  <si>
    <t>Verein zur Förderung von Arbeit und Beschäftigung (FAB)</t>
  </si>
  <si>
    <t>EqualiZ</t>
  </si>
  <si>
    <t>Familienbund Oberösterreich GmbH</t>
  </si>
  <si>
    <t>Zentrum für MigrantInnen und Migranten in Tirol (ZeMiT)</t>
  </si>
  <si>
    <t>GESAMT 2024</t>
  </si>
  <si>
    <t>* Summen reagieren auf Filter und Zeilenlöschung  |  Quelle: BKA Integrationsprojekte 2024</t>
  </si>
  <si>
    <t>Gesamtübersicht Integrationsprojekte 2025</t>
  </si>
  <si>
    <t>AMIF-Mittel 2025</t>
  </si>
  <si>
    <t>BKA-Mittel 2025</t>
  </si>
  <si>
    <t>Gesamt 2025</t>
  </si>
  <si>
    <t>NACHBARINNEN in Wien</t>
  </si>
  <si>
    <t>LebensGroß GmbH</t>
  </si>
  <si>
    <t>Tiroler Soziale Dienste GmbH</t>
  </si>
  <si>
    <t>GESAMT 2025</t>
  </si>
  <si>
    <t>* Summen reagieren auf Filter und Zeilenlöschung  |  Quelle: BKA Integrationsprojekte 2025</t>
  </si>
  <si>
    <t>Gesamtübersicht Integrationsprojekte 2026</t>
  </si>
  <si>
    <t>AMIF-Mittel 2026</t>
  </si>
  <si>
    <t>BKA-Mittel 2026</t>
  </si>
  <si>
    <t>Gesamt 2026</t>
  </si>
  <si>
    <t>Projekthomepage</t>
  </si>
  <si>
    <t>Mamas GmbH</t>
  </si>
  <si>
    <t>VSG Verein für Sozial- und Gemeinwesenprojekte</t>
  </si>
  <si>
    <t>Volkshochschule Oberösterreich gemeinnützige Bildungs-GmbH der Arbeiterkammer OÖ</t>
  </si>
  <si>
    <t>GESAMT 2026</t>
  </si>
  <si>
    <t>* Summen reagieren auf Filter und Zeilenlöschung  |  Quelle: BKA Integrationsprojekte 2026</t>
  </si>
  <si>
    <t>Jahre (Liste)</t>
  </si>
  <si>
    <t>2023, 2024, 2025, 2026</t>
  </si>
  <si>
    <t>2019, 2020, 2021, 2022, 2023, 2024</t>
  </si>
  <si>
    <t>2019, 2020, 2021, 2022, 2023, 2024, 2025</t>
  </si>
  <si>
    <t>2024, 2025, 2026</t>
  </si>
  <si>
    <t>2019, 2023, 2024, 2025, 2026</t>
  </si>
  <si>
    <t>2021, 2022, 2023, 2024, 2025, 2026</t>
  </si>
  <si>
    <t>2023, 2024</t>
  </si>
  <si>
    <t>2019, 2020, 2021, 2022, 2023</t>
  </si>
  <si>
    <t>2019, 2020, 2021, 2022, 2023, 2026</t>
  </si>
  <si>
    <t>2019, 2020, 2021, 2022, 2023, 2025, 2026</t>
  </si>
  <si>
    <t>2020, 2021, 2023, 2024, 2025, 2026</t>
  </si>
  <si>
    <t>2024, 2025</t>
  </si>
  <si>
    <t>2021, 2022, 2023, 2024, 2025</t>
  </si>
  <si>
    <t>2025, 2026</t>
  </si>
  <si>
    <t>2022, 2023, 2024</t>
  </si>
  <si>
    <t>2019, 2021, 2022, 2023, 2024, 2025</t>
  </si>
  <si>
    <t>2019, 2020</t>
  </si>
  <si>
    <t>2019, 2020, 2021</t>
  </si>
  <si>
    <t>2019, 2020, 2021, 2024, 2025</t>
  </si>
  <si>
    <t>2020, 2021</t>
  </si>
  <si>
    <t>2022, 2023</t>
  </si>
  <si>
    <t>Prüfzeile</t>
  </si>
  <si>
    <t>② Gesamtförderung (Org-Sheet SUBTOTAL)</t>
  </si>
  <si>
    <t>③ Differenz ①−② → soll überall € 0,00 sein</t>
  </si>
  <si>
    <t>Organisationen kompakt – Dachgruppen &amp; Einzelträger 2019–2026</t>
  </si>
  <si>
    <t>Organisation / Dachgruppe</t>
  </si>
  <si>
    <t>Gesamt 2019–2026</t>
  </si>
  <si>
    <t>Anz.</t>
  </si>
  <si>
    <t>BFI (Berufsförderungsinstitute)</t>
  </si>
  <si>
    <t>bit (bit schulungscenter / bit social)</t>
  </si>
  <si>
    <t>Caritas</t>
  </si>
  <si>
    <t>Diakonie</t>
  </si>
  <si>
    <t>Hilfswerk</t>
  </si>
  <si>
    <t>ibis acam</t>
  </si>
  <si>
    <t>ISOP</t>
  </si>
  <si>
    <t>Verein JUKUS</t>
  </si>
  <si>
    <t>Volkshilfe</t>
  </si>
  <si>
    <t>Volkshochschulen</t>
  </si>
  <si>
    <t>GESAMT (109 Einträge)</t>
  </si>
  <si>
    <t>✅  KONTROLLBERECHNUNG – Org-Sheet kompakt vs. Jahres-Sheets</t>
  </si>
  <si>
    <t>① Gesamtförderung laut Jahres-Sheets</t>
  </si>
  <si>
    <t>④ AMIF-Mittel laut Jahres-Sheets</t>
  </si>
  <si>
    <t>⑤ BKA-Mittel laut Jahres-Sheets</t>
  </si>
  <si>
    <t>⑥ Projektanzahl laut Jahres-Sheets</t>
  </si>
  <si>
    <t>ℹ️  Zeile ③ (Differenz) muss in allen Spalten € 0,00 ergeben. Zeilen ①④⑤⑥ sind direkt mit den GESAMT-Zeilen der Jahres-Sheets verknüpft. 109 Einträge (inkl. Dachgruppen) | 1.088 Projekte | € 145.312.658,63 Gesamtfördervolumen 2019–2026</t>
  </si>
  <si>
    <t>DEUTSCH IM ALLTAG ist ein international erfolgreiches, wissensbasiertes Programm zur frühen Bildungsförderung in Familien mit Migrationserfahrung. Es zielt darauf ab, die Entwicklungsmöglichkeiten von Kindern frühzeitig und nachhaltig zu verbessern. Zielgruppe sind sozial- und bildungsbenachteiligte Familien mit Kindern im Alter von 3 bis 7 Jahren.  In aufsuchender Familienarbeit durch muttersprachliche Hausbesucherinnen werden innerfamiliäre Bildungsaktivitäten auf spielerische Weise angeregt und vertieft und die Kinder auf den Schulbesuch vorbereitet. Durch begleitende Gruppentreffen und Exkursionen im sozialen Umfeld werden Kultur, Werte und Lebensweisen der Aufnahmegesellschaft vermittelt. Die Bildungssensibilisierung der gesamten Familie und die Verbesserung der sozialen Integration stellen einen wichtigen Beitrag zur Chancengerechtigkeit für Familien mit Migrationserfahrung dar.</t>
  </si>
  <si>
    <t>Verein SprachBrücke  Betriebsgesellschaft GmbH</t>
  </si>
  <si>
    <t xml:space="preserve">Deutsch im Alltag </t>
  </si>
  <si>
    <t>Steiermark</t>
  </si>
  <si>
    <t>YouthConnect – Jugendliche gestalten Integration</t>
  </si>
  <si>
    <t>Jugendzentrum Bunterhaufen</t>
  </si>
  <si>
    <t>Das Projekt YOUTHCONNECT versteht sich als sozialpädagogisches Projekt für Kinder und Jugendliche sowie als Plattform für Sportintegration. Es setzt sich zum Ziel, das sozialintegrative Potential des Sports in seiner gesamten Bandbreite zu nützen, und somit die Integration der Zielgruppe entscheidend voranzutreiben. KlientInnen können an den regelmäßig stattfindenden Sport- und Sprachförderungs-Modulen, an Sportveranstaltungen, dem Lern- und Sportprogramm GRAgustl, an beruflichen Qualifizierungsangeboten sowie Adventuretagen und Sportfesten teilnehmen, Workshops absolvieren, ehrenamtlich mitarbeiten oder auch Mitglied in einem der YOUTHCONNECTPartnervereine werden. Das Angebot von YOUTHCONNECT ist aufbauend und interdisziplinär und in vier Kernbereiche untergliedert:  Sport+Teilnahme, + Teilhabe, + Bildung und Öffentlichkeitsarbeit.</t>
  </si>
  <si>
    <t>Begegnungsräume – Kultur verbindet</t>
  </si>
  <si>
    <t>Kulturverein Brücken Bauen</t>
  </si>
  <si>
    <t>Das Projekt Begegnungsräume - Dialog und Integration" zielt auf die Verbesserung der Integration und des positiven Miteinanders von neu Zugewanderten und der Wohnbevölkerung in Gemeinden im ländlichen Raum im Pongau, Pinzgau und Lungau ab. Integration versteht sich als chancengleiche Teilnahme am sozialen und gesellschaftlichen Leben und soll wechselseitig (Zugezogene und autochthone Wohnbevölkerung) erfolgen. Innovativ in diesem Projekt sind die intensive regionale Vernetzungsarbeit und Bündelung lokaler und ehrenamtlicher Intiativen. Angebote und Maßnahmen im Integrationsbereich sollen attraktiv, überschaubar, punktuell, aber auch effizient und ergänzend gestaltet werden. Sie richten sich gleichermaßen an alle Bürger*innen einer Gemeinde. Durch Beratungsgespräche mit wichtigen Akteur*innen in den Projektgemeinden kann bedarfsorientiert mit Angeboten reagiert werden.</t>
  </si>
  <si>
    <t>Salzburg</t>
  </si>
  <si>
    <t>NAT</t>
  </si>
  <si>
    <t>„SchulStart – Begleitprogramm für neu zugewanderte Schulkinder</t>
  </si>
  <si>
    <t xml:space="preserve">Verein Gemeinsam Wachsen </t>
  </si>
  <si>
    <t xml:space="preserve">SchulStart bietet Bildungsberatung und Berufsorientierungstraining, arbeitet aufsuchend und online mit individuellen Trainingsmaßnahmen sowie ausgebildeten Buddies u. Native Speaker für Bildungsabschluss, zur (Re)Integration am Arbeitsmarkt, zur Teilhabe an der Gesellschaft. </t>
  </si>
  <si>
    <t>Verein NeueWege Österreich</t>
  </si>
  <si>
    <t>HandWerk.Zukunft – Berufsvorbereitungskurse mit Lehrvermittlung</t>
  </si>
  <si>
    <t>HandWerk.Zukunft – Berufsvorbereitungskurse mit Lehrv! ist ein Arbeitsmarktintegrationsprojekt des Verein NeueWege Österreich für Menschen mit Migrationshintergrund, die eine Lehre beginnen wollen. Das modular aufgebaute Programm qualifiziert Teilnehmende durch Beratung, Schulung und Training.Ziel von HandWerk.Zukunft ist es, TeilnehmerInnen durch ein breites Maßnahmenpaket aus kompetenzbildenden Workshops, fachspezifischen Deutschkursen und intensiver fachlicher Begleitung auf ihre Lehrausbildung vorzubereiten und zu qualifizieren. Praktika in Unternehmen ergänzen die Kursmaßnahme.</t>
  </si>
  <si>
    <t>Helpservice Österreich</t>
  </si>
  <si>
    <t>Lernstube - Kostenlose Lernbegleitung für Kinder und Jugendliche</t>
  </si>
  <si>
    <t>Kostenlose Lern- und Nachmittagsbetreuung für Kinder und Jugendliche zwischen 6 bis 15 Jahren aus sozial benachteiligten und bildungsfernen Schichten. Im Fokus stehen: gezielte Lernhilfe, Vorbereitung auf Schularbeiten/Tests, Stärkung der Deutsch-, Sprach- und Lesekompetenzen, Lernen lernen, Persönlichkeitsentwicklung, wertschätzenden Umgang mit diversen Kulturen/Religionen fördern, gesunde Jause, Workshops und Aktivitäten zur Horizonterweiterung, etc.</t>
  </si>
  <si>
    <t>Österreichweit</t>
  </si>
  <si>
    <t>Biludng</t>
  </si>
  <si>
    <t>TARO - Verein zur interkulturellen Gesundheitsförderung</t>
  </si>
  <si>
    <t xml:space="preserve">Wurzeln fassen – Traumasensible Begleitung      </t>
  </si>
  <si>
    <t>Wien, Niederösterreich, Steiermark, Tirol</t>
  </si>
  <si>
    <t xml:space="preserve">Wurzeln fassen – Traumasensible Begleitung ist ein wirksames Programm zur Traumabewältigung. Schulkinder erlernen Techniken, die Lernfähigkeit und soziale Interaktion verbessern. Während der Pandemie wurde das Programm auch für die Anwendung in Familien adaptiert und evaluiert. Nach einer Pilotphase in Graz folgt die weitere Ausrollung nach Tirol. </t>
  </si>
  <si>
    <t>HandWerk.Zukunft , Fit für die Lehre! ist ein Arbeitsmarktintegrationsprojekt desVerein NeueWege Österreich  für Menschen mit Migrationshintergrund, die eine Lehre beginnen oder direkt in einen Beruf einsteigen wollen, dafür jedoch noch zusätzliche Kompetenzen erwerben müssen. Das modular aufgebaute Programm qualifiziert Teilnehmende durch Beratung, Schulung und Training.</t>
  </si>
  <si>
    <t xml:space="preserve">HandWerk.Zukunft – Berufsvorbereitungskurse mit Lehrvermittlung </t>
  </si>
  <si>
    <t>HANDWERK.ZUKUNFT unterstützt Menschen mit Migrationshintergrund durch Beratung und Vorqualifizierung bei der Aufnahme in eine Lehrausbildung und fördert mittelfristig deren Einstieg in den Arbeitsmarkt. Neben einem berufsbezogenen DaF/DaZ-Unterricht durchlaufen die Teilnehmenden kompetenzbildende Workshops und werden bei der Lehrstellensuche mittels individuellem Bewerbungscoaching begleitet.</t>
  </si>
  <si>
    <t>Miteinander stark</t>
  </si>
  <si>
    <t>Miteinander stark - Antisemitismusprävention und Demokratiebildung für Jugendliche</t>
  </si>
  <si>
    <t>Prävention von Extremismus</t>
  </si>
  <si>
    <t>Das Projekt zielt darauf ab bestehende antisemitische Haltungen unter Jugendlichen mit Migrationshinterund zu reduzieren. Dafür werden zum einen Talkshops mit Jugendlichen geführt, um antisemitische Haltungen zu reflektieren und hinterfragen, zum anderen werden Multiplikator*innen im Rahmen von Lehrveranstaltungen/Fortbildungen für die aktuellen Erscheinungsformen sensibilisiert/informiert und mit Handlungswerkzeug zur Intervention/Prävention für den Berufsalltag ausgestattet.</t>
  </si>
  <si>
    <t>Qualifizierung &amp; Karriere GmbH</t>
  </si>
  <si>
    <t>Finish Strong – Prüfungsvorbereitung und Begleitung für Lehrling</t>
  </si>
  <si>
    <t>Das Projekt Finish Strong unterstützt junge Lehrlinge und im Arbeitsprozess stehende, niedrigqualifizierte Erwachsene mit Migrationshintergrund (Personen mit nicht deutscher Erstsprache) auf ihrem Weg das Ziel "Lehrabschlussprüfung" zu erreichen. Damit sollen bildungsbenachteiligte Personen aus der Zielgruppe höherqualifiziert werden, um dem Arbeitsmarkt als Fachpersonal zur Verfügung zu stehen. Das niederschwellige und individualisierte Projektangebot kann den unterschiedlichsten Bedarfen von erwachsenen Lernenden sehr effizient und flexibel begegnen.</t>
  </si>
  <si>
    <t>Tirol</t>
  </si>
  <si>
    <t>Talisk Oberösterreich</t>
  </si>
  <si>
    <t>Zusammenleben</t>
  </si>
  <si>
    <t xml:space="preserve">Zusammenleben ist ein Brückenangebot mit niederschwelligem und nachgehendem Ansatz, das Frauen mit Migrationshintergrund mittels Beratung (mit Schwerpunkt Bildungs- und Berufsberatung), Berufsorientierungsangeboten (Peer Workshops, Berufsbildexkursionen, Unterstützung bei der Suche nach Schnupper- und Praktikumsmöglichkeiten) und Vorbereitungskursen für den Führerscheinerwerb an den Arbeitsmarkt heranführt. </t>
  </si>
  <si>
    <t>Oberösterreich</t>
  </si>
  <si>
    <t>HANDWERK.ZUKUNFT  unterstützt Menschen mit Migrationshintergrund durch Beratung und Vorqualifizierung bei der Aufnahme in eine Lehrausbildung und fördert mittelfristig deren Einstieg in den Arbeitsmarkt. Neben einem berufsbezogenen DaF/DaZ-Unterricht durchlaufen die Teilnehmenden kompetenzbildende Workshops, absolvieren ein Praktikum in einem Lehrbetrieb und werden bei der Lehrstellensuche mittels individuellem Bewerbungscoaching begleitet.</t>
  </si>
  <si>
    <t>Bürgerservice-GmbH</t>
  </si>
  <si>
    <t>FitKoop - Gesundheitspiloten Bürgerservice-GmbH</t>
  </si>
  <si>
    <t>Wien</t>
  </si>
  <si>
    <r>
      <t xml:space="preserve">Personen mit Migrationsbiografie werden zu freiwilligen </t>
    </r>
    <r>
      <rPr>
        <sz val="9"/>
        <color theme="1"/>
        <rFont val="Calibri"/>
        <family val="2"/>
      </rPr>
      <t>Gesundheitspiloten ausgebildet. Diese halten dann mehrsprachige Workshops in ihren Herkunftssprachen und auf Deutsch und wirken so als wichtige Brückenbauer*innen und Multiplikator*innen zwischen Mehrheits-gesellschaft und migrantischen Communities. Sie vermitteln Inhalte zu:  Das österreichische Gesundheitssystem Ernährung &amp; Bewegung, Gesundheitssprache leicht gemacht, Kinder- und Jugendgesundheit, Frauengesundheit, Männergesundheit, Seelische Gesundheit, Demenz &amp; Palliativpflege sowie Gesundes Altern und Digitale Resilienz.</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</si>
</sst>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 &quot;* #,##0.00_-;&quot;-€ &quot;* #,##0.00_-;_-&quot;€ &quot;* \-??_-;_-@_-"/>
  </numFmts>
  <fonts count="30" x14ac:knownFonts="1">
    <font>
      <sz val="11"/>
      <color theme="1"/>
      <name val="Calibri"/>
      <family val="2"/>
      <charset val="1"/>
    </font>
    <font>
      <b/>
      <sz val="10"/>
      <color rgb="FFFFFFFF"/>
      <name val="Calibri"/>
      <charset val="1"/>
    </font>
    <font>
      <b/>
      <sz val="10"/>
      <color rgb="FF111111"/>
      <name val="Calibri"/>
      <charset val="1"/>
    </font>
    <font>
      <sz val="10"/>
      <color rgb="FF111111"/>
      <name val="Calibri"/>
      <charset val="1"/>
    </font>
    <font>
      <b/>
      <sz val="14"/>
      <color rgb="FFFFFFFF"/>
      <name val="Calibri"/>
      <charset val="1"/>
    </font>
    <font>
      <i/>
      <sz val="10"/>
      <color rgb="FF333333"/>
      <name val="Calibri"/>
      <charset val="1"/>
    </font>
    <font>
      <sz val="9"/>
      <color rgb="FF444444"/>
      <name val="Calibri"/>
      <charset val="1"/>
    </font>
    <font>
      <b/>
      <sz val="11"/>
      <color rgb="FFFFFFFF"/>
      <name val="Calibri"/>
      <charset val="1"/>
    </font>
    <font>
      <i/>
      <sz val="8"/>
      <color rgb="FF888888"/>
      <name val="Calibri"/>
      <charset val="1"/>
    </font>
    <font>
      <sz val="9"/>
      <color rgb="FF1565C0"/>
      <name val="Calibri"/>
      <charset val="1"/>
    </font>
    <font>
      <b/>
      <sz val="9"/>
      <color rgb="FFFFFFFF"/>
      <name val="Calibri"/>
      <charset val="1"/>
    </font>
    <font>
      <b/>
      <sz val="9"/>
      <color rgb="FF111111"/>
      <name val="Calibri"/>
      <charset val="1"/>
    </font>
    <font>
      <sz val="9"/>
      <color rgb="FF111111"/>
      <name val="Calibri"/>
      <charset val="1"/>
    </font>
    <font>
      <b/>
      <sz val="13"/>
      <color rgb="FFFFFFFF"/>
      <name val="Calibri"/>
      <charset val="1"/>
    </font>
    <font>
      <sz val="9"/>
      <color rgb="FF888888"/>
      <name val="Calibri"/>
      <charset val="1"/>
    </font>
    <font>
      <b/>
      <sz val="10"/>
      <name val="Calibri"/>
      <family val="2"/>
    </font>
    <font>
      <sz val="11"/>
      <name val="Calibri"/>
      <family val="2"/>
    </font>
    <font>
      <b/>
      <sz val="10"/>
      <color rgb="FFFFFFFF"/>
      <name val="Calibri"/>
    </font>
    <font>
      <b/>
      <sz val="10"/>
      <color rgb="FF000000"/>
      <name val="Calibri"/>
    </font>
    <font>
      <sz val="10"/>
      <color rgb="FF000000"/>
      <name val="Calibri"/>
    </font>
    <font>
      <b/>
      <sz val="10"/>
      <color rgb="FF7B3F00"/>
      <name val="Calibri"/>
    </font>
    <font>
      <sz val="10"/>
      <color rgb="FF7B3F00"/>
      <name val="Calibri"/>
    </font>
    <font>
      <sz val="10"/>
      <name val="Calibri"/>
    </font>
    <font>
      <b/>
      <sz val="11"/>
      <color rgb="FFFFFFFF"/>
      <name val="Calibri"/>
    </font>
    <font>
      <i/>
      <sz val="9"/>
      <color rgb="FF444444"/>
      <name val="Calibri"/>
    </font>
    <font>
      <sz val="10"/>
      <color rgb="FF111111"/>
      <name val="Calibri"/>
      <family val="2"/>
    </font>
    <font>
      <i/>
      <sz val="10"/>
      <color rgb="FF333333"/>
      <name val="Calibri"/>
      <family val="2"/>
    </font>
    <font>
      <b/>
      <sz val="10"/>
      <color rgb="FF111111"/>
      <name val="Calibri"/>
      <family val="2"/>
    </font>
    <font>
      <sz val="9"/>
      <color rgb="FF444444"/>
      <name val="Calibri"/>
      <family val="2"/>
    </font>
    <font>
      <sz val="9"/>
      <color theme="1"/>
      <name val="Calibri"/>
      <family val="2"/>
    </font>
  </fonts>
  <fills count="22">
    <fill>
      <patternFill patternType="none"/>
    </fill>
    <fill>
      <patternFill patternType="gray125"/>
    </fill>
    <fill>
      <patternFill patternType="solid">
        <fgColor rgb="FF1A3A5C"/>
        <bgColor rgb="FF37474F"/>
      </patternFill>
    </fill>
    <fill>
      <patternFill patternType="solid">
        <fgColor rgb="FF2E75B6"/>
        <bgColor rgb="FF1565C0"/>
      </patternFill>
    </fill>
    <fill>
      <patternFill patternType="solid">
        <fgColor rgb="FFE3F2FD"/>
        <bgColor rgb="FFEBF3FB"/>
      </patternFill>
    </fill>
    <fill>
      <patternFill patternType="solid">
        <fgColor rgb="FFFCE4D6"/>
        <bgColor rgb="FFFFF3CD"/>
      </patternFill>
    </fill>
    <fill>
      <patternFill patternType="solid">
        <fgColor rgb="FFFFF9E6"/>
        <bgColor rgb="FFFFFDE7"/>
      </patternFill>
    </fill>
    <fill>
      <patternFill patternType="solid">
        <fgColor rgb="FFE8F5E9"/>
        <bgColor rgb="FFF1F8E9"/>
      </patternFill>
    </fill>
    <fill>
      <patternFill patternType="solid">
        <fgColor rgb="FFEBF3FB"/>
        <bgColor rgb="FFE3F2FD"/>
      </patternFill>
    </fill>
    <fill>
      <patternFill patternType="solid">
        <fgColor rgb="FFFFFFFF"/>
        <bgColor rgb="FFF8F9FA"/>
      </patternFill>
    </fill>
    <fill>
      <patternFill patternType="solid">
        <fgColor rgb="FFF8F9FA"/>
        <bgColor rgb="FFF5F5F5"/>
      </patternFill>
    </fill>
    <fill>
      <patternFill patternType="solid">
        <fgColor rgb="FF1F3864"/>
      </patternFill>
    </fill>
    <fill>
      <patternFill patternType="solid">
        <fgColor rgb="FF2E5FA3"/>
      </patternFill>
    </fill>
    <fill>
      <patternFill patternType="solid">
        <fgColor rgb="FFDEEAF1"/>
      </patternFill>
    </fill>
    <fill>
      <patternFill patternType="solid">
        <fgColor rgb="FFFFF2CC"/>
      </patternFill>
    </fill>
    <fill>
      <patternFill patternType="solid">
        <fgColor rgb="FFE8F5E9"/>
      </patternFill>
    </fill>
    <fill>
      <patternFill patternType="solid">
        <fgColor rgb="FFC9DAF8"/>
      </patternFill>
    </fill>
    <fill>
      <patternFill patternType="solid">
        <fgColor rgb="FFB6D7A8"/>
      </patternFill>
    </fill>
    <fill>
      <patternFill patternType="solid">
        <fgColor rgb="FFFAD7A0"/>
      </patternFill>
    </fill>
    <fill>
      <patternFill patternType="solid">
        <fgColor rgb="FFFEF9E7"/>
      </patternFill>
    </fill>
    <fill>
      <patternFill patternType="solid">
        <fgColor rgb="FFF5F5F5"/>
      </patternFill>
    </fill>
    <fill>
      <patternFill patternType="solid">
        <fgColor theme="0"/>
        <bgColor rgb="FFE3F2FD"/>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medium">
        <color rgb="FF888888"/>
      </bottom>
      <diagonal/>
    </border>
  </borders>
  <cellStyleXfs count="1">
    <xf numFmtId="0" fontId="0" fillId="0" borderId="0"/>
  </cellStyleXfs>
  <cellXfs count="108">
    <xf numFmtId="0" fontId="0" fillId="0" borderId="0" xfId="0"/>
    <xf numFmtId="0" fontId="1" fillId="3" borderId="1" xfId="0" applyFont="1" applyFill="1" applyBorder="1" applyAlignment="1">
      <alignment horizontal="center" vertical="center" wrapText="1"/>
    </xf>
    <xf numFmtId="0" fontId="0" fillId="6" borderId="1" xfId="0" applyFill="1" applyBorder="1"/>
    <xf numFmtId="0" fontId="1" fillId="3" borderId="1" xfId="0" applyFont="1" applyFill="1" applyBorder="1" applyAlignment="1">
      <alignment horizontal="left" vertical="center" wrapText="1"/>
    </xf>
    <xf numFmtId="0" fontId="2" fillId="8" borderId="1" xfId="0" applyFont="1" applyFill="1" applyBorder="1" applyAlignment="1">
      <alignment horizontal="center" vertical="top"/>
    </xf>
    <xf numFmtId="0" fontId="2" fillId="8" borderId="1" xfId="0" applyFont="1" applyFill="1" applyBorder="1" applyAlignment="1">
      <alignment horizontal="left" vertical="top" indent="1"/>
    </xf>
    <xf numFmtId="0" fontId="3" fillId="8" borderId="1" xfId="0" applyFont="1" applyFill="1" applyBorder="1" applyAlignment="1">
      <alignment horizontal="left" vertical="top" indent="1"/>
    </xf>
    <xf numFmtId="0" fontId="5" fillId="8" borderId="1" xfId="0" applyFont="1" applyFill="1" applyBorder="1" applyAlignment="1">
      <alignment horizontal="left" vertical="top" indent="1"/>
    </xf>
    <xf numFmtId="0" fontId="6" fillId="8" borderId="1" xfId="0" applyFont="1" applyFill="1" applyBorder="1" applyAlignment="1">
      <alignment horizontal="left" vertical="top" wrapText="1" indent="1"/>
    </xf>
    <xf numFmtId="0" fontId="3" fillId="8" borderId="1" xfId="0" applyFont="1" applyFill="1" applyBorder="1" applyAlignment="1">
      <alignment horizontal="center" vertical="top"/>
    </xf>
    <xf numFmtId="164" fontId="3" fillId="8" borderId="1" xfId="0" applyNumberFormat="1" applyFont="1" applyFill="1" applyBorder="1" applyAlignment="1">
      <alignment horizontal="right" vertical="top"/>
    </xf>
    <xf numFmtId="0" fontId="2" fillId="9" borderId="1" xfId="0" applyFont="1" applyFill="1" applyBorder="1" applyAlignment="1">
      <alignment horizontal="center" vertical="top"/>
    </xf>
    <xf numFmtId="0" fontId="2" fillId="9" borderId="1" xfId="0" applyFont="1" applyFill="1" applyBorder="1" applyAlignment="1">
      <alignment horizontal="left" vertical="top" indent="1"/>
    </xf>
    <xf numFmtId="0" fontId="3" fillId="9" borderId="1" xfId="0" applyFont="1" applyFill="1" applyBorder="1" applyAlignment="1">
      <alignment horizontal="left" vertical="top" indent="1"/>
    </xf>
    <xf numFmtId="0" fontId="5" fillId="9" borderId="1" xfId="0" applyFont="1" applyFill="1" applyBorder="1" applyAlignment="1">
      <alignment horizontal="left" vertical="top" indent="1"/>
    </xf>
    <xf numFmtId="0" fontId="6" fillId="9" borderId="1" xfId="0" applyFont="1" applyFill="1" applyBorder="1" applyAlignment="1">
      <alignment horizontal="left" vertical="top" wrapText="1" indent="1"/>
    </xf>
    <xf numFmtId="0" fontId="3" fillId="9" borderId="1" xfId="0" applyFont="1" applyFill="1" applyBorder="1" applyAlignment="1">
      <alignment horizontal="center" vertical="top"/>
    </xf>
    <xf numFmtId="164" fontId="3" fillId="9" borderId="1" xfId="0" applyNumberFormat="1" applyFont="1" applyFill="1" applyBorder="1" applyAlignment="1">
      <alignment horizontal="right" vertical="top"/>
    </xf>
    <xf numFmtId="0" fontId="3" fillId="9" borderId="1" xfId="0" applyFont="1" applyFill="1" applyBorder="1" applyAlignment="1">
      <alignment horizontal="left" vertical="top" wrapText="1" indent="1"/>
    </xf>
    <xf numFmtId="0" fontId="1" fillId="4" borderId="1" xfId="0" applyFont="1" applyFill="1" applyBorder="1" applyAlignment="1">
      <alignment horizontal="center" vertical="center"/>
    </xf>
    <xf numFmtId="0" fontId="1" fillId="4" borderId="1" xfId="0" applyFont="1" applyFill="1" applyBorder="1" applyAlignment="1">
      <alignment horizontal="left" vertical="center" indent="1"/>
    </xf>
    <xf numFmtId="0" fontId="0" fillId="4" borderId="1" xfId="0" applyFill="1" applyBorder="1"/>
    <xf numFmtId="164" fontId="1" fillId="4" borderId="1" xfId="0" applyNumberFormat="1" applyFont="1" applyFill="1" applyBorder="1" applyAlignment="1">
      <alignment horizontal="right" vertical="center"/>
    </xf>
    <xf numFmtId="0" fontId="1" fillId="7" borderId="1" xfId="0" applyFont="1" applyFill="1" applyBorder="1" applyAlignment="1">
      <alignment horizontal="center" vertical="center"/>
    </xf>
    <xf numFmtId="0" fontId="1" fillId="7" borderId="1" xfId="0" applyFont="1" applyFill="1" applyBorder="1" applyAlignment="1">
      <alignment horizontal="left" vertical="center" indent="1"/>
    </xf>
    <xf numFmtId="0" fontId="0" fillId="7" borderId="1" xfId="0" applyFill="1" applyBorder="1"/>
    <xf numFmtId="164" fontId="1" fillId="7" borderId="1" xfId="0" applyNumberFormat="1" applyFont="1" applyFill="1" applyBorder="1" applyAlignment="1">
      <alignment horizontal="right" vertical="center"/>
    </xf>
    <xf numFmtId="0" fontId="7" fillId="2" borderId="1" xfId="0" applyFont="1" applyFill="1" applyBorder="1" applyAlignment="1">
      <alignment horizontal="center" vertical="center"/>
    </xf>
    <xf numFmtId="0" fontId="7" fillId="2" borderId="1" xfId="0" applyFont="1" applyFill="1" applyBorder="1" applyAlignment="1">
      <alignment horizontal="left" vertical="center" indent="1"/>
    </xf>
    <xf numFmtId="0" fontId="0" fillId="2" borderId="1" xfId="0" applyFill="1" applyBorder="1"/>
    <xf numFmtId="164" fontId="7" fillId="2" borderId="1" xfId="0" applyNumberFormat="1" applyFont="1" applyFill="1" applyBorder="1" applyAlignment="1">
      <alignment horizontal="right" vertical="center"/>
    </xf>
    <xf numFmtId="0" fontId="3" fillId="8" borderId="1" xfId="0" applyFont="1" applyFill="1" applyBorder="1" applyAlignment="1">
      <alignment horizontal="left" vertical="top" wrapText="1" indent="1"/>
    </xf>
    <xf numFmtId="0" fontId="1" fillId="5" borderId="1" xfId="0" applyFont="1" applyFill="1" applyBorder="1" applyAlignment="1">
      <alignment horizontal="center" vertical="center"/>
    </xf>
    <xf numFmtId="0" fontId="1" fillId="5" borderId="1" xfId="0" applyFont="1" applyFill="1" applyBorder="1" applyAlignment="1">
      <alignment horizontal="left" vertical="center" indent="1"/>
    </xf>
    <xf numFmtId="0" fontId="0" fillId="5" borderId="1" xfId="0" applyFill="1" applyBorder="1"/>
    <xf numFmtId="164" fontId="1" fillId="5" borderId="1" xfId="0" applyNumberFormat="1" applyFont="1" applyFill="1" applyBorder="1" applyAlignment="1">
      <alignment horizontal="right" vertical="center"/>
    </xf>
    <xf numFmtId="0" fontId="1" fillId="6" borderId="1" xfId="0" applyFont="1" applyFill="1" applyBorder="1" applyAlignment="1">
      <alignment horizontal="center" vertical="center"/>
    </xf>
    <xf numFmtId="0" fontId="1" fillId="6" borderId="1" xfId="0" applyFont="1" applyFill="1" applyBorder="1" applyAlignment="1">
      <alignment horizontal="left" vertical="center" indent="1"/>
    </xf>
    <xf numFmtId="164" fontId="1" fillId="6" borderId="1" xfId="0" applyNumberFormat="1" applyFont="1" applyFill="1" applyBorder="1" applyAlignment="1">
      <alignment horizontal="right" vertical="center"/>
    </xf>
    <xf numFmtId="0" fontId="2" fillId="9" borderId="1" xfId="0" applyFont="1" applyFill="1" applyBorder="1" applyAlignment="1">
      <alignment horizontal="left" vertical="top" wrapText="1" indent="1"/>
    </xf>
    <xf numFmtId="0" fontId="9" fillId="8" borderId="1" xfId="0" applyFont="1" applyFill="1" applyBorder="1" applyAlignment="1">
      <alignment horizontal="left" vertical="top" indent="1"/>
    </xf>
    <xf numFmtId="0" fontId="9" fillId="9" borderId="1" xfId="0" applyFont="1" applyFill="1" applyBorder="1" applyAlignment="1">
      <alignment horizontal="left" vertical="top" indent="1"/>
    </xf>
    <xf numFmtId="0" fontId="10" fillId="3" borderId="1" xfId="0" applyFont="1" applyFill="1" applyBorder="1" applyAlignment="1">
      <alignment horizontal="left" vertical="center" wrapText="1"/>
    </xf>
    <xf numFmtId="0" fontId="10" fillId="3" borderId="1" xfId="0" applyFont="1" applyFill="1" applyBorder="1" applyAlignment="1">
      <alignment horizontal="right" vertical="center" wrapText="1"/>
    </xf>
    <xf numFmtId="0" fontId="10" fillId="3" borderId="1" xfId="0" applyFont="1" applyFill="1" applyBorder="1" applyAlignment="1">
      <alignment horizontal="center" vertical="center" wrapText="1"/>
    </xf>
    <xf numFmtId="0" fontId="12" fillId="10" borderId="1" xfId="0" applyFont="1" applyFill="1" applyBorder="1" applyAlignment="1">
      <alignment horizontal="left" vertical="center" indent="1"/>
    </xf>
    <xf numFmtId="164" fontId="11" fillId="10" borderId="1" xfId="0" applyNumberFormat="1" applyFont="1" applyFill="1" applyBorder="1" applyAlignment="1">
      <alignment horizontal="right" vertical="center"/>
    </xf>
    <xf numFmtId="164" fontId="12" fillId="10" borderId="1" xfId="0" applyNumberFormat="1" applyFont="1" applyFill="1" applyBorder="1" applyAlignment="1">
      <alignment horizontal="right" vertical="center"/>
    </xf>
    <xf numFmtId="0" fontId="14" fillId="10" borderId="1" xfId="0" applyFont="1" applyFill="1" applyBorder="1" applyAlignment="1">
      <alignment horizontal="center" vertical="center"/>
    </xf>
    <xf numFmtId="0" fontId="12" fillId="9" borderId="1" xfId="0" applyFont="1" applyFill="1" applyBorder="1" applyAlignment="1">
      <alignment horizontal="left" vertical="center" indent="1"/>
    </xf>
    <xf numFmtId="164" fontId="11" fillId="9" borderId="1" xfId="0" applyNumberFormat="1" applyFont="1" applyFill="1" applyBorder="1" applyAlignment="1">
      <alignment horizontal="right" vertical="center"/>
    </xf>
    <xf numFmtId="164" fontId="12" fillId="9" borderId="1" xfId="0" applyNumberFormat="1" applyFont="1" applyFill="1" applyBorder="1" applyAlignment="1">
      <alignment horizontal="right" vertical="center"/>
    </xf>
    <xf numFmtId="0" fontId="14" fillId="9" borderId="1" xfId="0" applyFont="1" applyFill="1" applyBorder="1" applyAlignment="1">
      <alignment horizontal="center" vertical="center"/>
    </xf>
    <xf numFmtId="0" fontId="11" fillId="8" borderId="1" xfId="0" applyFont="1" applyFill="1" applyBorder="1" applyAlignment="1">
      <alignment horizontal="left" vertical="center"/>
    </xf>
    <xf numFmtId="164" fontId="11" fillId="8" borderId="1" xfId="0" applyNumberFormat="1" applyFont="1" applyFill="1" applyBorder="1" applyAlignment="1">
      <alignment horizontal="right" vertical="center"/>
    </xf>
    <xf numFmtId="164" fontId="12" fillId="8" borderId="1" xfId="0" applyNumberFormat="1" applyFont="1" applyFill="1" applyBorder="1" applyAlignment="1">
      <alignment horizontal="right" vertical="center"/>
    </xf>
    <xf numFmtId="0" fontId="14" fillId="8" borderId="1" xfId="0" applyFont="1" applyFill="1" applyBorder="1" applyAlignment="1">
      <alignment horizontal="center" vertical="center"/>
    </xf>
    <xf numFmtId="0" fontId="15" fillId="4" borderId="1" xfId="0" applyFont="1" applyFill="1" applyBorder="1" applyAlignment="1">
      <alignment horizontal="center" vertical="center"/>
    </xf>
    <xf numFmtId="0" fontId="15" fillId="4" borderId="1" xfId="0" applyFont="1" applyFill="1" applyBorder="1" applyAlignment="1">
      <alignment horizontal="left" vertical="center" indent="1"/>
    </xf>
    <xf numFmtId="0" fontId="16" fillId="4" borderId="1" xfId="0" applyFont="1" applyFill="1" applyBorder="1"/>
    <xf numFmtId="164" fontId="15" fillId="4" borderId="1" xfId="0" applyNumberFormat="1" applyFont="1" applyFill="1" applyBorder="1" applyAlignment="1">
      <alignment horizontal="right" vertical="center"/>
    </xf>
    <xf numFmtId="0" fontId="15" fillId="7" borderId="1" xfId="0" applyFont="1" applyFill="1" applyBorder="1" applyAlignment="1">
      <alignment horizontal="center" vertical="center"/>
    </xf>
    <xf numFmtId="0" fontId="15" fillId="7" borderId="1" xfId="0" applyFont="1" applyFill="1" applyBorder="1" applyAlignment="1">
      <alignment horizontal="left" vertical="center" indent="1"/>
    </xf>
    <xf numFmtId="0" fontId="16" fillId="7" borderId="1" xfId="0" applyFont="1" applyFill="1" applyBorder="1"/>
    <xf numFmtId="164" fontId="15" fillId="7" borderId="1" xfId="0" applyNumberFormat="1" applyFont="1" applyFill="1" applyBorder="1" applyAlignment="1">
      <alignment horizontal="right" vertical="center"/>
    </xf>
    <xf numFmtId="0" fontId="22" fillId="0" borderId="3" xfId="0" applyFont="1" applyBorder="1"/>
    <xf numFmtId="0" fontId="18" fillId="16" borderId="4" xfId="0" applyFont="1" applyFill="1" applyBorder="1" applyAlignment="1">
      <alignment horizontal="left" vertical="center" wrapText="1"/>
    </xf>
    <xf numFmtId="0" fontId="18" fillId="17" borderId="4" xfId="0" applyFont="1" applyFill="1" applyBorder="1" applyAlignment="1">
      <alignment horizontal="left" vertical="center" wrapText="1"/>
    </xf>
    <xf numFmtId="0" fontId="18" fillId="18" borderId="4" xfId="0" applyFont="1" applyFill="1" applyBorder="1" applyAlignment="1">
      <alignment horizontal="left" vertical="center" wrapText="1"/>
    </xf>
    <xf numFmtId="0" fontId="22" fillId="0" borderId="3" xfId="0" applyFont="1" applyBorder="1" applyAlignment="1">
      <alignment horizontal="left" vertical="center" indent="1"/>
    </xf>
    <xf numFmtId="0" fontId="17" fillId="11" borderId="4" xfId="0" applyFont="1" applyFill="1" applyBorder="1" applyAlignment="1">
      <alignment horizontal="left" vertical="center"/>
    </xf>
    <xf numFmtId="4" fontId="17" fillId="11" borderId="4" xfId="0" applyNumberFormat="1" applyFont="1" applyFill="1" applyBorder="1" applyAlignment="1">
      <alignment horizontal="center" vertical="center"/>
    </xf>
    <xf numFmtId="0" fontId="17" fillId="11" borderId="4" xfId="0" applyFont="1" applyFill="1" applyBorder="1" applyAlignment="1">
      <alignment horizontal="center" vertical="center"/>
    </xf>
    <xf numFmtId="164" fontId="22" fillId="0" borderId="3" xfId="0" applyNumberFormat="1" applyFont="1" applyBorder="1" applyAlignment="1">
      <alignment horizontal="right" vertical="center"/>
    </xf>
    <xf numFmtId="0" fontId="17" fillId="12" borderId="4" xfId="0" applyFont="1" applyFill="1" applyBorder="1" applyAlignment="1">
      <alignment horizontal="left" vertical="center"/>
    </xf>
    <xf numFmtId="0" fontId="17" fillId="12" borderId="4" xfId="0" applyFont="1" applyFill="1" applyBorder="1" applyAlignment="1">
      <alignment horizontal="center" vertical="center"/>
    </xf>
    <xf numFmtId="4" fontId="18" fillId="16" borderId="4" xfId="0" applyNumberFormat="1" applyFont="1" applyFill="1" applyBorder="1" applyAlignment="1">
      <alignment horizontal="center" vertical="center"/>
    </xf>
    <xf numFmtId="4" fontId="19" fillId="13" borderId="4" xfId="0" applyNumberFormat="1" applyFont="1" applyFill="1" applyBorder="1" applyAlignment="1">
      <alignment horizontal="center" vertical="center"/>
    </xf>
    <xf numFmtId="0" fontId="20" fillId="14" borderId="5" xfId="0" applyFont="1" applyFill="1" applyBorder="1" applyAlignment="1">
      <alignment horizontal="left" vertical="center" wrapText="1"/>
    </xf>
    <xf numFmtId="4" fontId="20" fillId="14" borderId="5" xfId="0" applyNumberFormat="1" applyFont="1" applyFill="1" applyBorder="1" applyAlignment="1">
      <alignment horizontal="center" vertical="center"/>
    </xf>
    <xf numFmtId="4" fontId="21" fillId="14" borderId="5" xfId="0" applyNumberFormat="1" applyFont="1" applyFill="1" applyBorder="1" applyAlignment="1">
      <alignment horizontal="center" vertical="center"/>
    </xf>
    <xf numFmtId="4" fontId="18" fillId="17" borderId="4" xfId="0" applyNumberFormat="1" applyFont="1" applyFill="1" applyBorder="1" applyAlignment="1">
      <alignment horizontal="center" vertical="center"/>
    </xf>
    <xf numFmtId="4" fontId="19" fillId="15" borderId="4" xfId="0" applyNumberFormat="1" applyFont="1" applyFill="1" applyBorder="1" applyAlignment="1">
      <alignment horizontal="center" vertical="center"/>
    </xf>
    <xf numFmtId="1" fontId="18" fillId="18" borderId="4" xfId="0" applyNumberFormat="1" applyFont="1" applyFill="1" applyBorder="1" applyAlignment="1">
      <alignment horizontal="center" vertical="center"/>
    </xf>
    <xf numFmtId="1" fontId="19" fillId="19" borderId="4" xfId="0" applyNumberFormat="1" applyFont="1" applyFill="1" applyBorder="1" applyAlignment="1">
      <alignment horizontal="center" vertical="center"/>
    </xf>
    <xf numFmtId="0" fontId="25" fillId="8" borderId="1" xfId="0" applyFont="1" applyFill="1" applyBorder="1" applyAlignment="1">
      <alignment horizontal="left" vertical="top" indent="1"/>
    </xf>
    <xf numFmtId="0" fontId="2" fillId="8" borderId="1" xfId="0" applyFont="1" applyFill="1" applyBorder="1" applyAlignment="1">
      <alignment horizontal="left" vertical="top" wrapText="1" indent="1"/>
    </xf>
    <xf numFmtId="0" fontId="25" fillId="8" borderId="1" xfId="0" applyFont="1" applyFill="1" applyBorder="1" applyAlignment="1">
      <alignment horizontal="center" vertical="top"/>
    </xf>
    <xf numFmtId="0" fontId="26" fillId="8" borderId="1" xfId="0" applyFont="1" applyFill="1" applyBorder="1" applyAlignment="1">
      <alignment horizontal="left" vertical="top" indent="1"/>
    </xf>
    <xf numFmtId="0" fontId="25" fillId="8" borderId="1" xfId="0" applyFont="1" applyFill="1" applyBorder="1" applyAlignment="1">
      <alignment horizontal="left" vertical="top" wrapText="1" indent="1"/>
    </xf>
    <xf numFmtId="0" fontId="25" fillId="9" borderId="1" xfId="0" applyFont="1" applyFill="1" applyBorder="1" applyAlignment="1">
      <alignment horizontal="center" vertical="top"/>
    </xf>
    <xf numFmtId="0" fontId="2" fillId="21" borderId="1" xfId="0" applyFont="1" applyFill="1" applyBorder="1" applyAlignment="1">
      <alignment horizontal="left" vertical="top" indent="1"/>
    </xf>
    <xf numFmtId="0" fontId="25" fillId="21" borderId="1" xfId="0" applyFont="1" applyFill="1" applyBorder="1" applyAlignment="1">
      <alignment horizontal="left" vertical="top" wrapText="1" indent="1"/>
    </xf>
    <xf numFmtId="0" fontId="26" fillId="21" borderId="1" xfId="0" applyFont="1" applyFill="1" applyBorder="1" applyAlignment="1">
      <alignment horizontal="left" vertical="top" indent="1"/>
    </xf>
    <xf numFmtId="0" fontId="6" fillId="21" borderId="1" xfId="0" applyFont="1" applyFill="1" applyBorder="1" applyAlignment="1">
      <alignment horizontal="left" vertical="top" wrapText="1" indent="1"/>
    </xf>
    <xf numFmtId="0" fontId="27" fillId="8" borderId="1" xfId="0" applyFont="1" applyFill="1" applyBorder="1" applyAlignment="1">
      <alignment horizontal="center" vertical="top"/>
    </xf>
    <xf numFmtId="0" fontId="27" fillId="9" borderId="1" xfId="0" applyFont="1" applyFill="1" applyBorder="1" applyAlignment="1">
      <alignment horizontal="center" vertical="top"/>
    </xf>
    <xf numFmtId="0" fontId="26" fillId="9" borderId="1" xfId="0" applyFont="1" applyFill="1" applyBorder="1" applyAlignment="1">
      <alignment horizontal="left" vertical="top" indent="1"/>
    </xf>
    <xf numFmtId="0" fontId="28" fillId="9" borderId="1" xfId="0" applyFont="1" applyFill="1" applyBorder="1" applyAlignment="1">
      <alignment horizontal="left" vertical="top" wrapText="1" indent="1"/>
    </xf>
    <xf numFmtId="0" fontId="28" fillId="8" borderId="1" xfId="0" applyFont="1" applyFill="1" applyBorder="1" applyAlignment="1">
      <alignment horizontal="left" vertical="top" wrapText="1" indent="1"/>
    </xf>
    <xf numFmtId="0" fontId="25" fillId="9" borderId="1" xfId="0" applyFont="1" applyFill="1" applyBorder="1" applyAlignment="1">
      <alignment horizontal="left" vertical="top" wrapText="1" indent="1"/>
    </xf>
    <xf numFmtId="0" fontId="25" fillId="8" borderId="1" xfId="0" applyFont="1" applyFill="1" applyBorder="1" applyAlignment="1">
      <alignment horizontal="center" vertical="top" wrapText="1"/>
    </xf>
    <xf numFmtId="0" fontId="4" fillId="2" borderId="0" xfId="0" applyFont="1" applyFill="1" applyAlignment="1">
      <alignment horizontal="center" vertical="center"/>
    </xf>
    <xf numFmtId="0" fontId="0" fillId="0" borderId="0" xfId="0"/>
    <xf numFmtId="0" fontId="8" fillId="0" borderId="0" xfId="0" applyFont="1" applyAlignment="1">
      <alignment horizontal="left" vertical="center"/>
    </xf>
    <xf numFmtId="0" fontId="23" fillId="11" borderId="4" xfId="0" applyFont="1" applyFill="1" applyBorder="1" applyAlignment="1">
      <alignment horizontal="center" vertical="center"/>
    </xf>
    <xf numFmtId="0" fontId="13" fillId="2" borderId="0" xfId="0" applyFont="1" applyFill="1" applyAlignment="1">
      <alignment horizontal="center" vertical="center"/>
    </xf>
    <xf numFmtId="0" fontId="24" fillId="20" borderId="2" xfId="0" applyFont="1" applyFill="1" applyBorder="1" applyAlignment="1">
      <alignment horizontal="left" vertical="center" wrapText="1"/>
    </xf>
  </cellXfs>
  <cellStyles count="1">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9E6"/>
      <rgbColor rgb="FFFF00FF"/>
      <rgbColor rgb="FF00FFFF"/>
      <rgbColor rgb="FF800000"/>
      <rgbColor rgb="FF006B3C"/>
      <rgbColor rgb="FF000080"/>
      <rgbColor rgb="FF8B6914"/>
      <rgbColor rgb="FF800080"/>
      <rgbColor rgb="FF37474F"/>
      <rgbColor rgb="FFCCCCCC"/>
      <rgbColor rgb="FF888888"/>
      <rgbColor rgb="FFF2F2F2"/>
      <rgbColor rgb="FF555555"/>
      <rgbColor rgb="FFFFF9C4"/>
      <rgbColor rgb="FFE3F2FD"/>
      <rgbColor rgb="FF4B0082"/>
      <rgbColor rgb="FFF5F5F5"/>
      <rgbColor rgb="FF1565C0"/>
      <rgbColor rgb="FFBBDEFB"/>
      <rgbColor rgb="FF000080"/>
      <rgbColor rgb="FFFF00FF"/>
      <rgbColor rgb="FFFFFDE7"/>
      <rgbColor rgb="FF00FFFF"/>
      <rgbColor rgb="FF800080"/>
      <rgbColor rgb="FF800000"/>
      <rgbColor rgb="FF008080"/>
      <rgbColor rgb="FF0000FF"/>
      <rgbColor rgb="FF00CCFF"/>
      <rgbColor rgb="FFE8F5E9"/>
      <rgbColor rgb="FFC8E6C9"/>
      <rgbColor rgb="FFFFF3CD"/>
      <rgbColor rgb="FFECEFF1"/>
      <rgbColor rgb="FFFFF3E0"/>
      <rgbColor rgb="FFEBF3FB"/>
      <rgbColor rgb="FFFCE4D6"/>
      <rgbColor rgb="FF2E75B6"/>
      <rgbColor rgb="FF33CCCC"/>
      <rgbColor rgb="FFF8F9FA"/>
      <rgbColor rgb="FFF1F8E9"/>
      <rgbColor rgb="FFFF9900"/>
      <rgbColor rgb="FFC55A11"/>
      <rgbColor rgb="FF666666"/>
      <rgbColor rgb="FFAAAAAA"/>
      <rgbColor rgb="FF1A3A5C"/>
      <rgbColor rgb="FF339966"/>
      <rgbColor rgb="FF111111"/>
      <rgbColor rgb="FF444444"/>
      <rgbColor rgb="FF7F4F00"/>
      <rgbColor rgb="FF993366"/>
      <rgbColor rgb="FF0D47A1"/>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I140"/>
  <sheetViews>
    <sheetView zoomScaleNormal="100" workbookViewId="0">
      <pane ySplit="2" topLeftCell="A97" activePane="bottomLeft" state="frozen"/>
      <selection pane="bottomLeft" activeCell="A63" sqref="A63:XFD63"/>
    </sheetView>
  </sheetViews>
  <sheetFormatPr baseColWidth="10" defaultColWidth="8.5" defaultRowHeight="15" x14ac:dyDescent="0.2"/>
  <cols>
    <col min="1" max="1" width="12" customWidth="1"/>
    <col min="2" max="3" width="34" customWidth="1"/>
    <col min="4" max="4" width="26" customWidth="1"/>
    <col min="5" max="5" width="52" customWidth="1"/>
    <col min="6" max="6" width="24" customWidth="1"/>
    <col min="7" max="9" width="16" customWidth="1"/>
  </cols>
  <sheetData>
    <row r="1" spans="1:9" ht="30" customHeight="1" x14ac:dyDescent="0.2">
      <c r="A1" s="102" t="s">
        <v>41</v>
      </c>
      <c r="B1" s="103"/>
      <c r="C1" s="103"/>
      <c r="D1" s="103"/>
      <c r="E1" s="103"/>
      <c r="F1" s="103"/>
      <c r="G1" s="103"/>
      <c r="H1" s="103"/>
      <c r="I1" s="103"/>
    </row>
    <row r="2" spans="1:9" ht="27.75" customHeight="1" x14ac:dyDescent="0.2">
      <c r="A2" s="1" t="s">
        <v>42</v>
      </c>
      <c r="B2" s="3" t="s">
        <v>43</v>
      </c>
      <c r="C2" s="3" t="s">
        <v>44</v>
      </c>
      <c r="D2" s="3" t="s">
        <v>45</v>
      </c>
      <c r="E2" s="3" t="s">
        <v>46</v>
      </c>
      <c r="F2" s="3" t="s">
        <v>47</v>
      </c>
      <c r="G2" s="1" t="s">
        <v>48</v>
      </c>
      <c r="H2" s="1" t="s">
        <v>49</v>
      </c>
      <c r="I2" s="1" t="s">
        <v>50</v>
      </c>
    </row>
    <row r="3" spans="1:9" ht="120" hidden="1" customHeight="1" x14ac:dyDescent="0.2">
      <c r="A3" s="4" t="s">
        <v>9</v>
      </c>
      <c r="B3" s="5" t="s">
        <v>36</v>
      </c>
      <c r="C3" s="6" t="s">
        <v>51</v>
      </c>
      <c r="D3" s="7" t="s">
        <v>52</v>
      </c>
      <c r="E3" s="8" t="s">
        <v>53</v>
      </c>
      <c r="F3" s="9" t="s">
        <v>54</v>
      </c>
      <c r="G3" s="10">
        <v>135000</v>
      </c>
      <c r="H3" s="10">
        <v>45000</v>
      </c>
      <c r="I3" s="10">
        <v>180000</v>
      </c>
    </row>
    <row r="4" spans="1:9" ht="120" hidden="1" customHeight="1" x14ac:dyDescent="0.2">
      <c r="A4" s="11" t="s">
        <v>9</v>
      </c>
      <c r="B4" s="12" t="s">
        <v>55</v>
      </c>
      <c r="C4" s="13" t="s">
        <v>56</v>
      </c>
      <c r="D4" s="14" t="s">
        <v>52</v>
      </c>
      <c r="E4" s="15" t="s">
        <v>57</v>
      </c>
      <c r="F4" s="16" t="s">
        <v>58</v>
      </c>
      <c r="G4" s="17">
        <v>234702.75</v>
      </c>
      <c r="H4" s="17">
        <v>78234.25</v>
      </c>
      <c r="I4" s="17">
        <v>312937</v>
      </c>
    </row>
    <row r="5" spans="1:9" ht="120" hidden="1" customHeight="1" x14ac:dyDescent="0.2">
      <c r="A5" s="4" t="s">
        <v>9</v>
      </c>
      <c r="B5" s="5" t="s">
        <v>59</v>
      </c>
      <c r="C5" s="6" t="s">
        <v>60</v>
      </c>
      <c r="D5" s="7" t="s">
        <v>52</v>
      </c>
      <c r="E5" s="8" t="s">
        <v>61</v>
      </c>
      <c r="F5" s="9" t="s">
        <v>62</v>
      </c>
      <c r="G5" s="10">
        <v>58125</v>
      </c>
      <c r="H5" s="10">
        <v>19375</v>
      </c>
      <c r="I5" s="10">
        <v>77500</v>
      </c>
    </row>
    <row r="6" spans="1:9" ht="120" hidden="1" customHeight="1" x14ac:dyDescent="0.2">
      <c r="A6" s="11" t="s">
        <v>9</v>
      </c>
      <c r="B6" s="12" t="s">
        <v>21</v>
      </c>
      <c r="C6" s="13" t="s">
        <v>63</v>
      </c>
      <c r="D6" s="14" t="s">
        <v>64</v>
      </c>
      <c r="E6" s="15" t="s">
        <v>65</v>
      </c>
      <c r="F6" s="16" t="s">
        <v>58</v>
      </c>
      <c r="G6" s="17">
        <v>102750</v>
      </c>
      <c r="H6" s="17">
        <v>34250</v>
      </c>
      <c r="I6" s="17">
        <v>137000</v>
      </c>
    </row>
    <row r="7" spans="1:9" ht="403" customHeight="1" x14ac:dyDescent="0.2">
      <c r="A7" s="95" t="s">
        <v>615</v>
      </c>
      <c r="B7" s="5" t="s">
        <v>605</v>
      </c>
      <c r="C7" s="85" t="s">
        <v>606</v>
      </c>
      <c r="D7" s="88" t="s">
        <v>52</v>
      </c>
      <c r="E7" s="8" t="s">
        <v>604</v>
      </c>
      <c r="F7" s="87" t="s">
        <v>607</v>
      </c>
      <c r="G7" s="10"/>
      <c r="H7" s="10">
        <v>421422</v>
      </c>
      <c r="I7" s="10">
        <v>421422</v>
      </c>
    </row>
    <row r="8" spans="1:9" ht="120" hidden="1" customHeight="1" x14ac:dyDescent="0.2">
      <c r="A8" s="96" t="s">
        <v>615</v>
      </c>
      <c r="B8" s="91" t="s">
        <v>609</v>
      </c>
      <c r="C8" s="92" t="s">
        <v>608</v>
      </c>
      <c r="D8" s="93" t="s">
        <v>98</v>
      </c>
      <c r="E8" s="94" t="s">
        <v>610</v>
      </c>
      <c r="F8" s="90" t="s">
        <v>607</v>
      </c>
      <c r="G8" s="17"/>
      <c r="H8" s="17">
        <v>232142</v>
      </c>
      <c r="I8" s="17">
        <v>232142</v>
      </c>
    </row>
    <row r="9" spans="1:9" ht="120" hidden="1" customHeight="1" x14ac:dyDescent="0.2">
      <c r="A9" s="95" t="s">
        <v>615</v>
      </c>
      <c r="B9" s="5" t="s">
        <v>612</v>
      </c>
      <c r="C9" s="89" t="s">
        <v>611</v>
      </c>
      <c r="D9" s="88" t="s">
        <v>119</v>
      </c>
      <c r="E9" s="8" t="s">
        <v>613</v>
      </c>
      <c r="F9" s="87" t="s">
        <v>614</v>
      </c>
      <c r="G9" s="10"/>
      <c r="H9" s="10">
        <v>80000</v>
      </c>
      <c r="I9" s="10">
        <v>80000</v>
      </c>
    </row>
    <row r="10" spans="1:9" ht="120" hidden="1" customHeight="1" x14ac:dyDescent="0.2">
      <c r="A10" s="11" t="s">
        <v>9</v>
      </c>
      <c r="B10" s="12" t="s">
        <v>24</v>
      </c>
      <c r="C10" s="13" t="s">
        <v>70</v>
      </c>
      <c r="D10" s="14" t="s">
        <v>52</v>
      </c>
      <c r="E10" s="15" t="s">
        <v>71</v>
      </c>
      <c r="F10" s="16" t="s">
        <v>62</v>
      </c>
      <c r="G10" s="17">
        <v>122483.92477500001</v>
      </c>
      <c r="H10" s="17">
        <v>40827.974925000002</v>
      </c>
      <c r="I10" s="17">
        <v>163311.89970000001</v>
      </c>
    </row>
    <row r="11" spans="1:9" ht="120" hidden="1" customHeight="1" x14ac:dyDescent="0.2">
      <c r="A11" s="4" t="s">
        <v>9</v>
      </c>
      <c r="B11" s="5" t="s">
        <v>72</v>
      </c>
      <c r="C11" s="6" t="s">
        <v>73</v>
      </c>
      <c r="D11" s="7" t="s">
        <v>12</v>
      </c>
      <c r="E11" s="8" t="s">
        <v>74</v>
      </c>
      <c r="F11" s="9" t="s">
        <v>58</v>
      </c>
      <c r="G11" s="10">
        <v>52452</v>
      </c>
      <c r="H11" s="10">
        <v>17484</v>
      </c>
      <c r="I11" s="10">
        <v>69936</v>
      </c>
    </row>
    <row r="12" spans="1:9" ht="120" hidden="1" customHeight="1" x14ac:dyDescent="0.2">
      <c r="A12" s="11" t="s">
        <v>9</v>
      </c>
      <c r="B12" s="12" t="s">
        <v>75</v>
      </c>
      <c r="C12" s="13" t="s">
        <v>76</v>
      </c>
      <c r="D12" s="14" t="s">
        <v>52</v>
      </c>
      <c r="E12" s="15" t="s">
        <v>77</v>
      </c>
      <c r="F12" s="16" t="s">
        <v>62</v>
      </c>
      <c r="G12" s="17">
        <v>57654</v>
      </c>
      <c r="H12" s="17">
        <v>19218</v>
      </c>
      <c r="I12" s="17">
        <v>76872</v>
      </c>
    </row>
    <row r="13" spans="1:9" ht="117.75" hidden="1" customHeight="1" x14ac:dyDescent="0.2">
      <c r="A13" s="4" t="s">
        <v>9</v>
      </c>
      <c r="B13" s="5" t="s">
        <v>78</v>
      </c>
      <c r="C13" s="6" t="s">
        <v>79</v>
      </c>
      <c r="D13" s="7" t="s">
        <v>52</v>
      </c>
      <c r="E13" s="8" t="s">
        <v>80</v>
      </c>
      <c r="F13" s="9" t="s">
        <v>81</v>
      </c>
      <c r="G13" s="10">
        <v>142057.125</v>
      </c>
      <c r="H13" s="10">
        <v>47352.375</v>
      </c>
      <c r="I13" s="10">
        <v>189409.5</v>
      </c>
    </row>
    <row r="14" spans="1:9" ht="117.75" hidden="1" customHeight="1" x14ac:dyDescent="0.2">
      <c r="A14" s="11" t="s">
        <v>9</v>
      </c>
      <c r="B14" s="12" t="s">
        <v>82</v>
      </c>
      <c r="C14" s="13" t="s">
        <v>83</v>
      </c>
      <c r="D14" s="14" t="s">
        <v>52</v>
      </c>
      <c r="E14" s="15" t="s">
        <v>84</v>
      </c>
      <c r="F14" s="16" t="s">
        <v>85</v>
      </c>
      <c r="G14" s="17">
        <v>95625</v>
      </c>
      <c r="H14" s="17">
        <v>31875</v>
      </c>
      <c r="I14" s="17">
        <v>127500</v>
      </c>
    </row>
    <row r="15" spans="1:9" ht="120" hidden="1" customHeight="1" x14ac:dyDescent="0.2">
      <c r="A15" s="4" t="s">
        <v>9</v>
      </c>
      <c r="B15" s="5" t="s">
        <v>86</v>
      </c>
      <c r="C15" s="6" t="s">
        <v>87</v>
      </c>
      <c r="D15" s="7" t="s">
        <v>52</v>
      </c>
      <c r="E15" s="8" t="s">
        <v>88</v>
      </c>
      <c r="F15" s="9" t="s">
        <v>89</v>
      </c>
      <c r="G15" s="10">
        <v>64075.875</v>
      </c>
      <c r="H15" s="10">
        <v>21358.625</v>
      </c>
      <c r="I15" s="10">
        <v>85434.5</v>
      </c>
    </row>
    <row r="16" spans="1:9" ht="120" hidden="1" customHeight="1" x14ac:dyDescent="0.2">
      <c r="A16" s="11" t="s">
        <v>9</v>
      </c>
      <c r="B16" s="12" t="s">
        <v>30</v>
      </c>
      <c r="C16" s="13" t="s">
        <v>90</v>
      </c>
      <c r="D16" s="14" t="s">
        <v>52</v>
      </c>
      <c r="E16" s="15" t="s">
        <v>91</v>
      </c>
      <c r="F16" s="16" t="s">
        <v>58</v>
      </c>
      <c r="G16" s="17">
        <v>91746</v>
      </c>
      <c r="H16" s="17">
        <v>30582</v>
      </c>
      <c r="I16" s="17">
        <v>122328</v>
      </c>
    </row>
    <row r="17" spans="1:9" ht="120" hidden="1" customHeight="1" x14ac:dyDescent="0.2">
      <c r="A17" s="4" t="s">
        <v>9</v>
      </c>
      <c r="B17" s="5" t="s">
        <v>32</v>
      </c>
      <c r="C17" s="6" t="s">
        <v>92</v>
      </c>
      <c r="D17" s="7" t="s">
        <v>64</v>
      </c>
      <c r="E17" s="8" t="s">
        <v>93</v>
      </c>
      <c r="F17" s="9" t="s">
        <v>69</v>
      </c>
      <c r="G17" s="10">
        <v>53432.662499999999</v>
      </c>
      <c r="H17" s="10">
        <v>17810.887500000001</v>
      </c>
      <c r="I17" s="10">
        <v>71243.55</v>
      </c>
    </row>
    <row r="18" spans="1:9" ht="120" hidden="1" customHeight="1" x14ac:dyDescent="0.2">
      <c r="A18" s="11" t="s">
        <v>9</v>
      </c>
      <c r="B18" s="12" t="s">
        <v>94</v>
      </c>
      <c r="C18" s="13" t="s">
        <v>95</v>
      </c>
      <c r="D18" s="14" t="s">
        <v>64</v>
      </c>
      <c r="E18" s="15" t="s">
        <v>96</v>
      </c>
      <c r="F18" s="16" t="s">
        <v>62</v>
      </c>
      <c r="G18" s="17">
        <v>70000</v>
      </c>
      <c r="H18" s="17"/>
      <c r="I18" s="17">
        <v>70000</v>
      </c>
    </row>
    <row r="19" spans="1:9" ht="120" hidden="1" customHeight="1" x14ac:dyDescent="0.2">
      <c r="A19" s="4" t="s">
        <v>9</v>
      </c>
      <c r="B19" s="5" t="s">
        <v>24</v>
      </c>
      <c r="C19" s="6" t="s">
        <v>97</v>
      </c>
      <c r="D19" s="7" t="s">
        <v>98</v>
      </c>
      <c r="E19" s="8" t="s">
        <v>99</v>
      </c>
      <c r="F19" s="9" t="s">
        <v>100</v>
      </c>
      <c r="G19" s="10">
        <v>76801.867524000001</v>
      </c>
      <c r="H19" s="10">
        <v>25600.622508</v>
      </c>
      <c r="I19" s="10">
        <v>102402.490032</v>
      </c>
    </row>
    <row r="20" spans="1:9" ht="120" hidden="1" customHeight="1" x14ac:dyDescent="0.2">
      <c r="A20" s="11" t="s">
        <v>9</v>
      </c>
      <c r="B20" s="12" t="s">
        <v>36</v>
      </c>
      <c r="C20" s="13" t="s">
        <v>101</v>
      </c>
      <c r="D20" s="14" t="s">
        <v>98</v>
      </c>
      <c r="E20" s="15" t="s">
        <v>102</v>
      </c>
      <c r="F20" s="16" t="s">
        <v>54</v>
      </c>
      <c r="G20" s="17">
        <v>15862.5</v>
      </c>
      <c r="H20" s="17">
        <v>5287.5</v>
      </c>
      <c r="I20" s="17">
        <v>21150</v>
      </c>
    </row>
    <row r="21" spans="1:9" ht="120" hidden="1" customHeight="1" x14ac:dyDescent="0.2">
      <c r="A21" s="4" t="s">
        <v>9</v>
      </c>
      <c r="B21" s="5" t="s">
        <v>35</v>
      </c>
      <c r="C21" s="6" t="s">
        <v>103</v>
      </c>
      <c r="D21" s="7" t="s">
        <v>98</v>
      </c>
      <c r="E21" s="8" t="s">
        <v>104</v>
      </c>
      <c r="F21" s="9" t="s">
        <v>89</v>
      </c>
      <c r="G21" s="10">
        <v>124612.5</v>
      </c>
      <c r="H21" s="10">
        <v>41537.5</v>
      </c>
      <c r="I21" s="10">
        <v>166150</v>
      </c>
    </row>
    <row r="22" spans="1:9" ht="120" hidden="1" customHeight="1" x14ac:dyDescent="0.2">
      <c r="A22" s="11" t="s">
        <v>9</v>
      </c>
      <c r="B22" s="12" t="s">
        <v>19</v>
      </c>
      <c r="C22" s="13" t="s">
        <v>105</v>
      </c>
      <c r="D22" s="14" t="s">
        <v>98</v>
      </c>
      <c r="E22" s="15" t="s">
        <v>106</v>
      </c>
      <c r="F22" s="16" t="s">
        <v>62</v>
      </c>
      <c r="G22" s="17">
        <v>130500</v>
      </c>
      <c r="H22" s="17">
        <v>43500</v>
      </c>
      <c r="I22" s="17">
        <v>174000</v>
      </c>
    </row>
    <row r="23" spans="1:9" ht="120" hidden="1" customHeight="1" x14ac:dyDescent="0.2">
      <c r="A23" s="4" t="s">
        <v>9</v>
      </c>
      <c r="B23" s="5" t="s">
        <v>107</v>
      </c>
      <c r="C23" s="6" t="s">
        <v>108</v>
      </c>
      <c r="D23" s="7" t="s">
        <v>12</v>
      </c>
      <c r="E23" s="8" t="s">
        <v>109</v>
      </c>
      <c r="F23" s="9" t="s">
        <v>62</v>
      </c>
      <c r="G23" s="10">
        <v>53804.25</v>
      </c>
      <c r="H23" s="10">
        <v>17934.75</v>
      </c>
      <c r="I23" s="10">
        <v>71739</v>
      </c>
    </row>
    <row r="24" spans="1:9" ht="120" hidden="1" customHeight="1" x14ac:dyDescent="0.2">
      <c r="A24" s="11" t="s">
        <v>9</v>
      </c>
      <c r="B24" s="12" t="s">
        <v>82</v>
      </c>
      <c r="C24" s="13" t="s">
        <v>110</v>
      </c>
      <c r="D24" s="14" t="s">
        <v>98</v>
      </c>
      <c r="E24" s="15" t="s">
        <v>111</v>
      </c>
      <c r="F24" s="16" t="s">
        <v>85</v>
      </c>
      <c r="G24" s="17">
        <v>94875</v>
      </c>
      <c r="H24" s="17">
        <v>31625</v>
      </c>
      <c r="I24" s="17">
        <v>126500</v>
      </c>
    </row>
    <row r="25" spans="1:9" ht="120" hidden="1" customHeight="1" x14ac:dyDescent="0.2">
      <c r="A25" s="4" t="s">
        <v>9</v>
      </c>
      <c r="B25" s="5" t="s">
        <v>112</v>
      </c>
      <c r="C25" s="6" t="s">
        <v>113</v>
      </c>
      <c r="D25" s="7" t="s">
        <v>98</v>
      </c>
      <c r="E25" s="8" t="s">
        <v>114</v>
      </c>
      <c r="F25" s="9" t="s">
        <v>58</v>
      </c>
      <c r="G25" s="10">
        <v>81969</v>
      </c>
      <c r="H25" s="10">
        <v>27323</v>
      </c>
      <c r="I25" s="10">
        <v>109292</v>
      </c>
    </row>
    <row r="26" spans="1:9" ht="105" hidden="1" customHeight="1" x14ac:dyDescent="0.2">
      <c r="A26" s="11" t="s">
        <v>9</v>
      </c>
      <c r="B26" s="12" t="s">
        <v>115</v>
      </c>
      <c r="C26" s="13" t="s">
        <v>116</v>
      </c>
      <c r="D26" s="14" t="s">
        <v>98</v>
      </c>
      <c r="E26" s="15" t="s">
        <v>117</v>
      </c>
      <c r="F26" s="16" t="s">
        <v>62</v>
      </c>
      <c r="G26" s="17">
        <v>52500</v>
      </c>
      <c r="H26" s="17">
        <v>17500</v>
      </c>
      <c r="I26" s="17">
        <v>70000</v>
      </c>
    </row>
    <row r="27" spans="1:9" ht="120" hidden="1" customHeight="1" x14ac:dyDescent="0.2">
      <c r="A27" s="4" t="s">
        <v>9</v>
      </c>
      <c r="B27" s="5" t="s">
        <v>21</v>
      </c>
      <c r="C27" s="6" t="s">
        <v>118</v>
      </c>
      <c r="D27" s="7" t="s">
        <v>119</v>
      </c>
      <c r="E27" s="8" t="s">
        <v>120</v>
      </c>
      <c r="F27" s="9" t="s">
        <v>58</v>
      </c>
      <c r="G27" s="10">
        <v>114375</v>
      </c>
      <c r="H27" s="10">
        <v>38125</v>
      </c>
      <c r="I27" s="10">
        <v>152500</v>
      </c>
    </row>
    <row r="28" spans="1:9" ht="120" hidden="1" customHeight="1" x14ac:dyDescent="0.2">
      <c r="A28" s="11" t="s">
        <v>9</v>
      </c>
      <c r="B28" s="12" t="s">
        <v>19</v>
      </c>
      <c r="C28" s="13" t="s">
        <v>121</v>
      </c>
      <c r="D28" s="14" t="s">
        <v>52</v>
      </c>
      <c r="E28" s="15" t="s">
        <v>122</v>
      </c>
      <c r="F28" s="16" t="s">
        <v>69</v>
      </c>
      <c r="G28" s="17">
        <v>270000</v>
      </c>
      <c r="H28" s="17">
        <v>90000</v>
      </c>
      <c r="I28" s="17">
        <v>360000</v>
      </c>
    </row>
    <row r="29" spans="1:9" ht="120" hidden="1" customHeight="1" x14ac:dyDescent="0.2">
      <c r="A29" s="4" t="s">
        <v>9</v>
      </c>
      <c r="B29" s="5" t="s">
        <v>22</v>
      </c>
      <c r="C29" s="6" t="s">
        <v>123</v>
      </c>
      <c r="D29" s="7" t="s">
        <v>119</v>
      </c>
      <c r="E29" s="8" t="s">
        <v>124</v>
      </c>
      <c r="F29" s="9" t="s">
        <v>54</v>
      </c>
      <c r="G29" s="10">
        <v>270254.25</v>
      </c>
      <c r="H29" s="10">
        <v>90084.75</v>
      </c>
      <c r="I29" s="10">
        <v>360339</v>
      </c>
    </row>
    <row r="30" spans="1:9" ht="120" hidden="1" customHeight="1" x14ac:dyDescent="0.2">
      <c r="A30" s="11" t="s">
        <v>9</v>
      </c>
      <c r="B30" s="12" t="s">
        <v>17</v>
      </c>
      <c r="C30" s="13" t="s">
        <v>125</v>
      </c>
      <c r="D30" s="14" t="s">
        <v>52</v>
      </c>
      <c r="E30" s="15" t="s">
        <v>126</v>
      </c>
      <c r="F30" s="16" t="s">
        <v>81</v>
      </c>
      <c r="G30" s="17">
        <v>267272.625</v>
      </c>
      <c r="H30" s="17">
        <v>89090.875</v>
      </c>
      <c r="I30" s="17">
        <v>356363.5</v>
      </c>
    </row>
    <row r="31" spans="1:9" ht="120" hidden="1" customHeight="1" x14ac:dyDescent="0.2">
      <c r="A31" s="4" t="s">
        <v>9</v>
      </c>
      <c r="B31" s="5" t="s">
        <v>33</v>
      </c>
      <c r="C31" s="6" t="s">
        <v>127</v>
      </c>
      <c r="D31" s="7" t="s">
        <v>119</v>
      </c>
      <c r="E31" s="8" t="s">
        <v>128</v>
      </c>
      <c r="F31" s="9" t="s">
        <v>54</v>
      </c>
      <c r="G31" s="10">
        <v>415881.75</v>
      </c>
      <c r="H31" s="10">
        <v>138627.25</v>
      </c>
      <c r="I31" s="10">
        <v>554509</v>
      </c>
    </row>
    <row r="32" spans="1:9" ht="120" hidden="1" customHeight="1" x14ac:dyDescent="0.2">
      <c r="A32" s="11" t="s">
        <v>9</v>
      </c>
      <c r="B32" s="12" t="s">
        <v>17</v>
      </c>
      <c r="C32" s="13" t="s">
        <v>129</v>
      </c>
      <c r="D32" s="14" t="s">
        <v>52</v>
      </c>
      <c r="E32" s="15" t="s">
        <v>130</v>
      </c>
      <c r="F32" s="16" t="s">
        <v>69</v>
      </c>
      <c r="G32" s="17">
        <v>337500</v>
      </c>
      <c r="H32" s="17">
        <v>112500</v>
      </c>
      <c r="I32" s="17">
        <v>450000</v>
      </c>
    </row>
    <row r="33" spans="1:9" ht="120" hidden="1" customHeight="1" x14ac:dyDescent="0.2">
      <c r="A33" s="4" t="s">
        <v>9</v>
      </c>
      <c r="B33" s="5" t="s">
        <v>17</v>
      </c>
      <c r="C33" s="6" t="s">
        <v>131</v>
      </c>
      <c r="D33" s="7" t="s">
        <v>52</v>
      </c>
      <c r="E33" s="8" t="s">
        <v>132</v>
      </c>
      <c r="F33" s="9" t="s">
        <v>62</v>
      </c>
      <c r="G33" s="10">
        <v>444894.375</v>
      </c>
      <c r="H33" s="10">
        <v>148298.125</v>
      </c>
      <c r="I33" s="10">
        <v>593192.5</v>
      </c>
    </row>
    <row r="34" spans="1:9" ht="117.75" hidden="1" customHeight="1" x14ac:dyDescent="0.2">
      <c r="A34" s="11" t="s">
        <v>9</v>
      </c>
      <c r="B34" s="12" t="s">
        <v>27</v>
      </c>
      <c r="C34" s="13" t="s">
        <v>133</v>
      </c>
      <c r="D34" s="14" t="s">
        <v>119</v>
      </c>
      <c r="E34" s="15" t="s">
        <v>134</v>
      </c>
      <c r="F34" s="16" t="s">
        <v>135</v>
      </c>
      <c r="G34" s="17">
        <v>141629.25</v>
      </c>
      <c r="H34" s="17">
        <v>47209.75</v>
      </c>
      <c r="I34" s="17">
        <v>188839</v>
      </c>
    </row>
    <row r="35" spans="1:9" ht="120" hidden="1" customHeight="1" x14ac:dyDescent="0.2">
      <c r="A35" s="4" t="s">
        <v>9</v>
      </c>
      <c r="B35" s="5" t="s">
        <v>17</v>
      </c>
      <c r="C35" s="6" t="s">
        <v>136</v>
      </c>
      <c r="D35" s="7" t="s">
        <v>52</v>
      </c>
      <c r="E35" s="8" t="s">
        <v>137</v>
      </c>
      <c r="F35" s="9" t="s">
        <v>89</v>
      </c>
      <c r="G35" s="10">
        <v>187500</v>
      </c>
      <c r="H35" s="10">
        <v>62500</v>
      </c>
      <c r="I35" s="10">
        <v>250000</v>
      </c>
    </row>
    <row r="36" spans="1:9" ht="120" hidden="1" customHeight="1" x14ac:dyDescent="0.2">
      <c r="A36" s="11" t="s">
        <v>9</v>
      </c>
      <c r="B36" s="12" t="s">
        <v>138</v>
      </c>
      <c r="C36" s="13" t="s">
        <v>139</v>
      </c>
      <c r="D36" s="14" t="s">
        <v>119</v>
      </c>
      <c r="E36" s="15" t="s">
        <v>140</v>
      </c>
      <c r="F36" s="16" t="s">
        <v>62</v>
      </c>
      <c r="G36" s="17">
        <v>91500</v>
      </c>
      <c r="H36" s="17">
        <v>30500</v>
      </c>
      <c r="I36" s="17">
        <v>122000</v>
      </c>
    </row>
    <row r="37" spans="1:9" ht="120" hidden="1" customHeight="1" x14ac:dyDescent="0.2">
      <c r="A37" s="4" t="s">
        <v>9</v>
      </c>
      <c r="B37" s="5" t="s">
        <v>19</v>
      </c>
      <c r="C37" s="6" t="s">
        <v>141</v>
      </c>
      <c r="D37" s="7" t="s">
        <v>64</v>
      </c>
      <c r="E37" s="8" t="s">
        <v>142</v>
      </c>
      <c r="F37" s="9" t="s">
        <v>62</v>
      </c>
      <c r="G37" s="10">
        <v>101437.5</v>
      </c>
      <c r="H37" s="10">
        <v>33812.5</v>
      </c>
      <c r="I37" s="10">
        <v>135250</v>
      </c>
    </row>
    <row r="38" spans="1:9" ht="120" hidden="1" customHeight="1" x14ac:dyDescent="0.2">
      <c r="A38" s="11" t="s">
        <v>9</v>
      </c>
      <c r="B38" s="12" t="s">
        <v>27</v>
      </c>
      <c r="C38" s="13" t="s">
        <v>143</v>
      </c>
      <c r="D38" s="14" t="s">
        <v>119</v>
      </c>
      <c r="E38" s="15" t="s">
        <v>144</v>
      </c>
      <c r="F38" s="16" t="s">
        <v>145</v>
      </c>
      <c r="G38" s="17">
        <v>105000</v>
      </c>
      <c r="H38" s="17">
        <v>35000</v>
      </c>
      <c r="I38" s="17">
        <v>140000</v>
      </c>
    </row>
    <row r="39" spans="1:9" ht="120" hidden="1" customHeight="1" x14ac:dyDescent="0.2">
      <c r="A39" s="4" t="s">
        <v>9</v>
      </c>
      <c r="B39" s="5" t="s">
        <v>146</v>
      </c>
      <c r="C39" s="6" t="s">
        <v>147</v>
      </c>
      <c r="D39" s="7" t="s">
        <v>119</v>
      </c>
      <c r="E39" s="8" t="s">
        <v>148</v>
      </c>
      <c r="F39" s="9" t="s">
        <v>54</v>
      </c>
      <c r="G39" s="10">
        <v>70000</v>
      </c>
      <c r="H39" s="10"/>
      <c r="I39" s="10">
        <v>70000</v>
      </c>
    </row>
    <row r="40" spans="1:9" ht="120" hidden="1" customHeight="1" x14ac:dyDescent="0.2">
      <c r="A40" s="11" t="s">
        <v>9</v>
      </c>
      <c r="B40" s="12" t="s">
        <v>31</v>
      </c>
      <c r="C40" s="13" t="s">
        <v>149</v>
      </c>
      <c r="D40" s="14" t="s">
        <v>119</v>
      </c>
      <c r="E40" s="15" t="s">
        <v>150</v>
      </c>
      <c r="F40" s="16" t="s">
        <v>151</v>
      </c>
      <c r="G40" s="17">
        <v>108357.375</v>
      </c>
      <c r="H40" s="17">
        <v>36119.125</v>
      </c>
      <c r="I40" s="17">
        <v>144476.5</v>
      </c>
    </row>
    <row r="41" spans="1:9" ht="120" hidden="1" customHeight="1" x14ac:dyDescent="0.2">
      <c r="A41" s="4" t="s">
        <v>9</v>
      </c>
      <c r="B41" s="5" t="s">
        <v>152</v>
      </c>
      <c r="C41" s="6" t="s">
        <v>153</v>
      </c>
      <c r="D41" s="7" t="s">
        <v>119</v>
      </c>
      <c r="E41" s="8" t="s">
        <v>154</v>
      </c>
      <c r="F41" s="9" t="s">
        <v>69</v>
      </c>
      <c r="G41" s="10">
        <v>53625</v>
      </c>
      <c r="H41" s="10">
        <v>17875</v>
      </c>
      <c r="I41" s="10">
        <v>71500</v>
      </c>
    </row>
    <row r="42" spans="1:9" ht="120" hidden="1" customHeight="1" x14ac:dyDescent="0.2">
      <c r="A42" s="11" t="s">
        <v>9</v>
      </c>
      <c r="B42" s="12" t="s">
        <v>155</v>
      </c>
      <c r="C42" s="13" t="s">
        <v>156</v>
      </c>
      <c r="D42" s="14" t="s">
        <v>119</v>
      </c>
      <c r="E42" s="15" t="s">
        <v>157</v>
      </c>
      <c r="F42" s="16" t="s">
        <v>54</v>
      </c>
      <c r="G42" s="17">
        <v>53250</v>
      </c>
      <c r="H42" s="17">
        <v>17750</v>
      </c>
      <c r="I42" s="17">
        <v>71000</v>
      </c>
    </row>
    <row r="43" spans="1:9" ht="120" hidden="1" customHeight="1" x14ac:dyDescent="0.2">
      <c r="A43" s="4" t="s">
        <v>9</v>
      </c>
      <c r="B43" s="5" t="s">
        <v>158</v>
      </c>
      <c r="C43" s="6" t="s">
        <v>159</v>
      </c>
      <c r="D43" s="7" t="s">
        <v>119</v>
      </c>
      <c r="E43" s="8" t="s">
        <v>160</v>
      </c>
      <c r="F43" s="9" t="s">
        <v>62</v>
      </c>
      <c r="G43" s="10">
        <v>70000</v>
      </c>
      <c r="H43" s="10"/>
      <c r="I43" s="10">
        <v>70000</v>
      </c>
    </row>
    <row r="44" spans="1:9" ht="120" hidden="1" customHeight="1" x14ac:dyDescent="0.2">
      <c r="A44" s="11" t="s">
        <v>10</v>
      </c>
      <c r="B44" s="12" t="s">
        <v>161</v>
      </c>
      <c r="C44" s="13" t="s">
        <v>162</v>
      </c>
      <c r="D44" s="14" t="s">
        <v>64</v>
      </c>
      <c r="E44" s="15" t="s">
        <v>163</v>
      </c>
      <c r="F44" s="16" t="s">
        <v>164</v>
      </c>
      <c r="G44" s="17"/>
      <c r="H44" s="17">
        <v>58598</v>
      </c>
      <c r="I44" s="17">
        <v>58598</v>
      </c>
    </row>
    <row r="45" spans="1:9" ht="120" hidden="1" customHeight="1" x14ac:dyDescent="0.2">
      <c r="A45" s="4" t="s">
        <v>10</v>
      </c>
      <c r="B45" s="5" t="s">
        <v>165</v>
      </c>
      <c r="C45" s="6" t="s">
        <v>166</v>
      </c>
      <c r="D45" s="7" t="s">
        <v>98</v>
      </c>
      <c r="E45" s="8" t="s">
        <v>167</v>
      </c>
      <c r="F45" s="9" t="s">
        <v>81</v>
      </c>
      <c r="G45" s="10"/>
      <c r="H45" s="10">
        <v>73704</v>
      </c>
      <c r="I45" s="10">
        <v>73704</v>
      </c>
    </row>
    <row r="46" spans="1:9" ht="105" hidden="1" customHeight="1" x14ac:dyDescent="0.2">
      <c r="A46" s="11" t="s">
        <v>10</v>
      </c>
      <c r="B46" s="12" t="s">
        <v>168</v>
      </c>
      <c r="C46" s="13" t="s">
        <v>169</v>
      </c>
      <c r="D46" s="14" t="s">
        <v>64</v>
      </c>
      <c r="E46" s="15" t="s">
        <v>170</v>
      </c>
      <c r="F46" s="16" t="s">
        <v>85</v>
      </c>
      <c r="G46" s="17"/>
      <c r="H46" s="17">
        <v>33200</v>
      </c>
      <c r="I46" s="17">
        <v>33200</v>
      </c>
    </row>
    <row r="47" spans="1:9" ht="120" hidden="1" customHeight="1" x14ac:dyDescent="0.2">
      <c r="A47" s="4" t="s">
        <v>10</v>
      </c>
      <c r="B47" s="5" t="s">
        <v>171</v>
      </c>
      <c r="C47" s="6" t="s">
        <v>172</v>
      </c>
      <c r="D47" s="7" t="s">
        <v>64</v>
      </c>
      <c r="E47" s="8" t="s">
        <v>173</v>
      </c>
      <c r="F47" s="9" t="s">
        <v>69</v>
      </c>
      <c r="G47" s="10"/>
      <c r="H47" s="10">
        <v>16600</v>
      </c>
      <c r="I47" s="10">
        <v>16600</v>
      </c>
    </row>
    <row r="48" spans="1:9" ht="117.75" hidden="1" customHeight="1" x14ac:dyDescent="0.2">
      <c r="A48" s="11" t="s">
        <v>10</v>
      </c>
      <c r="B48" s="12" t="s">
        <v>174</v>
      </c>
      <c r="C48" s="13" t="s">
        <v>175</v>
      </c>
      <c r="D48" s="14" t="s">
        <v>12</v>
      </c>
      <c r="E48" s="15" t="s">
        <v>176</v>
      </c>
      <c r="F48" s="16" t="s">
        <v>58</v>
      </c>
      <c r="G48" s="17"/>
      <c r="H48" s="17">
        <v>80095</v>
      </c>
      <c r="I48" s="17">
        <v>80095</v>
      </c>
    </row>
    <row r="49" spans="1:9" ht="91.5" hidden="1" customHeight="1" x14ac:dyDescent="0.2">
      <c r="A49" s="4" t="s">
        <v>10</v>
      </c>
      <c r="B49" s="5" t="s">
        <v>82</v>
      </c>
      <c r="C49" s="6" t="s">
        <v>177</v>
      </c>
      <c r="D49" s="7" t="s">
        <v>12</v>
      </c>
      <c r="E49" s="8" t="s">
        <v>178</v>
      </c>
      <c r="F49" s="9" t="s">
        <v>85</v>
      </c>
      <c r="G49" s="10"/>
      <c r="H49" s="10">
        <v>66400</v>
      </c>
      <c r="I49" s="10">
        <v>66400</v>
      </c>
    </row>
    <row r="50" spans="1:9" ht="105" hidden="1" customHeight="1" x14ac:dyDescent="0.2">
      <c r="A50" s="11" t="s">
        <v>10</v>
      </c>
      <c r="B50" s="12" t="s">
        <v>179</v>
      </c>
      <c r="C50" s="13" t="s">
        <v>180</v>
      </c>
      <c r="D50" s="14" t="s">
        <v>12</v>
      </c>
      <c r="E50" s="15" t="s">
        <v>181</v>
      </c>
      <c r="F50" s="16" t="s">
        <v>69</v>
      </c>
      <c r="G50" s="17"/>
      <c r="H50" s="17">
        <v>16600</v>
      </c>
      <c r="I50" s="17">
        <v>16600</v>
      </c>
    </row>
    <row r="51" spans="1:9" ht="120" hidden="1" customHeight="1" x14ac:dyDescent="0.2">
      <c r="A51" s="4" t="s">
        <v>10</v>
      </c>
      <c r="B51" s="5" t="s">
        <v>182</v>
      </c>
      <c r="C51" s="6" t="s">
        <v>183</v>
      </c>
      <c r="D51" s="7" t="s">
        <v>64</v>
      </c>
      <c r="E51" s="8" t="s">
        <v>184</v>
      </c>
      <c r="F51" s="9" t="s">
        <v>54</v>
      </c>
      <c r="G51" s="10"/>
      <c r="H51" s="10">
        <v>29050</v>
      </c>
      <c r="I51" s="10">
        <v>29050</v>
      </c>
    </row>
    <row r="52" spans="1:9" ht="120" hidden="1" customHeight="1" x14ac:dyDescent="0.2">
      <c r="A52" s="11" t="s">
        <v>10</v>
      </c>
      <c r="B52" s="12" t="s">
        <v>185</v>
      </c>
      <c r="C52" s="13" t="s">
        <v>186</v>
      </c>
      <c r="D52" s="14" t="s">
        <v>64</v>
      </c>
      <c r="E52" s="15" t="s">
        <v>187</v>
      </c>
      <c r="F52" s="16" t="s">
        <v>62</v>
      </c>
      <c r="G52" s="17"/>
      <c r="H52" s="17">
        <v>29050</v>
      </c>
      <c r="I52" s="17">
        <v>29050</v>
      </c>
    </row>
    <row r="53" spans="1:9" ht="120" hidden="1" customHeight="1" x14ac:dyDescent="0.2">
      <c r="A53" s="4" t="s">
        <v>10</v>
      </c>
      <c r="B53" s="5" t="s">
        <v>188</v>
      </c>
      <c r="C53" s="6" t="s">
        <v>189</v>
      </c>
      <c r="D53" s="7" t="s">
        <v>52</v>
      </c>
      <c r="E53" s="8" t="s">
        <v>190</v>
      </c>
      <c r="F53" s="9" t="s">
        <v>191</v>
      </c>
      <c r="G53" s="10"/>
      <c r="H53" s="10">
        <v>44827.055</v>
      </c>
      <c r="I53" s="10">
        <v>44827.055</v>
      </c>
    </row>
    <row r="54" spans="1:9" ht="120" hidden="1" customHeight="1" x14ac:dyDescent="0.2">
      <c r="A54" s="11" t="s">
        <v>10</v>
      </c>
      <c r="B54" s="12" t="s">
        <v>107</v>
      </c>
      <c r="C54" s="13" t="s">
        <v>192</v>
      </c>
      <c r="D54" s="14" t="s">
        <v>12</v>
      </c>
      <c r="E54" s="15" t="s">
        <v>193</v>
      </c>
      <c r="F54" s="16" t="s">
        <v>62</v>
      </c>
      <c r="G54" s="17"/>
      <c r="H54" s="17">
        <v>68060</v>
      </c>
      <c r="I54" s="17">
        <v>68060</v>
      </c>
    </row>
    <row r="55" spans="1:9" ht="120" hidden="1" customHeight="1" x14ac:dyDescent="0.2">
      <c r="A55" s="4" t="s">
        <v>10</v>
      </c>
      <c r="B55" s="5" t="s">
        <v>194</v>
      </c>
      <c r="C55" s="6" t="s">
        <v>195</v>
      </c>
      <c r="D55" s="7" t="s">
        <v>64</v>
      </c>
      <c r="E55" s="8" t="s">
        <v>196</v>
      </c>
      <c r="F55" s="9" t="s">
        <v>67</v>
      </c>
      <c r="G55" s="10"/>
      <c r="H55" s="10">
        <v>74700</v>
      </c>
      <c r="I55" s="10">
        <v>74700</v>
      </c>
    </row>
    <row r="56" spans="1:9" ht="120" hidden="1" customHeight="1" x14ac:dyDescent="0.2">
      <c r="A56" s="11" t="s">
        <v>10</v>
      </c>
      <c r="B56" s="12" t="s">
        <v>22</v>
      </c>
      <c r="C56" s="13" t="s">
        <v>197</v>
      </c>
      <c r="D56" s="14" t="s">
        <v>64</v>
      </c>
      <c r="E56" s="15" t="s">
        <v>198</v>
      </c>
      <c r="F56" s="16" t="s">
        <v>54</v>
      </c>
      <c r="G56" s="17"/>
      <c r="H56" s="17">
        <v>66400</v>
      </c>
      <c r="I56" s="17">
        <v>66400</v>
      </c>
    </row>
    <row r="57" spans="1:9" ht="120" hidden="1" customHeight="1" x14ac:dyDescent="0.2">
      <c r="A57" s="4" t="s">
        <v>10</v>
      </c>
      <c r="B57" s="5" t="s">
        <v>22</v>
      </c>
      <c r="C57" s="6" t="s">
        <v>199</v>
      </c>
      <c r="D57" s="7" t="s">
        <v>119</v>
      </c>
      <c r="E57" s="8" t="s">
        <v>200</v>
      </c>
      <c r="F57" s="9" t="s">
        <v>54</v>
      </c>
      <c r="G57" s="10"/>
      <c r="H57" s="10">
        <v>53950</v>
      </c>
      <c r="I57" s="10">
        <v>53950</v>
      </c>
    </row>
    <row r="58" spans="1:9" ht="120" hidden="1" customHeight="1" x14ac:dyDescent="0.2">
      <c r="A58" s="11" t="s">
        <v>10</v>
      </c>
      <c r="B58" s="12" t="s">
        <v>201</v>
      </c>
      <c r="C58" s="13" t="s">
        <v>202</v>
      </c>
      <c r="D58" s="14" t="s">
        <v>98</v>
      </c>
      <c r="E58" s="15" t="s">
        <v>203</v>
      </c>
      <c r="F58" s="16" t="s">
        <v>204</v>
      </c>
      <c r="G58" s="17"/>
      <c r="H58" s="17">
        <v>59760</v>
      </c>
      <c r="I58" s="17">
        <v>59760</v>
      </c>
    </row>
    <row r="59" spans="1:9" ht="120" hidden="1" customHeight="1" x14ac:dyDescent="0.2">
      <c r="A59" s="4" t="s">
        <v>10</v>
      </c>
      <c r="B59" s="5" t="s">
        <v>205</v>
      </c>
      <c r="C59" s="6" t="s">
        <v>206</v>
      </c>
      <c r="D59" s="7" t="s">
        <v>12</v>
      </c>
      <c r="E59" s="8" t="s">
        <v>207</v>
      </c>
      <c r="F59" s="9" t="s">
        <v>81</v>
      </c>
      <c r="G59" s="10"/>
      <c r="H59" s="10">
        <v>24900</v>
      </c>
      <c r="I59" s="10">
        <v>24900</v>
      </c>
    </row>
    <row r="60" spans="1:9" ht="120" hidden="1" customHeight="1" x14ac:dyDescent="0.2">
      <c r="A60" s="11" t="s">
        <v>10</v>
      </c>
      <c r="B60" s="12" t="s">
        <v>29</v>
      </c>
      <c r="C60" s="13" t="s">
        <v>208</v>
      </c>
      <c r="D60" s="14" t="s">
        <v>98</v>
      </c>
      <c r="E60" s="15" t="s">
        <v>209</v>
      </c>
      <c r="F60" s="16" t="s">
        <v>210</v>
      </c>
      <c r="G60" s="17"/>
      <c r="H60" s="17">
        <v>120350</v>
      </c>
      <c r="I60" s="17">
        <v>120350</v>
      </c>
    </row>
    <row r="61" spans="1:9" ht="107" customHeight="1" x14ac:dyDescent="0.2">
      <c r="A61" s="4" t="s">
        <v>10</v>
      </c>
      <c r="B61" s="5" t="s">
        <v>38</v>
      </c>
      <c r="C61" s="6" t="s">
        <v>211</v>
      </c>
      <c r="D61" s="7" t="s">
        <v>52</v>
      </c>
      <c r="E61" s="8" t="s">
        <v>212</v>
      </c>
      <c r="F61" s="9" t="s">
        <v>58</v>
      </c>
      <c r="G61" s="10"/>
      <c r="H61" s="10">
        <v>86320</v>
      </c>
      <c r="I61" s="10">
        <v>86320</v>
      </c>
    </row>
    <row r="62" spans="1:9" ht="61" customHeight="1" x14ac:dyDescent="0.2">
      <c r="A62" s="11" t="s">
        <v>10</v>
      </c>
      <c r="B62" s="12" t="s">
        <v>38</v>
      </c>
      <c r="C62" s="13" t="s">
        <v>213</v>
      </c>
      <c r="D62" s="14" t="s">
        <v>52</v>
      </c>
      <c r="E62" s="15" t="s">
        <v>214</v>
      </c>
      <c r="F62" s="16" t="s">
        <v>58</v>
      </c>
      <c r="G62" s="17"/>
      <c r="H62" s="17">
        <v>84660</v>
      </c>
      <c r="I62" s="17">
        <v>84660</v>
      </c>
    </row>
    <row r="63" spans="1:9" ht="34" customHeight="1" x14ac:dyDescent="0.2">
      <c r="A63" s="4" t="s">
        <v>10</v>
      </c>
      <c r="B63" s="5" t="s">
        <v>32</v>
      </c>
      <c r="C63" s="6" t="s">
        <v>215</v>
      </c>
      <c r="D63" s="7" t="s">
        <v>12</v>
      </c>
      <c r="E63" s="8" t="s">
        <v>216</v>
      </c>
      <c r="F63" s="9" t="s">
        <v>69</v>
      </c>
      <c r="G63" s="10"/>
      <c r="H63" s="10">
        <v>18260</v>
      </c>
      <c r="I63" s="10">
        <v>18260</v>
      </c>
    </row>
    <row r="64" spans="1:9" ht="71" customHeight="1" x14ac:dyDescent="0.2">
      <c r="A64" s="11" t="s">
        <v>10</v>
      </c>
      <c r="B64" s="12" t="s">
        <v>32</v>
      </c>
      <c r="C64" s="13" t="s">
        <v>217</v>
      </c>
      <c r="D64" s="14" t="s">
        <v>64</v>
      </c>
      <c r="E64" s="15" t="s">
        <v>218</v>
      </c>
      <c r="F64" s="16" t="s">
        <v>69</v>
      </c>
      <c r="G64" s="17"/>
      <c r="H64" s="17">
        <v>59137.5</v>
      </c>
      <c r="I64" s="17">
        <v>59137.5</v>
      </c>
    </row>
    <row r="65" spans="1:9" ht="173" customHeight="1" x14ac:dyDescent="0.2">
      <c r="A65" s="95" t="s">
        <v>615</v>
      </c>
      <c r="B65" s="5" t="s">
        <v>605</v>
      </c>
      <c r="C65" s="85" t="s">
        <v>606</v>
      </c>
      <c r="D65" s="88" t="s">
        <v>52</v>
      </c>
      <c r="E65" s="8" t="s">
        <v>604</v>
      </c>
      <c r="F65" s="87" t="s">
        <v>607</v>
      </c>
      <c r="G65" s="10"/>
      <c r="H65" s="10">
        <v>421422</v>
      </c>
      <c r="I65" s="10">
        <v>421422</v>
      </c>
    </row>
    <row r="66" spans="1:9" ht="120" hidden="1" customHeight="1" x14ac:dyDescent="0.2">
      <c r="A66" s="96" t="s">
        <v>615</v>
      </c>
      <c r="B66" s="91" t="s">
        <v>609</v>
      </c>
      <c r="C66" s="92" t="s">
        <v>608</v>
      </c>
      <c r="D66" s="93" t="s">
        <v>98</v>
      </c>
      <c r="E66" s="94" t="s">
        <v>610</v>
      </c>
      <c r="F66" s="90" t="s">
        <v>607</v>
      </c>
      <c r="G66" s="17"/>
      <c r="H66" s="17">
        <v>232142</v>
      </c>
      <c r="I66" s="17">
        <v>232142</v>
      </c>
    </row>
    <row r="67" spans="1:9" ht="117.75" hidden="1" customHeight="1" x14ac:dyDescent="0.2">
      <c r="A67" s="95" t="s">
        <v>615</v>
      </c>
      <c r="B67" s="5" t="s">
        <v>612</v>
      </c>
      <c r="C67" s="89" t="s">
        <v>611</v>
      </c>
      <c r="D67" s="88" t="s">
        <v>119</v>
      </c>
      <c r="E67" s="8" t="s">
        <v>613</v>
      </c>
      <c r="F67" s="87" t="s">
        <v>614</v>
      </c>
      <c r="G67" s="10"/>
      <c r="H67" s="10">
        <v>80000</v>
      </c>
      <c r="I67" s="10">
        <v>80000</v>
      </c>
    </row>
    <row r="68" spans="1:9" ht="120" hidden="1" customHeight="1" x14ac:dyDescent="0.2">
      <c r="A68" s="11" t="s">
        <v>10</v>
      </c>
      <c r="B68" s="12" t="s">
        <v>226</v>
      </c>
      <c r="C68" s="13" t="s">
        <v>227</v>
      </c>
      <c r="D68" s="14" t="s">
        <v>12</v>
      </c>
      <c r="E68" s="15" t="s">
        <v>228</v>
      </c>
      <c r="F68" s="16" t="s">
        <v>58</v>
      </c>
      <c r="G68" s="17"/>
      <c r="H68" s="17">
        <v>41500</v>
      </c>
      <c r="I68" s="17">
        <v>41500</v>
      </c>
    </row>
    <row r="69" spans="1:9" ht="120" hidden="1" customHeight="1" x14ac:dyDescent="0.2">
      <c r="A69" s="4" t="s">
        <v>10</v>
      </c>
      <c r="B69" s="5" t="s">
        <v>19</v>
      </c>
      <c r="C69" s="6" t="s">
        <v>229</v>
      </c>
      <c r="D69" s="7" t="s">
        <v>12</v>
      </c>
      <c r="E69" s="8" t="s">
        <v>230</v>
      </c>
      <c r="F69" s="9" t="s">
        <v>62</v>
      </c>
      <c r="G69" s="10"/>
      <c r="H69" s="10">
        <v>49800</v>
      </c>
      <c r="I69" s="10">
        <v>49800</v>
      </c>
    </row>
    <row r="70" spans="1:9" ht="120" hidden="1" customHeight="1" x14ac:dyDescent="0.2">
      <c r="A70" s="11" t="s">
        <v>10</v>
      </c>
      <c r="B70" s="12" t="s">
        <v>231</v>
      </c>
      <c r="C70" s="13" t="s">
        <v>232</v>
      </c>
      <c r="D70" s="14" t="s">
        <v>12</v>
      </c>
      <c r="E70" s="15" t="s">
        <v>233</v>
      </c>
      <c r="F70" s="16" t="s">
        <v>234</v>
      </c>
      <c r="G70" s="17"/>
      <c r="H70" s="17">
        <v>68143</v>
      </c>
      <c r="I70" s="17">
        <v>68143</v>
      </c>
    </row>
    <row r="71" spans="1:9" ht="120" hidden="1" customHeight="1" x14ac:dyDescent="0.2">
      <c r="A71" s="4" t="s">
        <v>10</v>
      </c>
      <c r="B71" s="5" t="s">
        <v>235</v>
      </c>
      <c r="C71" s="6" t="s">
        <v>236</v>
      </c>
      <c r="D71" s="7" t="s">
        <v>12</v>
      </c>
      <c r="E71" s="8" t="s">
        <v>237</v>
      </c>
      <c r="F71" s="9" t="s">
        <v>85</v>
      </c>
      <c r="G71" s="10"/>
      <c r="H71" s="10">
        <v>39176</v>
      </c>
      <c r="I71" s="10">
        <v>39176</v>
      </c>
    </row>
    <row r="72" spans="1:9" ht="120" hidden="1" customHeight="1" x14ac:dyDescent="0.2">
      <c r="A72" s="11" t="s">
        <v>10</v>
      </c>
      <c r="B72" s="12" t="s">
        <v>19</v>
      </c>
      <c r="C72" s="13" t="s">
        <v>238</v>
      </c>
      <c r="D72" s="14" t="s">
        <v>12</v>
      </c>
      <c r="E72" s="15" t="s">
        <v>239</v>
      </c>
      <c r="F72" s="16" t="s">
        <v>240</v>
      </c>
      <c r="G72" s="17"/>
      <c r="H72" s="17">
        <v>49800</v>
      </c>
      <c r="I72" s="17">
        <v>49800</v>
      </c>
    </row>
    <row r="73" spans="1:9" ht="120" hidden="1" customHeight="1" x14ac:dyDescent="0.2">
      <c r="A73" s="4" t="s">
        <v>10</v>
      </c>
      <c r="B73" s="5" t="s">
        <v>22</v>
      </c>
      <c r="C73" s="6" t="s">
        <v>241</v>
      </c>
      <c r="D73" s="7" t="s">
        <v>119</v>
      </c>
      <c r="E73" s="8" t="s">
        <v>242</v>
      </c>
      <c r="F73" s="9" t="s">
        <v>54</v>
      </c>
      <c r="G73" s="10"/>
      <c r="H73" s="10">
        <v>53950</v>
      </c>
      <c r="I73" s="10">
        <v>53950</v>
      </c>
    </row>
    <row r="74" spans="1:9" ht="120" hidden="1" customHeight="1" x14ac:dyDescent="0.2">
      <c r="A74" s="11" t="s">
        <v>10</v>
      </c>
      <c r="B74" s="12" t="s">
        <v>19</v>
      </c>
      <c r="C74" s="13" t="s">
        <v>243</v>
      </c>
      <c r="D74" s="14" t="s">
        <v>12</v>
      </c>
      <c r="E74" s="15" t="s">
        <v>244</v>
      </c>
      <c r="F74" s="16" t="s">
        <v>69</v>
      </c>
      <c r="G74" s="17"/>
      <c r="H74" s="17">
        <v>41500</v>
      </c>
      <c r="I74" s="17">
        <v>41500</v>
      </c>
    </row>
    <row r="75" spans="1:9" ht="120" hidden="1" customHeight="1" x14ac:dyDescent="0.2">
      <c r="A75" s="4" t="s">
        <v>10</v>
      </c>
      <c r="B75" s="5" t="s">
        <v>36</v>
      </c>
      <c r="C75" s="6" t="s">
        <v>245</v>
      </c>
      <c r="D75" s="7" t="s">
        <v>12</v>
      </c>
      <c r="E75" s="8" t="s">
        <v>246</v>
      </c>
      <c r="F75" s="9" t="s">
        <v>54</v>
      </c>
      <c r="G75" s="10"/>
      <c r="H75" s="10">
        <v>43857.2</v>
      </c>
      <c r="I75" s="10">
        <v>43857.2</v>
      </c>
    </row>
    <row r="76" spans="1:9" ht="120" hidden="1" customHeight="1" x14ac:dyDescent="0.2">
      <c r="A76" s="11" t="s">
        <v>10</v>
      </c>
      <c r="B76" s="12" t="s">
        <v>247</v>
      </c>
      <c r="C76" s="13" t="s">
        <v>248</v>
      </c>
      <c r="D76" s="14" t="s">
        <v>64</v>
      </c>
      <c r="E76" s="15" t="s">
        <v>249</v>
      </c>
      <c r="F76" s="16" t="s">
        <v>67</v>
      </c>
      <c r="G76" s="17"/>
      <c r="H76" s="17">
        <v>20750</v>
      </c>
      <c r="I76" s="17">
        <v>20750</v>
      </c>
    </row>
    <row r="77" spans="1:9" ht="120" hidden="1" customHeight="1" x14ac:dyDescent="0.2">
      <c r="A77" s="4" t="s">
        <v>10</v>
      </c>
      <c r="B77" s="5" t="s">
        <v>36</v>
      </c>
      <c r="C77" s="6" t="s">
        <v>250</v>
      </c>
      <c r="D77" s="7" t="s">
        <v>98</v>
      </c>
      <c r="E77" s="8" t="s">
        <v>251</v>
      </c>
      <c r="F77" s="9" t="s">
        <v>54</v>
      </c>
      <c r="G77" s="10"/>
      <c r="H77" s="10">
        <v>43990</v>
      </c>
      <c r="I77" s="10">
        <v>43990</v>
      </c>
    </row>
    <row r="78" spans="1:9" ht="91.5" hidden="1" customHeight="1" x14ac:dyDescent="0.2">
      <c r="A78" s="11" t="s">
        <v>10</v>
      </c>
      <c r="B78" s="12" t="s">
        <v>252</v>
      </c>
      <c r="C78" s="13" t="s">
        <v>253</v>
      </c>
      <c r="D78" s="14" t="s">
        <v>64</v>
      </c>
      <c r="E78" s="15" t="s">
        <v>254</v>
      </c>
      <c r="F78" s="16" t="s">
        <v>89</v>
      </c>
      <c r="G78" s="17"/>
      <c r="H78" s="17">
        <v>83000</v>
      </c>
      <c r="I78" s="17">
        <v>83000</v>
      </c>
    </row>
    <row r="79" spans="1:9" ht="120" hidden="1" customHeight="1" x14ac:dyDescent="0.2">
      <c r="A79" s="4" t="s">
        <v>10</v>
      </c>
      <c r="B79" s="5" t="s">
        <v>21</v>
      </c>
      <c r="C79" s="6" t="s">
        <v>255</v>
      </c>
      <c r="D79" s="7" t="s">
        <v>12</v>
      </c>
      <c r="E79" s="8" t="s">
        <v>256</v>
      </c>
      <c r="F79" s="9" t="s">
        <v>257</v>
      </c>
      <c r="G79" s="10"/>
      <c r="H79" s="10">
        <v>97980</v>
      </c>
      <c r="I79" s="10">
        <v>97980</v>
      </c>
    </row>
    <row r="80" spans="1:9" ht="120" hidden="1" customHeight="1" x14ac:dyDescent="0.2">
      <c r="A80" s="11" t="s">
        <v>10</v>
      </c>
      <c r="B80" s="12" t="s">
        <v>20</v>
      </c>
      <c r="C80" s="13" t="s">
        <v>258</v>
      </c>
      <c r="D80" s="14" t="s">
        <v>119</v>
      </c>
      <c r="E80" s="15" t="s">
        <v>259</v>
      </c>
      <c r="F80" s="16" t="s">
        <v>260</v>
      </c>
      <c r="G80" s="17"/>
      <c r="H80" s="17">
        <v>67728</v>
      </c>
      <c r="I80" s="17">
        <v>67728</v>
      </c>
    </row>
    <row r="81" spans="1:9" ht="120" hidden="1" customHeight="1" x14ac:dyDescent="0.2">
      <c r="A81" s="4" t="s">
        <v>10</v>
      </c>
      <c r="B81" s="5" t="s">
        <v>261</v>
      </c>
      <c r="C81" s="6" t="s">
        <v>262</v>
      </c>
      <c r="D81" s="7" t="s">
        <v>12</v>
      </c>
      <c r="E81" s="8" t="s">
        <v>263</v>
      </c>
      <c r="F81" s="9" t="s">
        <v>62</v>
      </c>
      <c r="G81" s="10"/>
      <c r="H81" s="10">
        <v>68392</v>
      </c>
      <c r="I81" s="10">
        <v>68392</v>
      </c>
    </row>
    <row r="82" spans="1:9" ht="120" hidden="1" customHeight="1" x14ac:dyDescent="0.2">
      <c r="A82" s="11" t="s">
        <v>10</v>
      </c>
      <c r="B82" s="12" t="s">
        <v>264</v>
      </c>
      <c r="C82" s="13" t="s">
        <v>265</v>
      </c>
      <c r="D82" s="14" t="s">
        <v>64</v>
      </c>
      <c r="E82" s="15" t="s">
        <v>266</v>
      </c>
      <c r="F82" s="16" t="s">
        <v>67</v>
      </c>
      <c r="G82" s="17"/>
      <c r="H82" s="17">
        <v>24900</v>
      </c>
      <c r="I82" s="17">
        <v>24900</v>
      </c>
    </row>
    <row r="83" spans="1:9" ht="120" hidden="1" customHeight="1" x14ac:dyDescent="0.2">
      <c r="A83" s="4" t="s">
        <v>10</v>
      </c>
      <c r="B83" s="5" t="s">
        <v>40</v>
      </c>
      <c r="C83" s="6" t="s">
        <v>267</v>
      </c>
      <c r="D83" s="7" t="s">
        <v>52</v>
      </c>
      <c r="E83" s="8" t="s">
        <v>268</v>
      </c>
      <c r="F83" s="9" t="s">
        <v>81</v>
      </c>
      <c r="G83" s="10"/>
      <c r="H83" s="10">
        <v>42330</v>
      </c>
      <c r="I83" s="10">
        <v>42330</v>
      </c>
    </row>
    <row r="84" spans="1:9" ht="120" hidden="1" customHeight="1" x14ac:dyDescent="0.2">
      <c r="A84" s="11" t="s">
        <v>10</v>
      </c>
      <c r="B84" s="12" t="s">
        <v>40</v>
      </c>
      <c r="C84" s="13" t="s">
        <v>269</v>
      </c>
      <c r="D84" s="14" t="s">
        <v>52</v>
      </c>
      <c r="E84" s="15" t="s">
        <v>270</v>
      </c>
      <c r="F84" s="16" t="s">
        <v>62</v>
      </c>
      <c r="G84" s="17"/>
      <c r="H84" s="17">
        <v>104580</v>
      </c>
      <c r="I84" s="17">
        <v>104580</v>
      </c>
    </row>
    <row r="85" spans="1:9" ht="120" hidden="1" customHeight="1" x14ac:dyDescent="0.2">
      <c r="A85" s="4" t="s">
        <v>10</v>
      </c>
      <c r="B85" s="5" t="s">
        <v>271</v>
      </c>
      <c r="C85" s="6" t="s">
        <v>272</v>
      </c>
      <c r="D85" s="7" t="s">
        <v>12</v>
      </c>
      <c r="E85" s="8" t="s">
        <v>273</v>
      </c>
      <c r="F85" s="9" t="s">
        <v>274</v>
      </c>
      <c r="G85" s="10"/>
      <c r="H85" s="10">
        <v>83000</v>
      </c>
      <c r="I85" s="10">
        <v>83000</v>
      </c>
    </row>
    <row r="86" spans="1:9" ht="120" hidden="1" customHeight="1" x14ac:dyDescent="0.2">
      <c r="A86" s="11" t="s">
        <v>10</v>
      </c>
      <c r="B86" s="12" t="s">
        <v>21</v>
      </c>
      <c r="C86" s="13" t="s">
        <v>275</v>
      </c>
      <c r="D86" s="14" t="s">
        <v>64</v>
      </c>
      <c r="E86" s="15" t="s">
        <v>276</v>
      </c>
      <c r="F86" s="16" t="s">
        <v>58</v>
      </c>
      <c r="G86" s="17"/>
      <c r="H86" s="17">
        <v>18260</v>
      </c>
      <c r="I86" s="17">
        <v>18260</v>
      </c>
    </row>
    <row r="87" spans="1:9" ht="120" hidden="1" customHeight="1" x14ac:dyDescent="0.2">
      <c r="A87" s="4" t="s">
        <v>10</v>
      </c>
      <c r="B87" s="5" t="s">
        <v>39</v>
      </c>
      <c r="C87" s="6" t="s">
        <v>277</v>
      </c>
      <c r="D87" s="7" t="s">
        <v>64</v>
      </c>
      <c r="E87" s="8" t="s">
        <v>278</v>
      </c>
      <c r="F87" s="9" t="s">
        <v>67</v>
      </c>
      <c r="G87" s="10"/>
      <c r="H87" s="10">
        <v>66400</v>
      </c>
      <c r="I87" s="10">
        <v>66400</v>
      </c>
    </row>
    <row r="88" spans="1:9" ht="120" hidden="1" customHeight="1" x14ac:dyDescent="0.2">
      <c r="A88" s="11" t="s">
        <v>10</v>
      </c>
      <c r="B88" s="12" t="s">
        <v>21</v>
      </c>
      <c r="C88" s="18" t="s">
        <v>279</v>
      </c>
      <c r="D88" s="14" t="s">
        <v>12</v>
      </c>
      <c r="E88" s="15" t="s">
        <v>280</v>
      </c>
      <c r="F88" s="16" t="s">
        <v>58</v>
      </c>
      <c r="G88" s="17"/>
      <c r="H88" s="17">
        <v>78698.94</v>
      </c>
      <c r="I88" s="17">
        <v>78698.94</v>
      </c>
    </row>
    <row r="89" spans="1:9" ht="120" hidden="1" customHeight="1" x14ac:dyDescent="0.2">
      <c r="A89" s="4" t="s">
        <v>10</v>
      </c>
      <c r="B89" s="5" t="s">
        <v>20</v>
      </c>
      <c r="C89" s="6" t="s">
        <v>281</v>
      </c>
      <c r="D89" s="7" t="s">
        <v>64</v>
      </c>
      <c r="E89" s="8" t="s">
        <v>282</v>
      </c>
      <c r="F89" s="9" t="s">
        <v>151</v>
      </c>
      <c r="G89" s="10"/>
      <c r="H89" s="10">
        <v>759950</v>
      </c>
      <c r="I89" s="10">
        <v>759950</v>
      </c>
    </row>
    <row r="90" spans="1:9" ht="117.75" hidden="1" customHeight="1" x14ac:dyDescent="0.2">
      <c r="A90" s="11" t="s">
        <v>10</v>
      </c>
      <c r="B90" s="12" t="s">
        <v>283</v>
      </c>
      <c r="C90" s="13" t="s">
        <v>284</v>
      </c>
      <c r="D90" s="14" t="s">
        <v>64</v>
      </c>
      <c r="E90" s="15" t="s">
        <v>285</v>
      </c>
      <c r="F90" s="16" t="s">
        <v>62</v>
      </c>
      <c r="G90" s="17"/>
      <c r="H90" s="17">
        <v>32853.89</v>
      </c>
      <c r="I90" s="17">
        <v>32853.89</v>
      </c>
    </row>
    <row r="91" spans="1:9" ht="120" hidden="1" customHeight="1" x14ac:dyDescent="0.2">
      <c r="A91" s="4" t="s">
        <v>10</v>
      </c>
      <c r="B91" s="5" t="s">
        <v>286</v>
      </c>
      <c r="C91" s="6" t="s">
        <v>287</v>
      </c>
      <c r="D91" s="7" t="s">
        <v>64</v>
      </c>
      <c r="E91" s="8" t="s">
        <v>288</v>
      </c>
      <c r="F91" s="9" t="s">
        <v>81</v>
      </c>
      <c r="G91" s="10"/>
      <c r="H91" s="10">
        <v>151060</v>
      </c>
      <c r="I91" s="10">
        <v>151060</v>
      </c>
    </row>
    <row r="92" spans="1:9" ht="117.75" hidden="1" customHeight="1" x14ac:dyDescent="0.2">
      <c r="A92" s="11" t="s">
        <v>10</v>
      </c>
      <c r="B92" s="12" t="s">
        <v>289</v>
      </c>
      <c r="C92" s="13" t="s">
        <v>290</v>
      </c>
      <c r="D92" s="14" t="s">
        <v>98</v>
      </c>
      <c r="E92" s="15" t="s">
        <v>291</v>
      </c>
      <c r="F92" s="16" t="s">
        <v>58</v>
      </c>
      <c r="G92" s="17"/>
      <c r="H92" s="17">
        <v>56440</v>
      </c>
      <c r="I92" s="17">
        <v>56440</v>
      </c>
    </row>
    <row r="93" spans="1:9" ht="120" hidden="1" customHeight="1" x14ac:dyDescent="0.2">
      <c r="A93" s="4" t="s">
        <v>10</v>
      </c>
      <c r="B93" s="5" t="s">
        <v>292</v>
      </c>
      <c r="C93" s="6" t="s">
        <v>293</v>
      </c>
      <c r="D93" s="7" t="s">
        <v>119</v>
      </c>
      <c r="E93" s="8" t="s">
        <v>294</v>
      </c>
      <c r="F93" s="9" t="s">
        <v>62</v>
      </c>
      <c r="G93" s="10"/>
      <c r="H93" s="10">
        <v>9999.9976999999999</v>
      </c>
      <c r="I93" s="10">
        <v>9999.9976999999999</v>
      </c>
    </row>
    <row r="94" spans="1:9" ht="117.75" hidden="1" customHeight="1" x14ac:dyDescent="0.2">
      <c r="A94" s="11" t="s">
        <v>10</v>
      </c>
      <c r="B94" s="12" t="s">
        <v>295</v>
      </c>
      <c r="C94" s="13" t="s">
        <v>296</v>
      </c>
      <c r="D94" s="14" t="s">
        <v>64</v>
      </c>
      <c r="E94" s="15" t="s">
        <v>297</v>
      </c>
      <c r="F94" s="16" t="s">
        <v>62</v>
      </c>
      <c r="G94" s="17"/>
      <c r="H94" s="17">
        <v>70550</v>
      </c>
      <c r="I94" s="17">
        <v>70550</v>
      </c>
    </row>
    <row r="95" spans="1:9" ht="120" hidden="1" customHeight="1" x14ac:dyDescent="0.2">
      <c r="A95" s="4" t="s">
        <v>10</v>
      </c>
      <c r="B95" s="5" t="s">
        <v>21</v>
      </c>
      <c r="C95" s="6" t="s">
        <v>298</v>
      </c>
      <c r="D95" s="7" t="s">
        <v>64</v>
      </c>
      <c r="E95" s="8" t="s">
        <v>299</v>
      </c>
      <c r="F95" s="9" t="s">
        <v>58</v>
      </c>
      <c r="G95" s="10"/>
      <c r="H95" s="10">
        <v>41500</v>
      </c>
      <c r="I95" s="10">
        <v>41500</v>
      </c>
    </row>
    <row r="96" spans="1:9" ht="120" hidden="1" customHeight="1" x14ac:dyDescent="0.2">
      <c r="A96" s="11" t="s">
        <v>10</v>
      </c>
      <c r="B96" s="12" t="s">
        <v>300</v>
      </c>
      <c r="C96" s="13" t="s">
        <v>301</v>
      </c>
      <c r="D96" s="14" t="s">
        <v>12</v>
      </c>
      <c r="E96" s="15" t="s">
        <v>302</v>
      </c>
      <c r="F96" s="16" t="s">
        <v>54</v>
      </c>
      <c r="G96" s="17"/>
      <c r="H96" s="17">
        <v>33200</v>
      </c>
      <c r="I96" s="17">
        <v>33200</v>
      </c>
    </row>
    <row r="97" spans="1:9" ht="187" customHeight="1" x14ac:dyDescent="0.2">
      <c r="A97" s="95" t="s">
        <v>615</v>
      </c>
      <c r="B97" s="5" t="s">
        <v>605</v>
      </c>
      <c r="C97" s="85" t="s">
        <v>606</v>
      </c>
      <c r="D97" s="88" t="s">
        <v>52</v>
      </c>
      <c r="E97" s="8" t="s">
        <v>604</v>
      </c>
      <c r="F97" s="87" t="s">
        <v>607</v>
      </c>
      <c r="G97" s="10"/>
      <c r="H97" s="10">
        <v>421422</v>
      </c>
      <c r="I97" s="10">
        <v>421422</v>
      </c>
    </row>
    <row r="98" spans="1:9" ht="120" hidden="1" customHeight="1" x14ac:dyDescent="0.2">
      <c r="A98" s="96" t="s">
        <v>615</v>
      </c>
      <c r="B98" s="91" t="s">
        <v>609</v>
      </c>
      <c r="C98" s="92" t="s">
        <v>608</v>
      </c>
      <c r="D98" s="93" t="s">
        <v>98</v>
      </c>
      <c r="E98" s="94" t="s">
        <v>610</v>
      </c>
      <c r="F98" s="90" t="s">
        <v>607</v>
      </c>
      <c r="G98" s="17"/>
      <c r="H98" s="17">
        <v>232142</v>
      </c>
      <c r="I98" s="17">
        <v>232142</v>
      </c>
    </row>
    <row r="99" spans="1:9" ht="120" hidden="1" customHeight="1" x14ac:dyDescent="0.2">
      <c r="A99" s="95" t="s">
        <v>615</v>
      </c>
      <c r="B99" s="5" t="s">
        <v>612</v>
      </c>
      <c r="C99" s="89" t="s">
        <v>611</v>
      </c>
      <c r="D99" s="88" t="s">
        <v>119</v>
      </c>
      <c r="E99" s="8" t="s">
        <v>613</v>
      </c>
      <c r="F99" s="87" t="s">
        <v>614</v>
      </c>
      <c r="G99" s="10"/>
      <c r="H99" s="10">
        <v>80000</v>
      </c>
      <c r="I99" s="10">
        <v>80000</v>
      </c>
    </row>
    <row r="100" spans="1:9" ht="120" hidden="1" customHeight="1" x14ac:dyDescent="0.2">
      <c r="A100" s="11" t="s">
        <v>10</v>
      </c>
      <c r="B100" s="12" t="s">
        <v>307</v>
      </c>
      <c r="C100" s="13" t="s">
        <v>308</v>
      </c>
      <c r="D100" s="14" t="s">
        <v>12</v>
      </c>
      <c r="E100" s="15" t="s">
        <v>309</v>
      </c>
      <c r="F100" s="16" t="s">
        <v>85</v>
      </c>
      <c r="G100" s="17"/>
      <c r="H100" s="17">
        <v>26062</v>
      </c>
      <c r="I100" s="17">
        <v>26062</v>
      </c>
    </row>
    <row r="101" spans="1:9" ht="120" hidden="1" customHeight="1" x14ac:dyDescent="0.2">
      <c r="A101" s="4" t="s">
        <v>10</v>
      </c>
      <c r="B101" s="5" t="s">
        <v>310</v>
      </c>
      <c r="C101" s="6" t="s">
        <v>311</v>
      </c>
      <c r="D101" s="7" t="s">
        <v>12</v>
      </c>
      <c r="E101" s="8" t="s">
        <v>312</v>
      </c>
      <c r="F101" s="9" t="s">
        <v>313</v>
      </c>
      <c r="G101" s="10"/>
      <c r="H101" s="10">
        <v>13280</v>
      </c>
      <c r="I101" s="10">
        <v>13280</v>
      </c>
    </row>
    <row r="102" spans="1:9" ht="120" hidden="1" customHeight="1" x14ac:dyDescent="0.2">
      <c r="A102" s="11" t="s">
        <v>10</v>
      </c>
      <c r="B102" s="12" t="s">
        <v>310</v>
      </c>
      <c r="C102" s="13" t="s">
        <v>314</v>
      </c>
      <c r="D102" s="14" t="s">
        <v>52</v>
      </c>
      <c r="E102" s="15" t="s">
        <v>315</v>
      </c>
      <c r="F102" s="16" t="s">
        <v>58</v>
      </c>
      <c r="G102" s="17"/>
      <c r="H102" s="17">
        <v>29880</v>
      </c>
      <c r="I102" s="17">
        <v>29880</v>
      </c>
    </row>
    <row r="103" spans="1:9" ht="117.75" hidden="1" customHeight="1" x14ac:dyDescent="0.2">
      <c r="A103" s="4" t="s">
        <v>10</v>
      </c>
      <c r="B103" s="5" t="s">
        <v>22</v>
      </c>
      <c r="C103" s="6" t="s">
        <v>316</v>
      </c>
      <c r="D103" s="7" t="s">
        <v>12</v>
      </c>
      <c r="E103" s="8" t="s">
        <v>317</v>
      </c>
      <c r="F103" s="9" t="s">
        <v>54</v>
      </c>
      <c r="G103" s="10"/>
      <c r="H103" s="10">
        <v>41500</v>
      </c>
      <c r="I103" s="10">
        <v>41500</v>
      </c>
    </row>
    <row r="104" spans="1:9" ht="120" hidden="1" customHeight="1" x14ac:dyDescent="0.2">
      <c r="A104" s="11" t="s">
        <v>10</v>
      </c>
      <c r="B104" s="12" t="s">
        <v>22</v>
      </c>
      <c r="C104" s="13" t="s">
        <v>318</v>
      </c>
      <c r="D104" s="14" t="s">
        <v>12</v>
      </c>
      <c r="E104" s="15" t="s">
        <v>319</v>
      </c>
      <c r="F104" s="16" t="s">
        <v>54</v>
      </c>
      <c r="G104" s="17"/>
      <c r="H104" s="17">
        <v>62250</v>
      </c>
      <c r="I104" s="17">
        <v>62250</v>
      </c>
    </row>
    <row r="105" spans="1:9" ht="120" hidden="1" customHeight="1" x14ac:dyDescent="0.2">
      <c r="A105" s="4" t="s">
        <v>10</v>
      </c>
      <c r="B105" s="5" t="s">
        <v>320</v>
      </c>
      <c r="C105" s="6" t="s">
        <v>321</v>
      </c>
      <c r="D105" s="7" t="s">
        <v>52</v>
      </c>
      <c r="E105" s="8" t="s">
        <v>322</v>
      </c>
      <c r="F105" s="9" t="s">
        <v>62</v>
      </c>
      <c r="G105" s="10"/>
      <c r="H105" s="10">
        <v>49800</v>
      </c>
      <c r="I105" s="10">
        <v>49800</v>
      </c>
    </row>
    <row r="106" spans="1:9" ht="120" hidden="1" customHeight="1" x14ac:dyDescent="0.2">
      <c r="A106" s="11" t="s">
        <v>10</v>
      </c>
      <c r="B106" s="12" t="s">
        <v>323</v>
      </c>
      <c r="C106" s="13" t="s">
        <v>324</v>
      </c>
      <c r="D106" s="14" t="s">
        <v>12</v>
      </c>
      <c r="E106" s="15" t="s">
        <v>325</v>
      </c>
      <c r="F106" s="16" t="s">
        <v>58</v>
      </c>
      <c r="G106" s="17"/>
      <c r="H106" s="17">
        <v>16600</v>
      </c>
      <c r="I106" s="17">
        <v>16600</v>
      </c>
    </row>
    <row r="107" spans="1:9" ht="117.75" hidden="1" customHeight="1" x14ac:dyDescent="0.2">
      <c r="A107" s="4" t="s">
        <v>10</v>
      </c>
      <c r="B107" s="5" t="s">
        <v>326</v>
      </c>
      <c r="C107" s="6" t="s">
        <v>327</v>
      </c>
      <c r="D107" s="7" t="s">
        <v>64</v>
      </c>
      <c r="E107" s="8" t="s">
        <v>328</v>
      </c>
      <c r="F107" s="9" t="s">
        <v>62</v>
      </c>
      <c r="G107" s="10"/>
      <c r="H107" s="10">
        <v>20335</v>
      </c>
      <c r="I107" s="10">
        <v>20335</v>
      </c>
    </row>
    <row r="108" spans="1:9" ht="120" hidden="1" customHeight="1" x14ac:dyDescent="0.2">
      <c r="A108" s="11" t="s">
        <v>10</v>
      </c>
      <c r="B108" s="12" t="s">
        <v>329</v>
      </c>
      <c r="C108" s="13" t="s">
        <v>330</v>
      </c>
      <c r="D108" s="14" t="s">
        <v>98</v>
      </c>
      <c r="E108" s="15" t="s">
        <v>331</v>
      </c>
      <c r="F108" s="16" t="s">
        <v>58</v>
      </c>
      <c r="G108" s="17"/>
      <c r="H108" s="17">
        <v>49800</v>
      </c>
      <c r="I108" s="17">
        <v>49800</v>
      </c>
    </row>
    <row r="109" spans="1:9" ht="120" hidden="1" customHeight="1" x14ac:dyDescent="0.2">
      <c r="A109" s="4" t="s">
        <v>10</v>
      </c>
      <c r="B109" s="5" t="s">
        <v>30</v>
      </c>
      <c r="C109" s="6" t="s">
        <v>332</v>
      </c>
      <c r="D109" s="7" t="s">
        <v>64</v>
      </c>
      <c r="E109" s="8" t="s">
        <v>333</v>
      </c>
      <c r="F109" s="9" t="s">
        <v>58</v>
      </c>
      <c r="G109" s="10"/>
      <c r="H109" s="10">
        <v>143216.5</v>
      </c>
      <c r="I109" s="10">
        <v>143216.5</v>
      </c>
    </row>
    <row r="110" spans="1:9" ht="120" hidden="1" customHeight="1" x14ac:dyDescent="0.2">
      <c r="A110" s="11" t="s">
        <v>10</v>
      </c>
      <c r="B110" s="12" t="s">
        <v>334</v>
      </c>
      <c r="C110" s="13" t="s">
        <v>335</v>
      </c>
      <c r="D110" s="14" t="s">
        <v>64</v>
      </c>
      <c r="E110" s="15" t="s">
        <v>336</v>
      </c>
      <c r="F110" s="16" t="s">
        <v>337</v>
      </c>
      <c r="G110" s="17"/>
      <c r="H110" s="17">
        <v>103750</v>
      </c>
      <c r="I110" s="17">
        <v>103750</v>
      </c>
    </row>
    <row r="111" spans="1:9" ht="120" hidden="1" customHeight="1" x14ac:dyDescent="0.2">
      <c r="A111" s="4" t="s">
        <v>10</v>
      </c>
      <c r="B111" s="5" t="s">
        <v>72</v>
      </c>
      <c r="C111" s="6" t="s">
        <v>338</v>
      </c>
      <c r="D111" s="7" t="s">
        <v>12</v>
      </c>
      <c r="E111" s="8" t="s">
        <v>339</v>
      </c>
      <c r="F111" s="9" t="s">
        <v>58</v>
      </c>
      <c r="G111" s="10"/>
      <c r="H111" s="10">
        <v>41500</v>
      </c>
      <c r="I111" s="10">
        <v>41500</v>
      </c>
    </row>
    <row r="112" spans="1:9" ht="120" hidden="1" customHeight="1" x14ac:dyDescent="0.2">
      <c r="A112" s="11" t="s">
        <v>10</v>
      </c>
      <c r="B112" s="12" t="s">
        <v>59</v>
      </c>
      <c r="C112" s="13" t="s">
        <v>340</v>
      </c>
      <c r="D112" s="14" t="s">
        <v>12</v>
      </c>
      <c r="E112" s="15" t="s">
        <v>341</v>
      </c>
      <c r="F112" s="16" t="s">
        <v>62</v>
      </c>
      <c r="G112" s="17"/>
      <c r="H112" s="17">
        <v>55610</v>
      </c>
      <c r="I112" s="17">
        <v>55610</v>
      </c>
    </row>
    <row r="113" spans="1:9" ht="120" hidden="1" customHeight="1" x14ac:dyDescent="0.2">
      <c r="A113" s="4" t="s">
        <v>10</v>
      </c>
      <c r="B113" s="5" t="s">
        <v>342</v>
      </c>
      <c r="C113" s="6" t="s">
        <v>343</v>
      </c>
      <c r="D113" s="7" t="s">
        <v>98</v>
      </c>
      <c r="E113" s="8" t="s">
        <v>344</v>
      </c>
      <c r="F113" s="9" t="s">
        <v>62</v>
      </c>
      <c r="G113" s="10"/>
      <c r="H113" s="10">
        <v>71795</v>
      </c>
      <c r="I113" s="10">
        <v>71795</v>
      </c>
    </row>
    <row r="114" spans="1:9" ht="120" hidden="1" customHeight="1" x14ac:dyDescent="0.2">
      <c r="A114" s="11" t="s">
        <v>10</v>
      </c>
      <c r="B114" s="12" t="s">
        <v>345</v>
      </c>
      <c r="C114" s="13" t="s">
        <v>346</v>
      </c>
      <c r="D114" s="14" t="s">
        <v>12</v>
      </c>
      <c r="E114" s="15" t="s">
        <v>347</v>
      </c>
      <c r="F114" s="16" t="s">
        <v>85</v>
      </c>
      <c r="G114" s="17"/>
      <c r="H114" s="17">
        <v>70550</v>
      </c>
      <c r="I114" s="17">
        <v>70550</v>
      </c>
    </row>
    <row r="115" spans="1:9" ht="105" hidden="1" customHeight="1" x14ac:dyDescent="0.2">
      <c r="A115" s="4" t="s">
        <v>10</v>
      </c>
      <c r="B115" s="5" t="s">
        <v>345</v>
      </c>
      <c r="C115" s="6" t="s">
        <v>348</v>
      </c>
      <c r="D115" s="7" t="s">
        <v>119</v>
      </c>
      <c r="E115" s="8" t="s">
        <v>349</v>
      </c>
      <c r="F115" s="9" t="s">
        <v>85</v>
      </c>
      <c r="G115" s="10"/>
      <c r="H115" s="10">
        <v>19920</v>
      </c>
      <c r="I115" s="10">
        <v>19920</v>
      </c>
    </row>
    <row r="116" spans="1:9" ht="105" hidden="1" customHeight="1" x14ac:dyDescent="0.2">
      <c r="A116" s="11" t="s">
        <v>10</v>
      </c>
      <c r="B116" s="12" t="s">
        <v>350</v>
      </c>
      <c r="C116" s="13" t="s">
        <v>351</v>
      </c>
      <c r="D116" s="14" t="s">
        <v>52</v>
      </c>
      <c r="E116" s="15" t="s">
        <v>352</v>
      </c>
      <c r="F116" s="16" t="s">
        <v>62</v>
      </c>
      <c r="G116" s="17"/>
      <c r="H116" s="17">
        <v>49800</v>
      </c>
      <c r="I116" s="17">
        <v>49800</v>
      </c>
    </row>
    <row r="117" spans="1:9" ht="120" hidden="1" customHeight="1" x14ac:dyDescent="0.2">
      <c r="A117" s="4" t="s">
        <v>10</v>
      </c>
      <c r="B117" s="5" t="s">
        <v>353</v>
      </c>
      <c r="C117" s="6" t="s">
        <v>354</v>
      </c>
      <c r="D117" s="7" t="s">
        <v>12</v>
      </c>
      <c r="E117" s="8" t="s">
        <v>355</v>
      </c>
      <c r="F117" s="9" t="s">
        <v>69</v>
      </c>
      <c r="G117" s="10"/>
      <c r="H117" s="10">
        <v>33200</v>
      </c>
      <c r="I117" s="10">
        <v>33200</v>
      </c>
    </row>
    <row r="118" spans="1:9" ht="117.75" hidden="1" customHeight="1" x14ac:dyDescent="0.2">
      <c r="A118" s="11" t="s">
        <v>10</v>
      </c>
      <c r="B118" s="12" t="s">
        <v>17</v>
      </c>
      <c r="C118" s="13" t="s">
        <v>356</v>
      </c>
      <c r="D118" s="14" t="s">
        <v>12</v>
      </c>
      <c r="E118" s="15" t="s">
        <v>357</v>
      </c>
      <c r="F118" s="16" t="s">
        <v>62</v>
      </c>
      <c r="G118" s="17"/>
      <c r="H118" s="17">
        <v>41500</v>
      </c>
      <c r="I118" s="17">
        <v>41500</v>
      </c>
    </row>
    <row r="119" spans="1:9" ht="117.75" hidden="1" customHeight="1" x14ac:dyDescent="0.2">
      <c r="A119" s="4" t="s">
        <v>10</v>
      </c>
      <c r="B119" s="5" t="s">
        <v>358</v>
      </c>
      <c r="C119" s="6" t="s">
        <v>359</v>
      </c>
      <c r="D119" s="7" t="s">
        <v>12</v>
      </c>
      <c r="E119" s="8" t="s">
        <v>360</v>
      </c>
      <c r="F119" s="9" t="s">
        <v>361</v>
      </c>
      <c r="G119" s="10"/>
      <c r="H119" s="10">
        <v>24900</v>
      </c>
      <c r="I119" s="10">
        <v>24900</v>
      </c>
    </row>
    <row r="120" spans="1:9" ht="120" hidden="1" customHeight="1" x14ac:dyDescent="0.2">
      <c r="A120" s="11" t="s">
        <v>10</v>
      </c>
      <c r="B120" s="12" t="s">
        <v>17</v>
      </c>
      <c r="C120" s="13" t="s">
        <v>362</v>
      </c>
      <c r="D120" s="14" t="s">
        <v>64</v>
      </c>
      <c r="E120" s="15" t="s">
        <v>363</v>
      </c>
      <c r="F120" s="16" t="s">
        <v>69</v>
      </c>
      <c r="G120" s="17"/>
      <c r="H120" s="17">
        <v>35358</v>
      </c>
      <c r="I120" s="17">
        <v>35358</v>
      </c>
    </row>
    <row r="121" spans="1:9" ht="120" customHeight="1" x14ac:dyDescent="0.2">
      <c r="A121" s="4"/>
      <c r="B121" s="5"/>
      <c r="C121" s="6"/>
      <c r="D121" s="7"/>
      <c r="E121" s="8"/>
      <c r="F121" s="9"/>
      <c r="G121" s="10"/>
      <c r="H121" s="10"/>
      <c r="I121" s="10"/>
    </row>
    <row r="122" spans="1:9" ht="120" hidden="1" customHeight="1" x14ac:dyDescent="0.2">
      <c r="A122" s="11" t="s">
        <v>10</v>
      </c>
      <c r="B122" s="12" t="s">
        <v>28</v>
      </c>
      <c r="C122" s="13" t="s">
        <v>366</v>
      </c>
      <c r="D122" s="14" t="s">
        <v>12</v>
      </c>
      <c r="E122" s="15" t="s">
        <v>367</v>
      </c>
      <c r="F122" s="16" t="s">
        <v>368</v>
      </c>
      <c r="G122" s="17"/>
      <c r="H122" s="17">
        <v>70301</v>
      </c>
      <c r="I122" s="17">
        <v>70301</v>
      </c>
    </row>
    <row r="123" spans="1:9" ht="120" hidden="1" customHeight="1" x14ac:dyDescent="0.2">
      <c r="A123" s="4" t="s">
        <v>10</v>
      </c>
      <c r="B123" s="5" t="s">
        <v>17</v>
      </c>
      <c r="C123" s="6" t="s">
        <v>369</v>
      </c>
      <c r="D123" s="7" t="s">
        <v>12</v>
      </c>
      <c r="E123" s="8" t="s">
        <v>370</v>
      </c>
      <c r="F123" s="9" t="s">
        <v>62</v>
      </c>
      <c r="G123" s="10"/>
      <c r="H123" s="10">
        <v>74700</v>
      </c>
      <c r="I123" s="10">
        <v>74700</v>
      </c>
    </row>
    <row r="124" spans="1:9" ht="105" hidden="1" customHeight="1" x14ac:dyDescent="0.2">
      <c r="A124" s="11" t="s">
        <v>10</v>
      </c>
      <c r="B124" s="12" t="s">
        <v>371</v>
      </c>
      <c r="C124" s="13" t="s">
        <v>372</v>
      </c>
      <c r="D124" s="14" t="s">
        <v>64</v>
      </c>
      <c r="E124" s="15" t="s">
        <v>373</v>
      </c>
      <c r="F124" s="16" t="s">
        <v>374</v>
      </c>
      <c r="G124" s="17"/>
      <c r="H124" s="17">
        <v>80095</v>
      </c>
      <c r="I124" s="17">
        <v>80095</v>
      </c>
    </row>
    <row r="125" spans="1:9" ht="120" hidden="1" customHeight="1" x14ac:dyDescent="0.2">
      <c r="A125" s="4" t="s">
        <v>10</v>
      </c>
      <c r="B125" s="5" t="s">
        <v>17</v>
      </c>
      <c r="C125" s="6" t="s">
        <v>375</v>
      </c>
      <c r="D125" s="7" t="s">
        <v>119</v>
      </c>
      <c r="E125" s="8" t="s">
        <v>376</v>
      </c>
      <c r="F125" s="9" t="s">
        <v>81</v>
      </c>
      <c r="G125" s="10"/>
      <c r="H125" s="10">
        <v>48804</v>
      </c>
      <c r="I125" s="10">
        <v>48804</v>
      </c>
    </row>
    <row r="126" spans="1:9" ht="105" hidden="1" customHeight="1" x14ac:dyDescent="0.2">
      <c r="A126" s="11" t="s">
        <v>10</v>
      </c>
      <c r="B126" s="12" t="s">
        <v>35</v>
      </c>
      <c r="C126" s="13" t="s">
        <v>377</v>
      </c>
      <c r="D126" s="14" t="s">
        <v>12</v>
      </c>
      <c r="E126" s="15" t="s">
        <v>378</v>
      </c>
      <c r="F126" s="16" t="s">
        <v>89</v>
      </c>
      <c r="G126" s="17"/>
      <c r="H126" s="17">
        <v>67889.517999999996</v>
      </c>
      <c r="I126" s="17">
        <v>67889.517999999996</v>
      </c>
    </row>
    <row r="127" spans="1:9" ht="120" hidden="1" customHeight="1" x14ac:dyDescent="0.2">
      <c r="A127" s="4" t="s">
        <v>10</v>
      </c>
      <c r="B127" s="5" t="s">
        <v>21</v>
      </c>
      <c r="C127" s="6" t="s">
        <v>379</v>
      </c>
      <c r="D127" s="7" t="s">
        <v>98</v>
      </c>
      <c r="E127" s="8" t="s">
        <v>380</v>
      </c>
      <c r="F127" s="9" t="s">
        <v>58</v>
      </c>
      <c r="G127" s="10"/>
      <c r="H127" s="10">
        <v>66400</v>
      </c>
      <c r="I127" s="10">
        <v>66400</v>
      </c>
    </row>
    <row r="128" spans="1:9" ht="120" hidden="1" customHeight="1" x14ac:dyDescent="0.2">
      <c r="A128" s="11" t="s">
        <v>10</v>
      </c>
      <c r="B128" s="12" t="s">
        <v>381</v>
      </c>
      <c r="C128" s="13" t="s">
        <v>382</v>
      </c>
      <c r="D128" s="14" t="s">
        <v>12</v>
      </c>
      <c r="E128" s="15" t="s">
        <v>383</v>
      </c>
      <c r="F128" s="16" t="s">
        <v>89</v>
      </c>
      <c r="G128" s="17"/>
      <c r="H128" s="17">
        <v>45650</v>
      </c>
      <c r="I128" s="17">
        <v>45650</v>
      </c>
    </row>
    <row r="129" spans="1:9" ht="105" hidden="1" customHeight="1" x14ac:dyDescent="0.2">
      <c r="A129" s="4" t="s">
        <v>10</v>
      </c>
      <c r="B129" s="5" t="s">
        <v>384</v>
      </c>
      <c r="C129" s="6" t="s">
        <v>385</v>
      </c>
      <c r="D129" s="7" t="s">
        <v>12</v>
      </c>
      <c r="E129" s="8" t="s">
        <v>386</v>
      </c>
      <c r="F129" s="9" t="s">
        <v>151</v>
      </c>
      <c r="G129" s="10"/>
      <c r="H129" s="10">
        <v>99600</v>
      </c>
      <c r="I129" s="10">
        <v>99600</v>
      </c>
    </row>
    <row r="130" spans="1:9" ht="120" hidden="1" customHeight="1" x14ac:dyDescent="0.2">
      <c r="A130" s="11" t="s">
        <v>10</v>
      </c>
      <c r="B130" s="12" t="s">
        <v>387</v>
      </c>
      <c r="C130" s="13" t="s">
        <v>388</v>
      </c>
      <c r="D130" s="14" t="s">
        <v>64</v>
      </c>
      <c r="E130" s="15" t="s">
        <v>389</v>
      </c>
      <c r="F130" s="16" t="s">
        <v>54</v>
      </c>
      <c r="G130" s="17"/>
      <c r="H130" s="17">
        <v>43990</v>
      </c>
      <c r="I130" s="17">
        <v>43990</v>
      </c>
    </row>
    <row r="131" spans="1:9" ht="120" hidden="1" customHeight="1" x14ac:dyDescent="0.2">
      <c r="A131" s="4" t="s">
        <v>10</v>
      </c>
      <c r="B131" s="5" t="s">
        <v>390</v>
      </c>
      <c r="C131" s="6" t="s">
        <v>391</v>
      </c>
      <c r="D131" s="7" t="s">
        <v>119</v>
      </c>
      <c r="E131" s="8" t="s">
        <v>392</v>
      </c>
      <c r="F131" s="9" t="s">
        <v>210</v>
      </c>
      <c r="G131" s="10"/>
      <c r="H131" s="10">
        <v>13280</v>
      </c>
      <c r="I131" s="10">
        <v>13280</v>
      </c>
    </row>
    <row r="132" spans="1:9" ht="66" hidden="1" customHeight="1" x14ac:dyDescent="0.2">
      <c r="A132" s="11" t="s">
        <v>10</v>
      </c>
      <c r="B132" s="12" t="s">
        <v>393</v>
      </c>
      <c r="C132" s="13" t="s">
        <v>394</v>
      </c>
      <c r="D132" s="14" t="s">
        <v>64</v>
      </c>
      <c r="E132" s="15" t="s">
        <v>395</v>
      </c>
      <c r="F132" s="16" t="s">
        <v>396</v>
      </c>
      <c r="G132" s="17"/>
      <c r="H132" s="17">
        <v>66400</v>
      </c>
      <c r="I132" s="17">
        <v>66400</v>
      </c>
    </row>
    <row r="133" spans="1:9" ht="117.75" customHeight="1" x14ac:dyDescent="0.2">
      <c r="A133" s="4"/>
      <c r="B133" s="5"/>
      <c r="C133" s="6"/>
      <c r="D133" s="7"/>
      <c r="E133" s="8"/>
      <c r="F133" s="9"/>
      <c r="G133" s="10"/>
      <c r="H133" s="10"/>
      <c r="I133" s="10"/>
    </row>
    <row r="134" spans="1:9" ht="120" hidden="1" customHeight="1" x14ac:dyDescent="0.2">
      <c r="A134" s="11" t="s">
        <v>10</v>
      </c>
      <c r="B134" s="12" t="s">
        <v>397</v>
      </c>
      <c r="C134" s="13" t="s">
        <v>398</v>
      </c>
      <c r="D134" s="14" t="s">
        <v>64</v>
      </c>
      <c r="E134" s="15" t="s">
        <v>399</v>
      </c>
      <c r="F134" s="16" t="s">
        <v>62</v>
      </c>
      <c r="G134" s="17"/>
      <c r="H134" s="17">
        <v>50000</v>
      </c>
      <c r="I134" s="17">
        <v>50000</v>
      </c>
    </row>
    <row r="135" spans="1:9" ht="7.5" customHeight="1" x14ac:dyDescent="0.2"/>
    <row r="136" spans="1:9" ht="19.5" customHeight="1" x14ac:dyDescent="0.2">
      <c r="A136" s="57">
        <f ca="1">SUMPRODUCT((A3:A134="AMIF")*SUBTOTAL(103,OFFSET(A3,ROW(A3:A134)-ROW(A3),0)))</f>
        <v>0</v>
      </c>
      <c r="B136" s="58" t="s">
        <v>400</v>
      </c>
      <c r="C136" s="59"/>
      <c r="D136" s="59"/>
      <c r="E136" s="59"/>
      <c r="F136" s="59"/>
      <c r="G136" s="60">
        <f ca="1">SUMPRODUCT((A3:A134="AMIF")*SUBTOTAL(103,OFFSET(A3,ROW(A3:A134)-ROW(A3),0))*G3:G134)</f>
        <v>0</v>
      </c>
      <c r="H136" s="60">
        <f ca="1">SUMPRODUCT((A3:A134="AMIF")*SUBTOTAL(103,OFFSET(A3,ROW(A3:A134)-ROW(A3),0))*H3:H134)</f>
        <v>0</v>
      </c>
      <c r="I136" s="60">
        <f ca="1">SUMPRODUCT((A3:A134="AMIF")*SUBTOTAL(103,OFFSET(A3,ROW(A3:A134)-ROW(A3),0))*I3:I134)</f>
        <v>0</v>
      </c>
    </row>
    <row r="137" spans="1:9" ht="19.5" customHeight="1" x14ac:dyDescent="0.2">
      <c r="A137" s="61">
        <f ca="1">SUMPRODUCT((A3:A134="National")*SUBTOTAL(103,OFFSET(A3,ROW(A3:A134)-ROW(A3),0)))</f>
        <v>4</v>
      </c>
      <c r="B137" s="62" t="s">
        <v>401</v>
      </c>
      <c r="C137" s="63"/>
      <c r="D137" s="63"/>
      <c r="E137" s="63"/>
      <c r="F137" s="63"/>
      <c r="G137" s="64">
        <f ca="1">SUMPRODUCT((A3:A134="National")*SUBTOTAL(103,OFFSET(A3,ROW(A3:A134)-ROW(A3),0))*G3:G134)</f>
        <v>0</v>
      </c>
      <c r="H137" s="64">
        <f ca="1">SUMPRODUCT((A3:A134="National")*SUBTOTAL(103,OFFSET(A3,ROW(A3:A134)-ROW(A3),0))*H3:H134)</f>
        <v>248377.5</v>
      </c>
      <c r="I137" s="64">
        <f ca="1">SUMPRODUCT((A3:A134="National")*SUBTOTAL(103,OFFSET(A3,ROW(A3:A134)-ROW(A3),0))*I3:I134)</f>
        <v>248377.5</v>
      </c>
    </row>
    <row r="138" spans="1:9" ht="24" customHeight="1" x14ac:dyDescent="0.2">
      <c r="A138" s="27">
        <f ca="1">SUMPRODUCT(((A3:A134="AMIF")+(A3:A134="AMIF-UKR")+(A3:A134="NATÜ")+(A3:A134="National"))*SUBTOTAL(103,OFFSET(A3,ROW(A3:A134)-ROW(A3),0)))</f>
        <v>4</v>
      </c>
      <c r="B138" s="28" t="s">
        <v>402</v>
      </c>
      <c r="C138" s="29"/>
      <c r="D138" s="29"/>
      <c r="E138" s="29"/>
      <c r="F138" s="29"/>
      <c r="G138" s="30">
        <f>SUBTOTAL(9,G3:G134)</f>
        <v>0</v>
      </c>
      <c r="H138" s="30">
        <f>SUBTOTAL(9,H3:H134)</f>
        <v>1512643.5</v>
      </c>
      <c r="I138" s="30">
        <f>SUBTOTAL(9,I3:I134)</f>
        <v>1512643.5</v>
      </c>
    </row>
    <row r="140" spans="1:9" x14ac:dyDescent="0.2">
      <c r="A140" s="104" t="s">
        <v>403</v>
      </c>
      <c r="B140" s="103"/>
      <c r="C140" s="103"/>
      <c r="D140" s="103"/>
      <c r="E140" s="103"/>
      <c r="F140" s="103"/>
      <c r="G140" s="103"/>
      <c r="H140" s="103"/>
      <c r="I140" s="103"/>
    </row>
  </sheetData>
  <autoFilter ref="A2:I134" xr:uid="{00000000-0009-0000-0000-000001000000}">
    <filterColumn colId="2">
      <filters>
        <filter val="Hippy - Hausbesuchsprogramm für Eltern mit Kindern im Alter von drei bis sieben Jahren in Oberösterreich"/>
        <filter val="HIPPY &amp; SMILE - Fit für die Schule und das Leben in Österreich"/>
        <filter val="HIPPY + Dialog mit Schule"/>
        <filter val="HIPPY Hausbesuchprogramm für Eltern von Kindern im Altern von drei bis sieben Jahren"/>
        <filter val="HIPPY Niederösterreich &amp; Tirol"/>
      </filters>
    </filterColumn>
  </autoFilter>
  <mergeCells count="2">
    <mergeCell ref="A1:I1"/>
    <mergeCell ref="A140:I140"/>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6"/>
  <sheetViews>
    <sheetView zoomScale="85" zoomScaleNormal="100" workbookViewId="0">
      <pane ySplit="2" topLeftCell="A126" activePane="bottomLeft" state="frozen"/>
      <selection pane="bottomLeft" activeCell="D130" sqref="D130"/>
    </sheetView>
  </sheetViews>
  <sheetFormatPr baseColWidth="10" defaultColWidth="8.5" defaultRowHeight="15" x14ac:dyDescent="0.2"/>
  <cols>
    <col min="1" max="1" width="12" customWidth="1"/>
    <col min="2" max="3" width="34" customWidth="1"/>
    <col min="4" max="4" width="26" customWidth="1"/>
    <col min="5" max="5" width="52" customWidth="1"/>
    <col min="6" max="6" width="24" customWidth="1"/>
    <col min="7" max="9" width="16" customWidth="1"/>
  </cols>
  <sheetData>
    <row r="1" spans="1:9" ht="30" customHeight="1" x14ac:dyDescent="0.2">
      <c r="A1" s="102" t="s">
        <v>404</v>
      </c>
      <c r="B1" s="103"/>
      <c r="C1" s="103"/>
      <c r="D1" s="103"/>
      <c r="E1" s="103"/>
      <c r="F1" s="103"/>
      <c r="G1" s="103"/>
      <c r="H1" s="103"/>
      <c r="I1" s="103"/>
    </row>
    <row r="2" spans="1:9" ht="27.75" customHeight="1" x14ac:dyDescent="0.2">
      <c r="A2" s="1" t="s">
        <v>42</v>
      </c>
      <c r="B2" s="3" t="s">
        <v>43</v>
      </c>
      <c r="C2" s="3" t="s">
        <v>44</v>
      </c>
      <c r="D2" s="3" t="s">
        <v>45</v>
      </c>
      <c r="E2" s="3" t="s">
        <v>46</v>
      </c>
      <c r="F2" s="3" t="s">
        <v>47</v>
      </c>
      <c r="G2" s="1" t="s">
        <v>405</v>
      </c>
      <c r="H2" s="1" t="s">
        <v>406</v>
      </c>
      <c r="I2" s="1" t="s">
        <v>407</v>
      </c>
    </row>
    <row r="3" spans="1:9" ht="120" customHeight="1" x14ac:dyDescent="0.2">
      <c r="A3" s="4"/>
      <c r="B3" s="5"/>
      <c r="C3" s="6"/>
      <c r="D3" s="7"/>
      <c r="E3" s="8"/>
      <c r="F3" s="9"/>
      <c r="G3" s="10"/>
      <c r="H3" s="10"/>
      <c r="I3" s="10"/>
    </row>
    <row r="4" spans="1:9" ht="120" customHeight="1" x14ac:dyDescent="0.2">
      <c r="A4" s="11"/>
      <c r="B4" s="12"/>
      <c r="C4" s="13"/>
      <c r="D4" s="14"/>
      <c r="E4" s="15"/>
      <c r="F4" s="16"/>
      <c r="G4" s="17"/>
      <c r="H4" s="17"/>
      <c r="I4" s="17"/>
    </row>
    <row r="5" spans="1:9" ht="120" customHeight="1" x14ac:dyDescent="0.2">
      <c r="A5" s="4"/>
      <c r="B5" s="5"/>
      <c r="C5" s="6"/>
      <c r="D5" s="7"/>
      <c r="E5" s="8"/>
      <c r="F5" s="9"/>
      <c r="G5" s="10"/>
      <c r="H5" s="10"/>
      <c r="I5" s="10"/>
    </row>
    <row r="6" spans="1:9" ht="120" customHeight="1" x14ac:dyDescent="0.2">
      <c r="A6" s="11"/>
      <c r="B6" s="12"/>
      <c r="C6" s="13"/>
      <c r="D6" s="14"/>
      <c r="E6" s="15"/>
      <c r="F6" s="16"/>
      <c r="G6" s="17"/>
      <c r="H6" s="17"/>
      <c r="I6" s="17"/>
    </row>
    <row r="7" spans="1:9" ht="117.75" customHeight="1" x14ac:dyDescent="0.2">
      <c r="A7" s="4"/>
      <c r="B7" s="5"/>
      <c r="C7" s="6"/>
      <c r="D7" s="7"/>
      <c r="E7" s="8"/>
      <c r="F7" s="9"/>
      <c r="G7" s="10"/>
      <c r="H7" s="10"/>
      <c r="I7" s="10"/>
    </row>
    <row r="8" spans="1:9" ht="120" customHeight="1" x14ac:dyDescent="0.2">
      <c r="A8" s="11"/>
      <c r="B8" s="12"/>
      <c r="C8" s="13"/>
      <c r="D8" s="14"/>
      <c r="E8" s="15"/>
      <c r="F8" s="16"/>
      <c r="G8" s="17"/>
      <c r="H8" s="17"/>
      <c r="I8" s="17"/>
    </row>
    <row r="9" spans="1:9" ht="120" customHeight="1" x14ac:dyDescent="0.2">
      <c r="A9" s="4"/>
      <c r="B9" s="5"/>
      <c r="C9" s="6"/>
      <c r="D9" s="7"/>
      <c r="E9" s="8"/>
      <c r="F9" s="9"/>
      <c r="G9" s="10"/>
      <c r="H9" s="10"/>
      <c r="I9" s="10"/>
    </row>
    <row r="10" spans="1:9" ht="91.5" customHeight="1" x14ac:dyDescent="0.2">
      <c r="A10" s="11"/>
      <c r="B10" s="12"/>
      <c r="C10" s="13"/>
      <c r="D10" s="14"/>
      <c r="E10" s="15"/>
      <c r="F10" s="16"/>
      <c r="G10" s="17"/>
      <c r="H10" s="17"/>
      <c r="I10" s="17"/>
    </row>
    <row r="11" spans="1:9" ht="91.5" customHeight="1" x14ac:dyDescent="0.2">
      <c r="A11" s="4"/>
      <c r="B11" s="5"/>
      <c r="C11" s="6"/>
      <c r="D11" s="7"/>
      <c r="E11" s="8"/>
      <c r="F11" s="9"/>
      <c r="G11" s="10"/>
      <c r="H11" s="10"/>
      <c r="I11" s="10"/>
    </row>
    <row r="12" spans="1:9" ht="117.75" customHeight="1" x14ac:dyDescent="0.2">
      <c r="A12" s="11"/>
      <c r="B12" s="12"/>
      <c r="C12" s="13"/>
      <c r="D12" s="14"/>
      <c r="E12" s="15"/>
      <c r="F12" s="16"/>
      <c r="G12" s="17"/>
      <c r="H12" s="17"/>
      <c r="I12" s="17"/>
    </row>
    <row r="13" spans="1:9" ht="120" customHeight="1" x14ac:dyDescent="0.2">
      <c r="A13" s="4"/>
      <c r="B13" s="5"/>
      <c r="C13" s="6"/>
      <c r="D13" s="7"/>
      <c r="E13" s="8"/>
      <c r="F13" s="9"/>
      <c r="G13" s="10"/>
      <c r="H13" s="10"/>
      <c r="I13" s="10"/>
    </row>
    <row r="14" spans="1:9" ht="120" customHeight="1" x14ac:dyDescent="0.2">
      <c r="A14" s="11"/>
      <c r="B14" s="12"/>
      <c r="C14" s="13"/>
      <c r="D14" s="14"/>
      <c r="E14" s="15"/>
      <c r="F14" s="16"/>
      <c r="G14" s="17"/>
      <c r="H14" s="17"/>
      <c r="I14" s="17"/>
    </row>
    <row r="15" spans="1:9" ht="120" customHeight="1" x14ac:dyDescent="0.2">
      <c r="A15" s="4"/>
      <c r="B15" s="5"/>
      <c r="C15" s="6"/>
      <c r="D15" s="7"/>
      <c r="E15" s="8"/>
      <c r="F15" s="9"/>
      <c r="G15" s="10"/>
      <c r="H15" s="10"/>
      <c r="I15" s="10"/>
    </row>
    <row r="16" spans="1:9" ht="105" customHeight="1" x14ac:dyDescent="0.2">
      <c r="A16" s="11"/>
      <c r="B16" s="12"/>
      <c r="C16" s="13"/>
      <c r="D16" s="14"/>
      <c r="E16" s="15"/>
      <c r="F16" s="16"/>
      <c r="G16" s="17"/>
      <c r="H16" s="17"/>
      <c r="I16" s="17"/>
    </row>
    <row r="17" spans="1:9" ht="120" customHeight="1" x14ac:dyDescent="0.2">
      <c r="A17" s="4"/>
      <c r="B17" s="5"/>
      <c r="C17" s="6"/>
      <c r="D17" s="7"/>
      <c r="E17" s="8"/>
      <c r="F17" s="9"/>
      <c r="G17" s="10"/>
      <c r="H17" s="10"/>
      <c r="I17" s="10"/>
    </row>
    <row r="18" spans="1:9" ht="120" customHeight="1" x14ac:dyDescent="0.2">
      <c r="A18" s="11"/>
      <c r="B18" s="12"/>
      <c r="C18" s="13"/>
      <c r="D18" s="14"/>
      <c r="E18" s="15"/>
      <c r="F18" s="16"/>
      <c r="G18" s="17"/>
      <c r="H18" s="17"/>
      <c r="I18" s="17"/>
    </row>
    <row r="19" spans="1:9" ht="120" customHeight="1" x14ac:dyDescent="0.2">
      <c r="A19" s="4"/>
      <c r="B19" s="5"/>
      <c r="C19" s="6"/>
      <c r="D19" s="7"/>
      <c r="E19" s="8"/>
      <c r="F19" s="9"/>
      <c r="G19" s="10"/>
      <c r="H19" s="10"/>
      <c r="I19" s="10"/>
    </row>
    <row r="20" spans="1:9" ht="120" customHeight="1" x14ac:dyDescent="0.2">
      <c r="A20" s="11"/>
      <c r="B20" s="12"/>
      <c r="C20" s="13"/>
      <c r="D20" s="14"/>
      <c r="E20" s="15"/>
      <c r="F20" s="16"/>
      <c r="G20" s="17"/>
      <c r="H20" s="17"/>
      <c r="I20" s="17"/>
    </row>
    <row r="21" spans="1:9" ht="120" customHeight="1" x14ac:dyDescent="0.2">
      <c r="A21" s="4"/>
      <c r="B21" s="5"/>
      <c r="C21" s="6"/>
      <c r="D21" s="7"/>
      <c r="E21" s="8"/>
      <c r="F21" s="9"/>
      <c r="G21" s="10"/>
      <c r="H21" s="10"/>
      <c r="I21" s="10"/>
    </row>
    <row r="22" spans="1:9" ht="120" customHeight="1" x14ac:dyDescent="0.2">
      <c r="A22" s="11"/>
      <c r="B22" s="12"/>
      <c r="C22" s="13"/>
      <c r="D22" s="14"/>
      <c r="E22" s="15"/>
      <c r="F22" s="16"/>
      <c r="G22" s="17"/>
      <c r="H22" s="17"/>
      <c r="I22" s="17"/>
    </row>
    <row r="23" spans="1:9" ht="91.5" customHeight="1" x14ac:dyDescent="0.2">
      <c r="A23" s="4"/>
      <c r="B23" s="5"/>
      <c r="C23" s="6"/>
      <c r="D23" s="7"/>
      <c r="E23" s="8"/>
      <c r="F23" s="9"/>
      <c r="G23" s="10"/>
      <c r="H23" s="10"/>
      <c r="I23" s="10"/>
    </row>
    <row r="24" spans="1:9" ht="117.75" customHeight="1" x14ac:dyDescent="0.2">
      <c r="A24" s="11"/>
      <c r="B24" s="12"/>
      <c r="C24" s="13"/>
      <c r="D24" s="14"/>
      <c r="E24" s="15"/>
      <c r="F24" s="16"/>
      <c r="G24" s="17"/>
      <c r="H24" s="17"/>
      <c r="I24" s="17"/>
    </row>
    <row r="25" spans="1:9" ht="120" customHeight="1" x14ac:dyDescent="0.2">
      <c r="A25" s="4"/>
      <c r="B25" s="5"/>
      <c r="C25" s="6"/>
      <c r="D25" s="7"/>
      <c r="E25" s="8"/>
      <c r="F25" s="9"/>
      <c r="G25" s="10"/>
      <c r="H25" s="10"/>
      <c r="I25" s="10"/>
    </row>
    <row r="26" spans="1:9" ht="120" customHeight="1" x14ac:dyDescent="0.2">
      <c r="A26" s="11"/>
      <c r="B26" s="12"/>
      <c r="C26" s="13"/>
      <c r="D26" s="14"/>
      <c r="E26" s="15"/>
      <c r="F26" s="16"/>
      <c r="G26" s="17"/>
      <c r="H26" s="17"/>
      <c r="I26" s="17"/>
    </row>
    <row r="27" spans="1:9" ht="120" customHeight="1" x14ac:dyDescent="0.2">
      <c r="A27" s="4"/>
      <c r="B27" s="5"/>
      <c r="C27" s="6"/>
      <c r="D27" s="7"/>
      <c r="E27" s="8"/>
      <c r="F27" s="9"/>
      <c r="G27" s="10"/>
      <c r="H27" s="10"/>
      <c r="I27" s="10"/>
    </row>
    <row r="28" spans="1:9" ht="120" customHeight="1" x14ac:dyDescent="0.2">
      <c r="A28" s="11"/>
      <c r="B28" s="12"/>
      <c r="C28" s="13"/>
      <c r="D28" s="14"/>
      <c r="E28" s="15"/>
      <c r="F28" s="16"/>
      <c r="G28" s="17"/>
      <c r="H28" s="17"/>
      <c r="I28" s="17"/>
    </row>
    <row r="29" spans="1:9" ht="120" customHeight="1" x14ac:dyDescent="0.2">
      <c r="A29" s="4"/>
      <c r="B29" s="5"/>
      <c r="C29" s="6"/>
      <c r="D29" s="7"/>
      <c r="E29" s="8"/>
      <c r="F29" s="9"/>
      <c r="G29" s="10"/>
      <c r="H29" s="10"/>
      <c r="I29" s="10"/>
    </row>
    <row r="30" spans="1:9" ht="120" customHeight="1" x14ac:dyDescent="0.2">
      <c r="A30" s="11"/>
      <c r="B30" s="12"/>
      <c r="C30" s="13"/>
      <c r="D30" s="14"/>
      <c r="E30" s="15"/>
      <c r="F30" s="16"/>
      <c r="G30" s="17"/>
      <c r="H30" s="17"/>
      <c r="I30" s="17"/>
    </row>
    <row r="31" spans="1:9" ht="117.75" customHeight="1" x14ac:dyDescent="0.2">
      <c r="A31" s="4"/>
      <c r="B31" s="5"/>
      <c r="C31" s="6"/>
      <c r="D31" s="7"/>
      <c r="E31" s="8"/>
      <c r="F31" s="9"/>
      <c r="G31" s="10"/>
      <c r="H31" s="10"/>
      <c r="I31" s="10"/>
    </row>
    <row r="32" spans="1:9" ht="120" customHeight="1" x14ac:dyDescent="0.2">
      <c r="A32" s="11"/>
      <c r="B32" s="12"/>
      <c r="C32" s="13"/>
      <c r="D32" s="14"/>
      <c r="E32" s="15"/>
      <c r="F32" s="16"/>
      <c r="G32" s="17"/>
      <c r="H32" s="17"/>
      <c r="I32" s="17"/>
    </row>
    <row r="33" spans="1:9" ht="120" customHeight="1" x14ac:dyDescent="0.2">
      <c r="A33" s="4"/>
      <c r="B33" s="5"/>
      <c r="C33" s="6"/>
      <c r="D33" s="7"/>
      <c r="E33" s="8"/>
      <c r="F33" s="9"/>
      <c r="G33" s="10"/>
      <c r="H33" s="10"/>
      <c r="I33" s="10"/>
    </row>
    <row r="34" spans="1:9" ht="120" customHeight="1" x14ac:dyDescent="0.2">
      <c r="A34" s="11"/>
      <c r="B34" s="12"/>
      <c r="C34" s="13"/>
      <c r="D34" s="14"/>
      <c r="E34" s="15"/>
      <c r="F34" s="16"/>
      <c r="G34" s="17"/>
      <c r="H34" s="17"/>
      <c r="I34" s="17"/>
    </row>
    <row r="35" spans="1:9" ht="120" customHeight="1" x14ac:dyDescent="0.2">
      <c r="A35" s="4"/>
      <c r="B35" s="5"/>
      <c r="C35" s="6"/>
      <c r="D35" s="7"/>
      <c r="E35" s="8"/>
      <c r="F35" s="9"/>
      <c r="G35" s="10"/>
      <c r="H35" s="10"/>
      <c r="I35" s="10"/>
    </row>
    <row r="36" spans="1:9" ht="120" customHeight="1" x14ac:dyDescent="0.2">
      <c r="A36" s="11"/>
      <c r="B36" s="12"/>
      <c r="C36" s="13"/>
      <c r="D36" s="14"/>
      <c r="E36" s="15"/>
      <c r="F36" s="16"/>
      <c r="G36" s="17"/>
      <c r="H36" s="17"/>
      <c r="I36" s="17"/>
    </row>
    <row r="37" spans="1:9" ht="120" customHeight="1" x14ac:dyDescent="0.2">
      <c r="A37" s="4"/>
      <c r="B37" s="5"/>
      <c r="C37" s="6"/>
      <c r="D37" s="7"/>
      <c r="E37" s="8"/>
      <c r="F37" s="9"/>
      <c r="G37" s="10"/>
      <c r="H37" s="10"/>
      <c r="I37" s="10"/>
    </row>
    <row r="38" spans="1:9" ht="117.75" customHeight="1" x14ac:dyDescent="0.2">
      <c r="A38" s="11"/>
      <c r="B38" s="12"/>
      <c r="C38" s="13"/>
      <c r="D38" s="14"/>
      <c r="E38" s="15"/>
      <c r="F38" s="16"/>
      <c r="G38" s="17"/>
      <c r="H38" s="17"/>
      <c r="I38" s="17"/>
    </row>
    <row r="39" spans="1:9" ht="120" customHeight="1" x14ac:dyDescent="0.2">
      <c r="A39" s="4"/>
      <c r="B39" s="5"/>
      <c r="C39" s="6"/>
      <c r="D39" s="7"/>
      <c r="E39" s="8"/>
      <c r="F39" s="9"/>
      <c r="G39" s="10"/>
      <c r="H39" s="10"/>
      <c r="I39" s="10"/>
    </row>
    <row r="40" spans="1:9" ht="120" customHeight="1" x14ac:dyDescent="0.2">
      <c r="A40" s="11"/>
      <c r="B40" s="12"/>
      <c r="C40" s="13"/>
      <c r="D40" s="14"/>
      <c r="E40" s="15"/>
      <c r="F40" s="16"/>
      <c r="G40" s="17"/>
      <c r="H40" s="17"/>
      <c r="I40" s="17"/>
    </row>
    <row r="41" spans="1:9" ht="78.75" customHeight="1" x14ac:dyDescent="0.2">
      <c r="A41" s="4"/>
      <c r="B41" s="5"/>
      <c r="C41" s="6"/>
      <c r="D41" s="7"/>
      <c r="E41" s="8"/>
      <c r="F41" s="9"/>
      <c r="G41" s="10"/>
      <c r="H41" s="10"/>
      <c r="I41" s="10"/>
    </row>
    <row r="42" spans="1:9" ht="120" customHeight="1" x14ac:dyDescent="0.2">
      <c r="A42" s="11"/>
      <c r="B42" s="12"/>
      <c r="C42" s="13"/>
      <c r="D42" s="14"/>
      <c r="E42" s="15"/>
      <c r="F42" s="16"/>
      <c r="G42" s="17"/>
      <c r="H42" s="17"/>
      <c r="I42" s="17"/>
    </row>
    <row r="43" spans="1:9" ht="105" customHeight="1" x14ac:dyDescent="0.2">
      <c r="A43" s="4"/>
      <c r="B43" s="5"/>
      <c r="C43" s="6"/>
      <c r="D43" s="7"/>
      <c r="E43" s="8"/>
      <c r="F43" s="9"/>
      <c r="G43" s="10"/>
      <c r="H43" s="10"/>
      <c r="I43" s="10"/>
    </row>
    <row r="44" spans="1:9" ht="120" customHeight="1" x14ac:dyDescent="0.2">
      <c r="A44" s="11"/>
      <c r="B44" s="12"/>
      <c r="C44" s="13"/>
      <c r="D44" s="14"/>
      <c r="E44" s="15"/>
      <c r="F44" s="16"/>
      <c r="G44" s="17"/>
      <c r="H44" s="17"/>
      <c r="I44" s="17"/>
    </row>
    <row r="45" spans="1:9" ht="105" customHeight="1" x14ac:dyDescent="0.2">
      <c r="A45" s="4"/>
      <c r="B45" s="5"/>
      <c r="C45" s="6"/>
      <c r="D45" s="7"/>
      <c r="E45" s="8"/>
      <c r="F45" s="9"/>
      <c r="G45" s="10"/>
      <c r="H45" s="10"/>
      <c r="I45" s="10"/>
    </row>
    <row r="46" spans="1:9" ht="120" customHeight="1" x14ac:dyDescent="0.2">
      <c r="A46" s="11"/>
      <c r="B46" s="12"/>
      <c r="C46" s="13"/>
      <c r="D46" s="14"/>
      <c r="E46" s="15"/>
      <c r="F46" s="16"/>
      <c r="G46" s="17"/>
      <c r="H46" s="17"/>
      <c r="I46" s="17"/>
    </row>
    <row r="47" spans="1:9" ht="117.75" customHeight="1" x14ac:dyDescent="0.2">
      <c r="A47" s="4"/>
      <c r="B47" s="5"/>
      <c r="C47" s="6"/>
      <c r="D47" s="7"/>
      <c r="E47" s="8"/>
      <c r="F47" s="9"/>
      <c r="G47" s="10"/>
      <c r="H47" s="10"/>
      <c r="I47" s="10"/>
    </row>
    <row r="48" spans="1:9" ht="120" customHeight="1" x14ac:dyDescent="0.2">
      <c r="A48" s="11"/>
      <c r="B48" s="12"/>
      <c r="C48" s="13"/>
      <c r="D48" s="14"/>
      <c r="E48" s="15"/>
      <c r="F48" s="16"/>
      <c r="G48" s="17"/>
      <c r="H48" s="17"/>
      <c r="I48" s="17"/>
    </row>
    <row r="49" spans="1:9" ht="91.5" customHeight="1" x14ac:dyDescent="0.2">
      <c r="A49" s="4"/>
      <c r="B49" s="5"/>
      <c r="C49" s="6"/>
      <c r="D49" s="7"/>
      <c r="E49" s="8"/>
      <c r="F49" s="9"/>
      <c r="G49" s="10"/>
      <c r="H49" s="10"/>
      <c r="I49" s="10"/>
    </row>
    <row r="50" spans="1:9" ht="91.5" customHeight="1" x14ac:dyDescent="0.2">
      <c r="A50" s="11"/>
      <c r="B50" s="12"/>
      <c r="C50" s="13"/>
      <c r="D50" s="14"/>
      <c r="E50" s="15"/>
      <c r="F50" s="16"/>
      <c r="G50" s="17"/>
      <c r="H50" s="17"/>
      <c r="I50" s="17"/>
    </row>
    <row r="51" spans="1:9" ht="120" customHeight="1" x14ac:dyDescent="0.2">
      <c r="A51" s="4"/>
      <c r="B51" s="5"/>
      <c r="C51" s="6"/>
      <c r="D51" s="7"/>
      <c r="E51" s="8"/>
      <c r="F51" s="9"/>
      <c r="G51" s="10"/>
      <c r="H51" s="10"/>
      <c r="I51" s="10"/>
    </row>
    <row r="52" spans="1:9" ht="120" customHeight="1" x14ac:dyDescent="0.2">
      <c r="A52" s="11"/>
      <c r="B52" s="12"/>
      <c r="C52" s="13"/>
      <c r="D52" s="14"/>
      <c r="E52" s="15"/>
      <c r="F52" s="16"/>
      <c r="G52" s="17"/>
      <c r="H52" s="17"/>
      <c r="I52" s="17"/>
    </row>
    <row r="53" spans="1:9" ht="120" customHeight="1" x14ac:dyDescent="0.2">
      <c r="A53" s="4"/>
      <c r="B53" s="5"/>
      <c r="C53" s="6"/>
      <c r="D53" s="7"/>
      <c r="E53" s="8"/>
      <c r="F53" s="9"/>
      <c r="G53" s="10"/>
      <c r="H53" s="10"/>
      <c r="I53" s="10"/>
    </row>
    <row r="54" spans="1:9" ht="120" customHeight="1" x14ac:dyDescent="0.2">
      <c r="A54" s="11"/>
      <c r="B54" s="12"/>
      <c r="C54" s="13"/>
      <c r="D54" s="14"/>
      <c r="E54" s="15"/>
      <c r="F54" s="16"/>
      <c r="G54" s="17"/>
      <c r="H54" s="17"/>
      <c r="I54" s="17"/>
    </row>
    <row r="55" spans="1:9" ht="120" customHeight="1" x14ac:dyDescent="0.2">
      <c r="A55" s="95" t="s">
        <v>615</v>
      </c>
      <c r="B55" s="5" t="s">
        <v>605</v>
      </c>
      <c r="C55" s="85" t="s">
        <v>606</v>
      </c>
      <c r="D55" s="88" t="s">
        <v>52</v>
      </c>
      <c r="E55" s="8" t="s">
        <v>604</v>
      </c>
      <c r="F55" s="87" t="s">
        <v>607</v>
      </c>
      <c r="G55" s="10"/>
      <c r="H55" s="10">
        <v>421422</v>
      </c>
      <c r="I55" s="10">
        <v>421422</v>
      </c>
    </row>
    <row r="56" spans="1:9" ht="105" customHeight="1" x14ac:dyDescent="0.2">
      <c r="A56" s="96" t="s">
        <v>615</v>
      </c>
      <c r="B56" s="91" t="s">
        <v>609</v>
      </c>
      <c r="C56" s="92" t="s">
        <v>608</v>
      </c>
      <c r="D56" s="93" t="s">
        <v>98</v>
      </c>
      <c r="E56" s="94" t="s">
        <v>610</v>
      </c>
      <c r="F56" s="90" t="s">
        <v>607</v>
      </c>
      <c r="G56" s="17"/>
      <c r="H56" s="17">
        <v>232142</v>
      </c>
      <c r="I56" s="17">
        <v>232142</v>
      </c>
    </row>
    <row r="57" spans="1:9" ht="117.75" customHeight="1" x14ac:dyDescent="0.2">
      <c r="A57" s="95" t="s">
        <v>615</v>
      </c>
      <c r="B57" s="5" t="s">
        <v>612</v>
      </c>
      <c r="C57" s="89" t="s">
        <v>611</v>
      </c>
      <c r="D57" s="88" t="s">
        <v>119</v>
      </c>
      <c r="E57" s="8" t="s">
        <v>613</v>
      </c>
      <c r="F57" s="87" t="s">
        <v>614</v>
      </c>
      <c r="G57" s="10"/>
      <c r="H57" s="10">
        <v>80000</v>
      </c>
      <c r="I57" s="10">
        <v>80000</v>
      </c>
    </row>
    <row r="58" spans="1:9" ht="120" customHeight="1" x14ac:dyDescent="0.2">
      <c r="A58" s="11"/>
      <c r="B58" s="12"/>
      <c r="C58" s="13"/>
      <c r="D58" s="14"/>
      <c r="E58" s="15"/>
      <c r="F58" s="16"/>
      <c r="G58" s="17"/>
      <c r="H58" s="17"/>
      <c r="I58" s="17"/>
    </row>
    <row r="59" spans="1:9" ht="120" customHeight="1" x14ac:dyDescent="0.2">
      <c r="A59" s="4"/>
      <c r="B59" s="5"/>
      <c r="C59" s="6"/>
      <c r="D59" s="7"/>
      <c r="E59" s="8"/>
      <c r="F59" s="9"/>
      <c r="G59" s="10"/>
      <c r="H59" s="10"/>
      <c r="I59" s="10"/>
    </row>
    <row r="60" spans="1:9" ht="117.75" customHeight="1" x14ac:dyDescent="0.2">
      <c r="A60" s="11" t="s">
        <v>10</v>
      </c>
      <c r="B60" s="12" t="s">
        <v>168</v>
      </c>
      <c r="C60" s="13" t="s">
        <v>169</v>
      </c>
      <c r="D60" s="14" t="s">
        <v>64</v>
      </c>
      <c r="E60" s="15" t="s">
        <v>411</v>
      </c>
      <c r="F60" s="16" t="s">
        <v>85</v>
      </c>
      <c r="G60" s="17"/>
      <c r="H60" s="17">
        <v>33200</v>
      </c>
      <c r="I60" s="17">
        <v>33200</v>
      </c>
    </row>
    <row r="61" spans="1:9" ht="120" customHeight="1" x14ac:dyDescent="0.2">
      <c r="A61" s="4" t="s">
        <v>10</v>
      </c>
      <c r="B61" s="5" t="s">
        <v>171</v>
      </c>
      <c r="C61" s="6" t="s">
        <v>172</v>
      </c>
      <c r="D61" s="7" t="s">
        <v>64</v>
      </c>
      <c r="E61" s="8" t="s">
        <v>412</v>
      </c>
      <c r="F61" s="9" t="s">
        <v>69</v>
      </c>
      <c r="G61" s="10"/>
      <c r="H61" s="10">
        <v>16600</v>
      </c>
      <c r="I61" s="10">
        <v>16600</v>
      </c>
    </row>
    <row r="62" spans="1:9" ht="117.75" customHeight="1" x14ac:dyDescent="0.2">
      <c r="A62" s="11" t="s">
        <v>10</v>
      </c>
      <c r="B62" s="12" t="s">
        <v>174</v>
      </c>
      <c r="C62" s="13" t="s">
        <v>175</v>
      </c>
      <c r="D62" s="14" t="s">
        <v>12</v>
      </c>
      <c r="E62" s="15" t="s">
        <v>413</v>
      </c>
      <c r="F62" s="16" t="s">
        <v>58</v>
      </c>
      <c r="G62" s="17"/>
      <c r="H62" s="17">
        <v>80095</v>
      </c>
      <c r="I62" s="17">
        <v>80095</v>
      </c>
    </row>
    <row r="63" spans="1:9" ht="105" customHeight="1" x14ac:dyDescent="0.2">
      <c r="A63" s="4" t="s">
        <v>10</v>
      </c>
      <c r="B63" s="5" t="s">
        <v>179</v>
      </c>
      <c r="C63" s="6" t="s">
        <v>180</v>
      </c>
      <c r="D63" s="7" t="s">
        <v>12</v>
      </c>
      <c r="E63" s="8" t="s">
        <v>414</v>
      </c>
      <c r="F63" s="9" t="s">
        <v>69</v>
      </c>
      <c r="G63" s="10"/>
      <c r="H63" s="10">
        <v>16600</v>
      </c>
      <c r="I63" s="10">
        <v>16600</v>
      </c>
    </row>
    <row r="64" spans="1:9" ht="120" customHeight="1" x14ac:dyDescent="0.2">
      <c r="A64" s="11" t="s">
        <v>10</v>
      </c>
      <c r="B64" s="12" t="s">
        <v>182</v>
      </c>
      <c r="C64" s="13" t="s">
        <v>183</v>
      </c>
      <c r="D64" s="14" t="s">
        <v>64</v>
      </c>
      <c r="E64" s="15" t="s">
        <v>415</v>
      </c>
      <c r="F64" s="16" t="s">
        <v>54</v>
      </c>
      <c r="G64" s="17"/>
      <c r="H64" s="17">
        <v>29050</v>
      </c>
      <c r="I64" s="17">
        <v>29050</v>
      </c>
    </row>
    <row r="65" spans="1:9" ht="120" customHeight="1" x14ac:dyDescent="0.2">
      <c r="A65" s="4" t="s">
        <v>10</v>
      </c>
      <c r="B65" s="5" t="s">
        <v>188</v>
      </c>
      <c r="C65" s="6" t="s">
        <v>189</v>
      </c>
      <c r="D65" s="7" t="s">
        <v>52</v>
      </c>
      <c r="E65" s="8" t="s">
        <v>416</v>
      </c>
      <c r="F65" s="9" t="s">
        <v>191</v>
      </c>
      <c r="G65" s="10"/>
      <c r="H65" s="10">
        <v>44827.06</v>
      </c>
      <c r="I65" s="10">
        <v>44827.06</v>
      </c>
    </row>
    <row r="66" spans="1:9" ht="120" customHeight="1" x14ac:dyDescent="0.2">
      <c r="A66" s="11" t="s">
        <v>10</v>
      </c>
      <c r="B66" s="12" t="s">
        <v>194</v>
      </c>
      <c r="C66" s="13" t="s">
        <v>195</v>
      </c>
      <c r="D66" s="14" t="s">
        <v>64</v>
      </c>
      <c r="E66" s="15" t="s">
        <v>196</v>
      </c>
      <c r="F66" s="16" t="s">
        <v>67</v>
      </c>
      <c r="G66" s="17"/>
      <c r="H66" s="17">
        <v>74700</v>
      </c>
      <c r="I66" s="17">
        <v>74700</v>
      </c>
    </row>
    <row r="67" spans="1:9" ht="120" customHeight="1" x14ac:dyDescent="0.2">
      <c r="A67" s="4" t="s">
        <v>10</v>
      </c>
      <c r="B67" s="5" t="s">
        <v>22</v>
      </c>
      <c r="C67" s="6" t="s">
        <v>197</v>
      </c>
      <c r="D67" s="7" t="s">
        <v>64</v>
      </c>
      <c r="E67" s="8" t="s">
        <v>198</v>
      </c>
      <c r="F67" s="9" t="s">
        <v>54</v>
      </c>
      <c r="G67" s="10"/>
      <c r="H67" s="10">
        <v>66400</v>
      </c>
      <c r="I67" s="10">
        <v>66400</v>
      </c>
    </row>
    <row r="68" spans="1:9" ht="120" customHeight="1" x14ac:dyDescent="0.2">
      <c r="A68" s="11" t="s">
        <v>10</v>
      </c>
      <c r="B68" s="12" t="s">
        <v>22</v>
      </c>
      <c r="C68" s="13" t="s">
        <v>199</v>
      </c>
      <c r="D68" s="14" t="s">
        <v>119</v>
      </c>
      <c r="E68" s="15" t="s">
        <v>200</v>
      </c>
      <c r="F68" s="16" t="s">
        <v>54</v>
      </c>
      <c r="G68" s="17"/>
      <c r="H68" s="17">
        <v>53950</v>
      </c>
      <c r="I68" s="17">
        <v>53950</v>
      </c>
    </row>
    <row r="69" spans="1:9" ht="120" customHeight="1" x14ac:dyDescent="0.2">
      <c r="A69" s="4" t="s">
        <v>10</v>
      </c>
      <c r="B69" s="5" t="s">
        <v>201</v>
      </c>
      <c r="C69" s="6" t="s">
        <v>202</v>
      </c>
      <c r="D69" s="7" t="s">
        <v>98</v>
      </c>
      <c r="E69" s="8" t="s">
        <v>203</v>
      </c>
      <c r="F69" s="9" t="s">
        <v>417</v>
      </c>
      <c r="G69" s="10"/>
      <c r="H69" s="10">
        <v>59760</v>
      </c>
      <c r="I69" s="10">
        <v>59760</v>
      </c>
    </row>
    <row r="70" spans="1:9" ht="120" customHeight="1" x14ac:dyDescent="0.2">
      <c r="A70" s="11" t="s">
        <v>10</v>
      </c>
      <c r="B70" s="12" t="s">
        <v>205</v>
      </c>
      <c r="C70" s="13" t="s">
        <v>206</v>
      </c>
      <c r="D70" s="14" t="s">
        <v>12</v>
      </c>
      <c r="E70" s="15" t="s">
        <v>418</v>
      </c>
      <c r="F70" s="16" t="s">
        <v>81</v>
      </c>
      <c r="G70" s="17"/>
      <c r="H70" s="17">
        <v>24900</v>
      </c>
      <c r="I70" s="17">
        <v>24900</v>
      </c>
    </row>
    <row r="71" spans="1:9" ht="120" customHeight="1" x14ac:dyDescent="0.2">
      <c r="A71" s="4" t="s">
        <v>10</v>
      </c>
      <c r="B71" s="5" t="s">
        <v>29</v>
      </c>
      <c r="C71" s="6" t="s">
        <v>208</v>
      </c>
      <c r="D71" s="7" t="s">
        <v>98</v>
      </c>
      <c r="E71" s="8" t="s">
        <v>209</v>
      </c>
      <c r="F71" s="9" t="s">
        <v>210</v>
      </c>
      <c r="G71" s="10"/>
      <c r="H71" s="10">
        <v>120350</v>
      </c>
      <c r="I71" s="10">
        <v>120350</v>
      </c>
    </row>
    <row r="72" spans="1:9" ht="120" customHeight="1" x14ac:dyDescent="0.2">
      <c r="A72" s="11" t="s">
        <v>10</v>
      </c>
      <c r="B72" s="12" t="s">
        <v>38</v>
      </c>
      <c r="C72" s="13" t="s">
        <v>211</v>
      </c>
      <c r="D72" s="14" t="s">
        <v>52</v>
      </c>
      <c r="E72" s="15" t="s">
        <v>419</v>
      </c>
      <c r="F72" s="16" t="s">
        <v>58</v>
      </c>
      <c r="G72" s="17"/>
      <c r="H72" s="17">
        <v>86320</v>
      </c>
      <c r="I72" s="17">
        <v>86320</v>
      </c>
    </row>
    <row r="73" spans="1:9" ht="120" customHeight="1" x14ac:dyDescent="0.2">
      <c r="A73" s="4" t="s">
        <v>10</v>
      </c>
      <c r="B73" s="5" t="s">
        <v>38</v>
      </c>
      <c r="C73" s="6" t="s">
        <v>213</v>
      </c>
      <c r="D73" s="7" t="s">
        <v>64</v>
      </c>
      <c r="E73" s="8" t="s">
        <v>214</v>
      </c>
      <c r="F73" s="9" t="s">
        <v>58</v>
      </c>
      <c r="G73" s="10"/>
      <c r="H73" s="10">
        <v>84660</v>
      </c>
      <c r="I73" s="10">
        <v>84660</v>
      </c>
    </row>
    <row r="74" spans="1:9" ht="78.75" customHeight="1" x14ac:dyDescent="0.2">
      <c r="A74" s="11" t="s">
        <v>10</v>
      </c>
      <c r="B74" s="12" t="s">
        <v>32</v>
      </c>
      <c r="C74" s="13" t="s">
        <v>215</v>
      </c>
      <c r="D74" s="14" t="s">
        <v>12</v>
      </c>
      <c r="E74" s="15" t="s">
        <v>420</v>
      </c>
      <c r="F74" s="16" t="s">
        <v>69</v>
      </c>
      <c r="G74" s="17"/>
      <c r="H74" s="17">
        <v>18260</v>
      </c>
      <c r="I74" s="17">
        <v>18260</v>
      </c>
    </row>
    <row r="75" spans="1:9" ht="120" customHeight="1" x14ac:dyDescent="0.2">
      <c r="A75" s="4" t="s">
        <v>10</v>
      </c>
      <c r="B75" s="5" t="s">
        <v>32</v>
      </c>
      <c r="C75" s="6" t="s">
        <v>217</v>
      </c>
      <c r="D75" s="7" t="s">
        <v>64</v>
      </c>
      <c r="E75" s="8" t="s">
        <v>218</v>
      </c>
      <c r="F75" s="9" t="s">
        <v>69</v>
      </c>
      <c r="G75" s="10"/>
      <c r="H75" s="10">
        <v>59137.5</v>
      </c>
      <c r="I75" s="10">
        <v>59137.5</v>
      </c>
    </row>
    <row r="76" spans="1:9" ht="120" customHeight="1" x14ac:dyDescent="0.2">
      <c r="A76" s="11" t="s">
        <v>10</v>
      </c>
      <c r="B76" s="12" t="s">
        <v>219</v>
      </c>
      <c r="C76" s="13" t="s">
        <v>421</v>
      </c>
      <c r="D76" s="14" t="s">
        <v>12</v>
      </c>
      <c r="E76" s="15" t="s">
        <v>220</v>
      </c>
      <c r="F76" s="16" t="s">
        <v>58</v>
      </c>
      <c r="G76" s="17"/>
      <c r="H76" s="17">
        <v>117860</v>
      </c>
      <c r="I76" s="17">
        <v>117860</v>
      </c>
    </row>
    <row r="77" spans="1:9" ht="120" customHeight="1" x14ac:dyDescent="0.2">
      <c r="A77" s="4" t="s">
        <v>10</v>
      </c>
      <c r="B77" s="5" t="s">
        <v>221</v>
      </c>
      <c r="C77" s="6" t="s">
        <v>222</v>
      </c>
      <c r="D77" s="7" t="s">
        <v>98</v>
      </c>
      <c r="E77" s="8" t="s">
        <v>223</v>
      </c>
      <c r="F77" s="9" t="s">
        <v>408</v>
      </c>
      <c r="G77" s="10"/>
      <c r="H77" s="10">
        <v>45650</v>
      </c>
      <c r="I77" s="10">
        <v>45650</v>
      </c>
    </row>
    <row r="78" spans="1:9" ht="117.75" customHeight="1" x14ac:dyDescent="0.2">
      <c r="A78" s="11" t="s">
        <v>10</v>
      </c>
      <c r="B78" s="12" t="s">
        <v>224</v>
      </c>
      <c r="C78" s="13" t="s">
        <v>225</v>
      </c>
      <c r="D78" s="14" t="s">
        <v>64</v>
      </c>
      <c r="E78" s="15" t="s">
        <v>422</v>
      </c>
      <c r="F78" s="16" t="s">
        <v>423</v>
      </c>
      <c r="G78" s="17"/>
      <c r="H78" s="17">
        <v>20750</v>
      </c>
      <c r="I78" s="17">
        <v>20750</v>
      </c>
    </row>
    <row r="79" spans="1:9" ht="120" customHeight="1" x14ac:dyDescent="0.2">
      <c r="A79" s="4" t="s">
        <v>10</v>
      </c>
      <c r="B79" s="5" t="s">
        <v>226</v>
      </c>
      <c r="C79" s="6" t="s">
        <v>227</v>
      </c>
      <c r="D79" s="7" t="s">
        <v>12</v>
      </c>
      <c r="E79" s="8" t="s">
        <v>228</v>
      </c>
      <c r="F79" s="9" t="s">
        <v>58</v>
      </c>
      <c r="G79" s="10"/>
      <c r="H79" s="10">
        <v>41500</v>
      </c>
      <c r="I79" s="10">
        <v>41500</v>
      </c>
    </row>
    <row r="80" spans="1:9" ht="120" customHeight="1" x14ac:dyDescent="0.2">
      <c r="A80" s="11" t="s">
        <v>10</v>
      </c>
      <c r="B80" s="12" t="s">
        <v>19</v>
      </c>
      <c r="C80" s="13" t="s">
        <v>229</v>
      </c>
      <c r="D80" s="14" t="s">
        <v>12</v>
      </c>
      <c r="E80" s="15" t="s">
        <v>424</v>
      </c>
      <c r="F80" s="16" t="s">
        <v>62</v>
      </c>
      <c r="G80" s="17"/>
      <c r="H80" s="17">
        <v>49800</v>
      </c>
      <c r="I80" s="17">
        <v>49800</v>
      </c>
    </row>
    <row r="81" spans="1:9" ht="120" customHeight="1" x14ac:dyDescent="0.2">
      <c r="A81" s="4" t="s">
        <v>10</v>
      </c>
      <c r="B81" s="5" t="s">
        <v>235</v>
      </c>
      <c r="C81" s="6" t="s">
        <v>236</v>
      </c>
      <c r="D81" s="7" t="s">
        <v>12</v>
      </c>
      <c r="E81" s="8" t="s">
        <v>237</v>
      </c>
      <c r="F81" s="9" t="s">
        <v>85</v>
      </c>
      <c r="G81" s="10"/>
      <c r="H81" s="10">
        <v>39170</v>
      </c>
      <c r="I81" s="10">
        <v>39170</v>
      </c>
    </row>
    <row r="82" spans="1:9" ht="120" customHeight="1" x14ac:dyDescent="0.2">
      <c r="A82" s="11" t="s">
        <v>10</v>
      </c>
      <c r="B82" s="12" t="s">
        <v>19</v>
      </c>
      <c r="C82" s="13" t="s">
        <v>238</v>
      </c>
      <c r="D82" s="14" t="s">
        <v>12</v>
      </c>
      <c r="E82" s="15" t="s">
        <v>239</v>
      </c>
      <c r="F82" s="16" t="s">
        <v>240</v>
      </c>
      <c r="G82" s="17"/>
      <c r="H82" s="17">
        <v>49800</v>
      </c>
      <c r="I82" s="17">
        <v>49800</v>
      </c>
    </row>
    <row r="83" spans="1:9" ht="120" customHeight="1" x14ac:dyDescent="0.2">
      <c r="A83" s="4" t="s">
        <v>10</v>
      </c>
      <c r="B83" s="5" t="s">
        <v>22</v>
      </c>
      <c r="C83" s="6" t="s">
        <v>241</v>
      </c>
      <c r="D83" s="7" t="s">
        <v>119</v>
      </c>
      <c r="E83" s="8" t="s">
        <v>425</v>
      </c>
      <c r="F83" s="9" t="s">
        <v>54</v>
      </c>
      <c r="G83" s="10"/>
      <c r="H83" s="10">
        <v>53950</v>
      </c>
      <c r="I83" s="10">
        <v>53950</v>
      </c>
    </row>
    <row r="84" spans="1:9" ht="120" customHeight="1" x14ac:dyDescent="0.2">
      <c r="A84" s="11" t="s">
        <v>10</v>
      </c>
      <c r="B84" s="12" t="s">
        <v>19</v>
      </c>
      <c r="C84" s="13" t="s">
        <v>426</v>
      </c>
      <c r="D84" s="14" t="s">
        <v>12</v>
      </c>
      <c r="E84" s="15" t="s">
        <v>427</v>
      </c>
      <c r="F84" s="16" t="s">
        <v>69</v>
      </c>
      <c r="G84" s="17"/>
      <c r="H84" s="17">
        <v>41500</v>
      </c>
      <c r="I84" s="17">
        <v>41500</v>
      </c>
    </row>
    <row r="85" spans="1:9" ht="120" customHeight="1" x14ac:dyDescent="0.2">
      <c r="A85" s="4" t="s">
        <v>10</v>
      </c>
      <c r="B85" s="5" t="s">
        <v>36</v>
      </c>
      <c r="C85" s="6" t="s">
        <v>428</v>
      </c>
      <c r="D85" s="7" t="s">
        <v>12</v>
      </c>
      <c r="E85" s="8" t="s">
        <v>429</v>
      </c>
      <c r="F85" s="9" t="s">
        <v>54</v>
      </c>
      <c r="G85" s="10"/>
      <c r="H85" s="10">
        <v>43857.2</v>
      </c>
      <c r="I85" s="10">
        <v>43857.2</v>
      </c>
    </row>
    <row r="86" spans="1:9" ht="120" customHeight="1" x14ac:dyDescent="0.2">
      <c r="A86" s="11" t="s">
        <v>10</v>
      </c>
      <c r="B86" s="12" t="s">
        <v>247</v>
      </c>
      <c r="C86" s="13" t="s">
        <v>248</v>
      </c>
      <c r="D86" s="14" t="s">
        <v>64</v>
      </c>
      <c r="E86" s="15" t="s">
        <v>430</v>
      </c>
      <c r="F86" s="16" t="s">
        <v>67</v>
      </c>
      <c r="G86" s="17"/>
      <c r="H86" s="17">
        <v>20750</v>
      </c>
      <c r="I86" s="17">
        <v>20750</v>
      </c>
    </row>
    <row r="87" spans="1:9" ht="120" customHeight="1" x14ac:dyDescent="0.2">
      <c r="A87" s="4" t="s">
        <v>10</v>
      </c>
      <c r="B87" s="5" t="s">
        <v>21</v>
      </c>
      <c r="C87" s="6" t="s">
        <v>255</v>
      </c>
      <c r="D87" s="7" t="s">
        <v>12</v>
      </c>
      <c r="E87" s="8" t="s">
        <v>431</v>
      </c>
      <c r="F87" s="9" t="s">
        <v>432</v>
      </c>
      <c r="G87" s="10"/>
      <c r="H87" s="10">
        <v>97980</v>
      </c>
      <c r="I87" s="10">
        <v>97980</v>
      </c>
    </row>
    <row r="88" spans="1:9" ht="120" customHeight="1" x14ac:dyDescent="0.2">
      <c r="A88" s="11" t="s">
        <v>10</v>
      </c>
      <c r="B88" s="12" t="s">
        <v>261</v>
      </c>
      <c r="C88" s="13" t="s">
        <v>433</v>
      </c>
      <c r="D88" s="14" t="s">
        <v>12</v>
      </c>
      <c r="E88" s="15" t="s">
        <v>434</v>
      </c>
      <c r="F88" s="16" t="s">
        <v>62</v>
      </c>
      <c r="G88" s="17"/>
      <c r="H88" s="17">
        <v>68392</v>
      </c>
      <c r="I88" s="17">
        <v>68392</v>
      </c>
    </row>
    <row r="89" spans="1:9" ht="120" customHeight="1" x14ac:dyDescent="0.2">
      <c r="A89" s="4" t="s">
        <v>10</v>
      </c>
      <c r="B89" s="5" t="s">
        <v>264</v>
      </c>
      <c r="C89" s="6" t="s">
        <v>435</v>
      </c>
      <c r="D89" s="7" t="s">
        <v>64</v>
      </c>
      <c r="E89" s="8" t="s">
        <v>266</v>
      </c>
      <c r="F89" s="9" t="s">
        <v>67</v>
      </c>
      <c r="G89" s="10"/>
      <c r="H89" s="10">
        <v>24900</v>
      </c>
      <c r="I89" s="10">
        <v>24900</v>
      </c>
    </row>
    <row r="90" spans="1:9" ht="120" customHeight="1" x14ac:dyDescent="0.2">
      <c r="A90" s="11" t="s">
        <v>10</v>
      </c>
      <c r="B90" s="12" t="s">
        <v>271</v>
      </c>
      <c r="C90" s="13" t="s">
        <v>272</v>
      </c>
      <c r="D90" s="14" t="s">
        <v>12</v>
      </c>
      <c r="E90" s="15" t="s">
        <v>436</v>
      </c>
      <c r="F90" s="16" t="s">
        <v>437</v>
      </c>
      <c r="G90" s="17"/>
      <c r="H90" s="17">
        <v>83000</v>
      </c>
      <c r="I90" s="17">
        <v>83000</v>
      </c>
    </row>
    <row r="91" spans="1:9" ht="120" customHeight="1" x14ac:dyDescent="0.2">
      <c r="A91" s="4" t="s">
        <v>10</v>
      </c>
      <c r="B91" s="5" t="s">
        <v>21</v>
      </c>
      <c r="C91" s="6" t="s">
        <v>275</v>
      </c>
      <c r="D91" s="7" t="s">
        <v>64</v>
      </c>
      <c r="E91" s="8" t="s">
        <v>438</v>
      </c>
      <c r="F91" s="9" t="s">
        <v>58</v>
      </c>
      <c r="G91" s="10"/>
      <c r="H91" s="10">
        <v>18260</v>
      </c>
      <c r="I91" s="10">
        <v>18260</v>
      </c>
    </row>
    <row r="92" spans="1:9" ht="120" customHeight="1" x14ac:dyDescent="0.2">
      <c r="A92" s="11" t="s">
        <v>10</v>
      </c>
      <c r="B92" s="12" t="s">
        <v>39</v>
      </c>
      <c r="C92" s="13" t="s">
        <v>277</v>
      </c>
      <c r="D92" s="14" t="s">
        <v>64</v>
      </c>
      <c r="E92" s="15" t="s">
        <v>439</v>
      </c>
      <c r="F92" s="16" t="s">
        <v>440</v>
      </c>
      <c r="G92" s="17"/>
      <c r="H92" s="17">
        <v>66400</v>
      </c>
      <c r="I92" s="17">
        <v>66400</v>
      </c>
    </row>
    <row r="93" spans="1:9" ht="120" customHeight="1" x14ac:dyDescent="0.2">
      <c r="A93" s="4" t="s">
        <v>10</v>
      </c>
      <c r="B93" s="5" t="s">
        <v>21</v>
      </c>
      <c r="C93" s="31" t="s">
        <v>279</v>
      </c>
      <c r="D93" s="7" t="s">
        <v>12</v>
      </c>
      <c r="E93" s="8" t="s">
        <v>441</v>
      </c>
      <c r="F93" s="9" t="s">
        <v>58</v>
      </c>
      <c r="G93" s="10"/>
      <c r="H93" s="10">
        <v>78698.94</v>
      </c>
      <c r="I93" s="10">
        <v>78698.94</v>
      </c>
    </row>
    <row r="94" spans="1:9" ht="120" customHeight="1" x14ac:dyDescent="0.2">
      <c r="A94" s="11" t="s">
        <v>10</v>
      </c>
      <c r="B94" s="12" t="s">
        <v>20</v>
      </c>
      <c r="C94" s="13" t="s">
        <v>281</v>
      </c>
      <c r="D94" s="14" t="s">
        <v>64</v>
      </c>
      <c r="E94" s="15" t="s">
        <v>442</v>
      </c>
      <c r="F94" s="16" t="s">
        <v>408</v>
      </c>
      <c r="G94" s="17"/>
      <c r="H94" s="17">
        <v>759950</v>
      </c>
      <c r="I94" s="17">
        <v>759950</v>
      </c>
    </row>
    <row r="95" spans="1:9" ht="117.75" customHeight="1" x14ac:dyDescent="0.2">
      <c r="A95" s="4" t="s">
        <v>10</v>
      </c>
      <c r="B95" s="5" t="s">
        <v>283</v>
      </c>
      <c r="C95" s="6" t="s">
        <v>443</v>
      </c>
      <c r="D95" s="88" t="s">
        <v>64</v>
      </c>
      <c r="E95" s="8" t="s">
        <v>285</v>
      </c>
      <c r="F95" s="9" t="s">
        <v>62</v>
      </c>
      <c r="G95" s="10"/>
      <c r="H95" s="10">
        <v>32853.89</v>
      </c>
      <c r="I95" s="10">
        <v>32853.89</v>
      </c>
    </row>
    <row r="96" spans="1:9" ht="120" customHeight="1" x14ac:dyDescent="0.2">
      <c r="A96" s="11" t="s">
        <v>10</v>
      </c>
      <c r="B96" s="12" t="s">
        <v>286</v>
      </c>
      <c r="C96" s="13" t="s">
        <v>287</v>
      </c>
      <c r="D96" s="14" t="s">
        <v>64</v>
      </c>
      <c r="E96" s="15" t="s">
        <v>444</v>
      </c>
      <c r="F96" s="16" t="s">
        <v>81</v>
      </c>
      <c r="G96" s="17"/>
      <c r="H96" s="17">
        <v>151060</v>
      </c>
      <c r="I96" s="17">
        <v>151060</v>
      </c>
    </row>
    <row r="97" spans="1:9" ht="117.75" customHeight="1" x14ac:dyDescent="0.2">
      <c r="A97" s="4" t="s">
        <v>10</v>
      </c>
      <c r="B97" s="5" t="s">
        <v>289</v>
      </c>
      <c r="C97" s="6" t="s">
        <v>290</v>
      </c>
      <c r="D97" s="7" t="s">
        <v>98</v>
      </c>
      <c r="E97" s="8" t="s">
        <v>445</v>
      </c>
      <c r="F97" s="9" t="s">
        <v>58</v>
      </c>
      <c r="G97" s="10"/>
      <c r="H97" s="10">
        <v>56440</v>
      </c>
      <c r="I97" s="10">
        <v>56440</v>
      </c>
    </row>
    <row r="98" spans="1:9" ht="117.75" customHeight="1" x14ac:dyDescent="0.2">
      <c r="A98" s="11" t="s">
        <v>10</v>
      </c>
      <c r="B98" s="12" t="s">
        <v>295</v>
      </c>
      <c r="C98" s="13" t="s">
        <v>296</v>
      </c>
      <c r="D98" s="14" t="s">
        <v>64</v>
      </c>
      <c r="E98" s="15" t="s">
        <v>446</v>
      </c>
      <c r="F98" s="16" t="s">
        <v>62</v>
      </c>
      <c r="G98" s="17"/>
      <c r="H98" s="17">
        <v>70550</v>
      </c>
      <c r="I98" s="17">
        <v>70550</v>
      </c>
    </row>
    <row r="99" spans="1:9" ht="120" customHeight="1" x14ac:dyDescent="0.2">
      <c r="A99" s="4" t="s">
        <v>10</v>
      </c>
      <c r="B99" s="5" t="s">
        <v>21</v>
      </c>
      <c r="C99" s="6" t="s">
        <v>298</v>
      </c>
      <c r="D99" s="7" t="s">
        <v>64</v>
      </c>
      <c r="E99" s="8" t="s">
        <v>447</v>
      </c>
      <c r="F99" s="9" t="s">
        <v>58</v>
      </c>
      <c r="G99" s="10"/>
      <c r="H99" s="10">
        <v>41500</v>
      </c>
      <c r="I99" s="10">
        <v>41500</v>
      </c>
    </row>
    <row r="100" spans="1:9" ht="120" customHeight="1" x14ac:dyDescent="0.2">
      <c r="A100" s="11" t="s">
        <v>10</v>
      </c>
      <c r="B100" s="12" t="s">
        <v>300</v>
      </c>
      <c r="C100" s="13" t="s">
        <v>301</v>
      </c>
      <c r="D100" s="97" t="s">
        <v>12</v>
      </c>
      <c r="E100" s="15" t="s">
        <v>448</v>
      </c>
      <c r="F100" s="16" t="s">
        <v>54</v>
      </c>
      <c r="G100" s="17"/>
      <c r="H100" s="17">
        <v>33200</v>
      </c>
      <c r="I100" s="17">
        <v>33200</v>
      </c>
    </row>
    <row r="101" spans="1:9" ht="120" customHeight="1" x14ac:dyDescent="0.2">
      <c r="A101" s="4" t="s">
        <v>10</v>
      </c>
      <c r="B101" s="5" t="s">
        <v>300</v>
      </c>
      <c r="C101" s="6" t="s">
        <v>303</v>
      </c>
      <c r="D101" s="7" t="s">
        <v>12</v>
      </c>
      <c r="E101" s="8" t="s">
        <v>449</v>
      </c>
      <c r="F101" s="9" t="s">
        <v>54</v>
      </c>
      <c r="G101" s="10"/>
      <c r="H101" s="10">
        <v>53298.400000000001</v>
      </c>
      <c r="I101" s="10">
        <v>53298.400000000001</v>
      </c>
    </row>
    <row r="102" spans="1:9" ht="120" customHeight="1" x14ac:dyDescent="0.2">
      <c r="A102" s="11" t="s">
        <v>10</v>
      </c>
      <c r="B102" s="12" t="s">
        <v>304</v>
      </c>
      <c r="C102" s="13" t="s">
        <v>450</v>
      </c>
      <c r="D102" s="14" t="s">
        <v>64</v>
      </c>
      <c r="E102" s="15" t="s">
        <v>451</v>
      </c>
      <c r="F102" s="16" t="s">
        <v>67</v>
      </c>
      <c r="G102" s="17"/>
      <c r="H102" s="17">
        <v>53950</v>
      </c>
      <c r="I102" s="17">
        <v>53950</v>
      </c>
    </row>
    <row r="103" spans="1:9" ht="120" customHeight="1" x14ac:dyDescent="0.2">
      <c r="A103" s="4" t="s">
        <v>10</v>
      </c>
      <c r="B103" s="5" t="s">
        <v>307</v>
      </c>
      <c r="C103" s="6" t="s">
        <v>308</v>
      </c>
      <c r="D103" s="7" t="s">
        <v>12</v>
      </c>
      <c r="E103" s="8" t="s">
        <v>452</v>
      </c>
      <c r="F103" s="9" t="s">
        <v>85</v>
      </c>
      <c r="G103" s="10"/>
      <c r="H103" s="10">
        <v>26062</v>
      </c>
      <c r="I103" s="10">
        <v>26062</v>
      </c>
    </row>
    <row r="104" spans="1:9" ht="120" customHeight="1" x14ac:dyDescent="0.2">
      <c r="A104" s="11" t="s">
        <v>10</v>
      </c>
      <c r="B104" s="12" t="s">
        <v>310</v>
      </c>
      <c r="C104" s="13" t="s">
        <v>453</v>
      </c>
      <c r="D104" s="14" t="s">
        <v>12</v>
      </c>
      <c r="E104" s="15" t="s">
        <v>454</v>
      </c>
      <c r="F104" s="16" t="s">
        <v>313</v>
      </c>
      <c r="G104" s="17"/>
      <c r="H104" s="17">
        <v>13280</v>
      </c>
      <c r="I104" s="17">
        <v>13280</v>
      </c>
    </row>
    <row r="105" spans="1:9" ht="120" customHeight="1" x14ac:dyDescent="0.2">
      <c r="A105" s="4" t="s">
        <v>10</v>
      </c>
      <c r="B105" s="5" t="s">
        <v>310</v>
      </c>
      <c r="C105" s="6" t="s">
        <v>314</v>
      </c>
      <c r="D105" s="7" t="s">
        <v>52</v>
      </c>
      <c r="E105" s="8" t="s">
        <v>455</v>
      </c>
      <c r="F105" s="9" t="s">
        <v>58</v>
      </c>
      <c r="G105" s="10"/>
      <c r="H105" s="10">
        <v>29880</v>
      </c>
      <c r="I105" s="10">
        <v>29880</v>
      </c>
    </row>
    <row r="106" spans="1:9" ht="117.75" customHeight="1" x14ac:dyDescent="0.2">
      <c r="A106" s="11" t="s">
        <v>10</v>
      </c>
      <c r="B106" s="12" t="s">
        <v>22</v>
      </c>
      <c r="C106" s="13" t="s">
        <v>316</v>
      </c>
      <c r="D106" s="14" t="s">
        <v>12</v>
      </c>
      <c r="E106" s="15" t="s">
        <v>456</v>
      </c>
      <c r="F106" s="16" t="s">
        <v>54</v>
      </c>
      <c r="G106" s="17"/>
      <c r="H106" s="17">
        <v>41500</v>
      </c>
      <c r="I106" s="17">
        <v>41500</v>
      </c>
    </row>
    <row r="107" spans="1:9" ht="120" customHeight="1" x14ac:dyDescent="0.2">
      <c r="A107" s="4" t="s">
        <v>10</v>
      </c>
      <c r="B107" s="5" t="s">
        <v>22</v>
      </c>
      <c r="C107" s="6" t="s">
        <v>318</v>
      </c>
      <c r="D107" s="7" t="s">
        <v>12</v>
      </c>
      <c r="E107" s="8" t="s">
        <v>319</v>
      </c>
      <c r="F107" s="9" t="s">
        <v>54</v>
      </c>
      <c r="G107" s="10"/>
      <c r="H107" s="10">
        <v>62250</v>
      </c>
      <c r="I107" s="10">
        <v>62250</v>
      </c>
    </row>
    <row r="108" spans="1:9" ht="120" customHeight="1" x14ac:dyDescent="0.2">
      <c r="A108" s="11" t="s">
        <v>10</v>
      </c>
      <c r="B108" s="12" t="s">
        <v>320</v>
      </c>
      <c r="C108" s="13" t="s">
        <v>321</v>
      </c>
      <c r="D108" s="14" t="s">
        <v>52</v>
      </c>
      <c r="E108" s="15" t="s">
        <v>322</v>
      </c>
      <c r="F108" s="16" t="s">
        <v>62</v>
      </c>
      <c r="G108" s="17"/>
      <c r="H108" s="17">
        <v>49800</v>
      </c>
      <c r="I108" s="17">
        <v>49800</v>
      </c>
    </row>
    <row r="109" spans="1:9" ht="120" customHeight="1" x14ac:dyDescent="0.2">
      <c r="A109" s="4" t="s">
        <v>10</v>
      </c>
      <c r="B109" s="5" t="s">
        <v>323</v>
      </c>
      <c r="C109" s="6" t="s">
        <v>324</v>
      </c>
      <c r="D109" s="7" t="s">
        <v>12</v>
      </c>
      <c r="E109" s="8" t="s">
        <v>457</v>
      </c>
      <c r="F109" s="9" t="s">
        <v>58</v>
      </c>
      <c r="G109" s="10"/>
      <c r="H109" s="10">
        <v>16600</v>
      </c>
      <c r="I109" s="10">
        <v>16600</v>
      </c>
    </row>
    <row r="110" spans="1:9" ht="105" customHeight="1" x14ac:dyDescent="0.2">
      <c r="A110" s="11" t="s">
        <v>10</v>
      </c>
      <c r="B110" s="12" t="s">
        <v>326</v>
      </c>
      <c r="C110" s="13" t="s">
        <v>327</v>
      </c>
      <c r="D110" s="14" t="s">
        <v>64</v>
      </c>
      <c r="E110" s="15" t="s">
        <v>458</v>
      </c>
      <c r="F110" s="16" t="s">
        <v>62</v>
      </c>
      <c r="G110" s="17"/>
      <c r="H110" s="17">
        <v>20335</v>
      </c>
      <c r="I110" s="17">
        <v>20335</v>
      </c>
    </row>
    <row r="111" spans="1:9" ht="120" customHeight="1" x14ac:dyDescent="0.2">
      <c r="A111" s="4" t="s">
        <v>10</v>
      </c>
      <c r="B111" s="5" t="s">
        <v>30</v>
      </c>
      <c r="C111" s="6" t="s">
        <v>332</v>
      </c>
      <c r="D111" s="7" t="s">
        <v>64</v>
      </c>
      <c r="E111" s="8" t="s">
        <v>333</v>
      </c>
      <c r="F111" s="9" t="s">
        <v>58</v>
      </c>
      <c r="G111" s="10"/>
      <c r="H111" s="10">
        <v>143216.5</v>
      </c>
      <c r="I111" s="10">
        <v>143216.5</v>
      </c>
    </row>
    <row r="112" spans="1:9" ht="120" customHeight="1" x14ac:dyDescent="0.2">
      <c r="A112" s="11" t="s">
        <v>10</v>
      </c>
      <c r="B112" s="12" t="s">
        <v>334</v>
      </c>
      <c r="C112" s="13" t="s">
        <v>335</v>
      </c>
      <c r="D112" s="14" t="s">
        <v>64</v>
      </c>
      <c r="E112" s="15" t="s">
        <v>459</v>
      </c>
      <c r="F112" s="16" t="s">
        <v>306</v>
      </c>
      <c r="G112" s="17"/>
      <c r="H112" s="17">
        <v>103750</v>
      </c>
      <c r="I112" s="17">
        <v>103750</v>
      </c>
    </row>
    <row r="113" spans="1:9" ht="120" customHeight="1" x14ac:dyDescent="0.2">
      <c r="A113" s="4" t="s">
        <v>10</v>
      </c>
      <c r="B113" s="5" t="s">
        <v>72</v>
      </c>
      <c r="C113" s="6" t="s">
        <v>338</v>
      </c>
      <c r="D113" s="7" t="s">
        <v>12</v>
      </c>
      <c r="E113" s="8" t="s">
        <v>339</v>
      </c>
      <c r="F113" s="9" t="s">
        <v>58</v>
      </c>
      <c r="G113" s="10"/>
      <c r="H113" s="10">
        <v>41500</v>
      </c>
      <c r="I113" s="10">
        <v>41500</v>
      </c>
    </row>
    <row r="114" spans="1:9" ht="120" customHeight="1" x14ac:dyDescent="0.2">
      <c r="A114" s="11" t="s">
        <v>10</v>
      </c>
      <c r="B114" s="12" t="s">
        <v>59</v>
      </c>
      <c r="C114" s="13" t="s">
        <v>340</v>
      </c>
      <c r="D114" s="14" t="s">
        <v>12</v>
      </c>
      <c r="E114" s="15" t="s">
        <v>460</v>
      </c>
      <c r="F114" s="16" t="s">
        <v>62</v>
      </c>
      <c r="G114" s="17"/>
      <c r="H114" s="17">
        <v>55610</v>
      </c>
      <c r="I114" s="17">
        <v>55610</v>
      </c>
    </row>
    <row r="115" spans="1:9" ht="120" customHeight="1" x14ac:dyDescent="0.2">
      <c r="A115" s="4" t="s">
        <v>10</v>
      </c>
      <c r="B115" s="5" t="s">
        <v>342</v>
      </c>
      <c r="C115" s="6" t="s">
        <v>343</v>
      </c>
      <c r="D115" s="7" t="s">
        <v>98</v>
      </c>
      <c r="E115" s="8" t="s">
        <v>461</v>
      </c>
      <c r="F115" s="9" t="s">
        <v>62</v>
      </c>
      <c r="G115" s="10"/>
      <c r="H115" s="10">
        <v>71795</v>
      </c>
      <c r="I115" s="10">
        <v>71795</v>
      </c>
    </row>
    <row r="116" spans="1:9" ht="120" customHeight="1" x14ac:dyDescent="0.2">
      <c r="A116" s="11" t="s">
        <v>10</v>
      </c>
      <c r="B116" s="12" t="s">
        <v>345</v>
      </c>
      <c r="C116" s="13" t="s">
        <v>346</v>
      </c>
      <c r="D116" s="14" t="s">
        <v>12</v>
      </c>
      <c r="E116" s="15" t="s">
        <v>462</v>
      </c>
      <c r="F116" s="16" t="s">
        <v>85</v>
      </c>
      <c r="G116" s="17"/>
      <c r="H116" s="17">
        <v>70550</v>
      </c>
      <c r="I116" s="17">
        <v>70550</v>
      </c>
    </row>
    <row r="117" spans="1:9" ht="105" customHeight="1" x14ac:dyDescent="0.2">
      <c r="A117" s="4" t="s">
        <v>10</v>
      </c>
      <c r="B117" s="5" t="s">
        <v>345</v>
      </c>
      <c r="C117" s="6" t="s">
        <v>348</v>
      </c>
      <c r="D117" s="7" t="s">
        <v>119</v>
      </c>
      <c r="E117" s="8" t="s">
        <v>463</v>
      </c>
      <c r="F117" s="9" t="s">
        <v>464</v>
      </c>
      <c r="G117" s="10"/>
      <c r="H117" s="10">
        <v>19920</v>
      </c>
      <c r="I117" s="10">
        <v>19920</v>
      </c>
    </row>
    <row r="118" spans="1:9" ht="120" customHeight="1" x14ac:dyDescent="0.2">
      <c r="A118" s="11" t="s">
        <v>10</v>
      </c>
      <c r="B118" s="12" t="s">
        <v>353</v>
      </c>
      <c r="C118" s="13" t="s">
        <v>354</v>
      </c>
      <c r="D118" s="14" t="s">
        <v>12</v>
      </c>
      <c r="E118" s="15" t="s">
        <v>465</v>
      </c>
      <c r="F118" s="16" t="s">
        <v>69</v>
      </c>
      <c r="G118" s="17"/>
      <c r="H118" s="17">
        <v>33200</v>
      </c>
      <c r="I118" s="17">
        <v>33200</v>
      </c>
    </row>
    <row r="119" spans="1:9" ht="120" customHeight="1" x14ac:dyDescent="0.2">
      <c r="A119" s="4" t="s">
        <v>10</v>
      </c>
      <c r="B119" s="5" t="s">
        <v>17</v>
      </c>
      <c r="C119" s="6" t="s">
        <v>466</v>
      </c>
      <c r="D119" s="7" t="s">
        <v>12</v>
      </c>
      <c r="E119" s="8" t="s">
        <v>467</v>
      </c>
      <c r="F119" s="9" t="s">
        <v>62</v>
      </c>
      <c r="G119" s="10"/>
      <c r="H119" s="10">
        <v>41500</v>
      </c>
      <c r="I119" s="10">
        <v>41500</v>
      </c>
    </row>
    <row r="120" spans="1:9" ht="117.75" customHeight="1" x14ac:dyDescent="0.2">
      <c r="A120" s="11" t="s">
        <v>10</v>
      </c>
      <c r="B120" s="12" t="s">
        <v>358</v>
      </c>
      <c r="C120" s="13" t="s">
        <v>359</v>
      </c>
      <c r="D120" s="14" t="s">
        <v>12</v>
      </c>
      <c r="E120" s="15" t="s">
        <v>468</v>
      </c>
      <c r="F120" s="16" t="s">
        <v>361</v>
      </c>
      <c r="G120" s="17"/>
      <c r="H120" s="17">
        <v>24900</v>
      </c>
      <c r="I120" s="17">
        <v>24900</v>
      </c>
    </row>
    <row r="121" spans="1:9" ht="120" customHeight="1" x14ac:dyDescent="0.2">
      <c r="A121" s="4" t="s">
        <v>10</v>
      </c>
      <c r="B121" s="5" t="s">
        <v>17</v>
      </c>
      <c r="C121" s="6" t="s">
        <v>362</v>
      </c>
      <c r="D121" s="7" t="s">
        <v>64</v>
      </c>
      <c r="E121" s="8" t="s">
        <v>363</v>
      </c>
      <c r="F121" s="9" t="s">
        <v>69</v>
      </c>
      <c r="G121" s="10"/>
      <c r="H121" s="10">
        <v>35358</v>
      </c>
      <c r="I121" s="10">
        <v>35358</v>
      </c>
    </row>
    <row r="122" spans="1:9" ht="120" customHeight="1" x14ac:dyDescent="0.2">
      <c r="A122" s="11" t="s">
        <v>10</v>
      </c>
      <c r="B122" s="12" t="s">
        <v>364</v>
      </c>
      <c r="C122" s="13" t="s">
        <v>365</v>
      </c>
      <c r="D122" s="14" t="s">
        <v>12</v>
      </c>
      <c r="E122" s="15" t="s">
        <v>469</v>
      </c>
      <c r="F122" s="16" t="s">
        <v>85</v>
      </c>
      <c r="G122" s="17"/>
      <c r="H122" s="17">
        <v>91300</v>
      </c>
      <c r="I122" s="17">
        <v>91300</v>
      </c>
    </row>
    <row r="123" spans="1:9" ht="120" customHeight="1" x14ac:dyDescent="0.2">
      <c r="A123" s="4" t="s">
        <v>10</v>
      </c>
      <c r="B123" s="5" t="s">
        <v>17</v>
      </c>
      <c r="C123" s="6" t="s">
        <v>470</v>
      </c>
      <c r="D123" s="7" t="s">
        <v>12</v>
      </c>
      <c r="E123" s="8" t="s">
        <v>471</v>
      </c>
      <c r="F123" s="9" t="s">
        <v>62</v>
      </c>
      <c r="G123" s="10"/>
      <c r="H123" s="10">
        <v>74700</v>
      </c>
      <c r="I123" s="10">
        <v>74700</v>
      </c>
    </row>
    <row r="124" spans="1:9" ht="91.5" customHeight="1" x14ac:dyDescent="0.2">
      <c r="A124" s="11" t="s">
        <v>10</v>
      </c>
      <c r="B124" s="12" t="s">
        <v>371</v>
      </c>
      <c r="C124" s="13" t="s">
        <v>372</v>
      </c>
      <c r="D124" s="14" t="s">
        <v>64</v>
      </c>
      <c r="E124" s="15" t="s">
        <v>472</v>
      </c>
      <c r="F124" s="16" t="s">
        <v>58</v>
      </c>
      <c r="G124" s="17"/>
      <c r="H124" s="17">
        <v>80095</v>
      </c>
      <c r="I124" s="17">
        <v>80095</v>
      </c>
    </row>
    <row r="125" spans="1:9" ht="120" customHeight="1" x14ac:dyDescent="0.2">
      <c r="A125" s="4" t="s">
        <v>10</v>
      </c>
      <c r="B125" s="5" t="s">
        <v>17</v>
      </c>
      <c r="C125" s="6" t="s">
        <v>375</v>
      </c>
      <c r="D125" s="7" t="s">
        <v>119</v>
      </c>
      <c r="E125" s="8" t="s">
        <v>473</v>
      </c>
      <c r="F125" s="9" t="s">
        <v>81</v>
      </c>
      <c r="G125" s="10"/>
      <c r="H125" s="10">
        <v>48804</v>
      </c>
      <c r="I125" s="10">
        <v>48804</v>
      </c>
    </row>
    <row r="126" spans="1:9" ht="105" customHeight="1" x14ac:dyDescent="0.2">
      <c r="A126" s="11" t="s">
        <v>10</v>
      </c>
      <c r="B126" s="12" t="s">
        <v>35</v>
      </c>
      <c r="C126" s="13" t="s">
        <v>377</v>
      </c>
      <c r="D126" s="14" t="s">
        <v>12</v>
      </c>
      <c r="E126" s="15" t="s">
        <v>378</v>
      </c>
      <c r="F126" s="16" t="s">
        <v>89</v>
      </c>
      <c r="G126" s="17"/>
      <c r="H126" s="17">
        <v>67889.52</v>
      </c>
      <c r="I126" s="17">
        <v>67889.52</v>
      </c>
    </row>
    <row r="127" spans="1:9" ht="120" customHeight="1" x14ac:dyDescent="0.2">
      <c r="A127" s="4" t="s">
        <v>10</v>
      </c>
      <c r="B127" s="5" t="s">
        <v>21</v>
      </c>
      <c r="C127" s="6" t="s">
        <v>379</v>
      </c>
      <c r="D127" s="7" t="s">
        <v>98</v>
      </c>
      <c r="E127" s="8" t="s">
        <v>380</v>
      </c>
      <c r="F127" s="9" t="s">
        <v>58</v>
      </c>
      <c r="G127" s="10"/>
      <c r="H127" s="10">
        <v>66400</v>
      </c>
      <c r="I127" s="10">
        <v>66400</v>
      </c>
    </row>
    <row r="128" spans="1:9" ht="120" customHeight="1" x14ac:dyDescent="0.2">
      <c r="A128" s="11" t="s">
        <v>10</v>
      </c>
      <c r="B128" s="12" t="s">
        <v>387</v>
      </c>
      <c r="C128" s="13" t="s">
        <v>474</v>
      </c>
      <c r="D128" s="14" t="s">
        <v>64</v>
      </c>
      <c r="E128" s="15" t="s">
        <v>475</v>
      </c>
      <c r="F128" s="16" t="s">
        <v>54</v>
      </c>
      <c r="G128" s="17"/>
      <c r="H128" s="17">
        <v>43990</v>
      </c>
      <c r="I128" s="17">
        <v>43990</v>
      </c>
    </row>
    <row r="129" spans="1:9" ht="120" customHeight="1" x14ac:dyDescent="0.2">
      <c r="A129" s="4" t="s">
        <v>10</v>
      </c>
      <c r="B129" s="5" t="s">
        <v>390</v>
      </c>
      <c r="C129" s="6" t="s">
        <v>476</v>
      </c>
      <c r="D129" s="88" t="s">
        <v>119</v>
      </c>
      <c r="E129" s="8" t="s">
        <v>477</v>
      </c>
      <c r="F129" s="9" t="s">
        <v>58</v>
      </c>
      <c r="G129" s="10"/>
      <c r="H129" s="10">
        <v>13280</v>
      </c>
      <c r="I129" s="10">
        <v>13280</v>
      </c>
    </row>
    <row r="130" spans="1:9" ht="105" customHeight="1" x14ac:dyDescent="0.2">
      <c r="A130" s="11" t="s">
        <v>10</v>
      </c>
      <c r="B130" s="12" t="s">
        <v>393</v>
      </c>
      <c r="C130" s="13" t="s">
        <v>394</v>
      </c>
      <c r="D130" s="14" t="s">
        <v>64</v>
      </c>
      <c r="E130" s="15" t="s">
        <v>478</v>
      </c>
      <c r="F130" s="16" t="s">
        <v>396</v>
      </c>
      <c r="G130" s="17"/>
      <c r="H130" s="17">
        <v>66400</v>
      </c>
      <c r="I130" s="17">
        <v>66400</v>
      </c>
    </row>
    <row r="131" spans="1:9" ht="7.5" customHeight="1" x14ac:dyDescent="0.2"/>
    <row r="132" spans="1:9" ht="19.5" customHeight="1" x14ac:dyDescent="0.2">
      <c r="A132" s="19">
        <f ca="1">SUMPRODUCT((A3:A130="AMIF")*SUBTOTAL(103,OFFSET(A3,ROW(A3:A130)-ROW(A3),0)))</f>
        <v>0</v>
      </c>
      <c r="B132" s="20" t="s">
        <v>400</v>
      </c>
      <c r="C132" s="21"/>
      <c r="D132" s="21"/>
      <c r="E132" s="21"/>
      <c r="F132" s="21"/>
      <c r="G132" s="22">
        <f ca="1">SUMPRODUCT((A3:A130="AMIF")*SUBTOTAL(103,OFFSET(A3,ROW(A3:A130)-ROW(A3),0))*G3:G130)</f>
        <v>0</v>
      </c>
      <c r="H132" s="22">
        <f ca="1">SUMPRODUCT((A3:A130="AMIF")*SUBTOTAL(103,OFFSET(A3,ROW(A3:A130)-ROW(A3),0))*H3:H130)</f>
        <v>0</v>
      </c>
      <c r="I132" s="22">
        <f ca="1">SUMPRODUCT((A3:A130="AMIF")*SUBTOTAL(103,OFFSET(A3,ROW(A3:A130)-ROW(A3),0))*I3:I130)</f>
        <v>0</v>
      </c>
    </row>
    <row r="133" spans="1:9" ht="19.5" customHeight="1" x14ac:dyDescent="0.2">
      <c r="A133" s="23">
        <f ca="1">SUMPRODUCT((A3:A130="National")*SUBTOTAL(103,OFFSET(A3,ROW(A3:A130)-ROW(A3),0)))</f>
        <v>71</v>
      </c>
      <c r="B133" s="24" t="s">
        <v>401</v>
      </c>
      <c r="C133" s="25"/>
      <c r="D133" s="25"/>
      <c r="E133" s="25"/>
      <c r="F133" s="25"/>
      <c r="G133" s="26">
        <f ca="1">SUMPRODUCT((A3:A130="National")*SUBTOTAL(103,OFFSET(A3,ROW(A3:A130)-ROW(A3),0))*G3:G130)</f>
        <v>0</v>
      </c>
      <c r="H133" s="26">
        <f ca="1">SUMPRODUCT((A3:A130="National")*SUBTOTAL(103,OFFSET(A3,ROW(A3:A130)-ROW(A3),0))*H3:H130)</f>
        <v>4537695.01</v>
      </c>
      <c r="I133" s="26">
        <f ca="1">SUMPRODUCT((A3:A130="National")*SUBTOTAL(103,OFFSET(A3,ROW(A3:A130)-ROW(A3),0))*I3:I130)</f>
        <v>4537695.01</v>
      </c>
    </row>
    <row r="134" spans="1:9" ht="24" customHeight="1" x14ac:dyDescent="0.2">
      <c r="A134" s="27">
        <f ca="1">SUMPRODUCT(((A3:A130="AMIF")+(A3:A130="AMIF-UKR")+(A3:A130="NATÜ")+(A3:A130="National"))*SUBTOTAL(103,OFFSET(A3,ROW(A3:A130)-ROW(A3),0)))</f>
        <v>71</v>
      </c>
      <c r="B134" s="28" t="s">
        <v>479</v>
      </c>
      <c r="C134" s="29"/>
      <c r="D134" s="29"/>
      <c r="E134" s="29"/>
      <c r="F134" s="29"/>
      <c r="G134" s="30">
        <f>SUBTOTAL(9,G3:G130)</f>
        <v>0</v>
      </c>
      <c r="H134" s="30">
        <f>SUBTOTAL(9,H3:H130)</f>
        <v>5271259.01</v>
      </c>
      <c r="I134" s="30">
        <f>SUBTOTAL(9,I3:I130)</f>
        <v>5271259.01</v>
      </c>
    </row>
    <row r="136" spans="1:9" x14ac:dyDescent="0.2">
      <c r="A136" s="104" t="s">
        <v>480</v>
      </c>
      <c r="B136" s="103"/>
      <c r="C136" s="103"/>
      <c r="D136" s="103"/>
      <c r="E136" s="103"/>
      <c r="F136" s="103"/>
      <c r="G136" s="103"/>
      <c r="H136" s="103"/>
      <c r="I136" s="103"/>
    </row>
  </sheetData>
  <autoFilter ref="A2:I2" xr:uid="{00000000-0009-0000-0000-000002000000}"/>
  <mergeCells count="2">
    <mergeCell ref="A1:I1"/>
    <mergeCell ref="A136:I13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29"/>
  <sheetViews>
    <sheetView zoomScaleNormal="100" workbookViewId="0">
      <pane ySplit="2" topLeftCell="A3" activePane="bottomLeft" state="frozen"/>
      <selection pane="bottomLeft" activeCell="C4" sqref="C4"/>
    </sheetView>
  </sheetViews>
  <sheetFormatPr baseColWidth="10" defaultColWidth="8.5" defaultRowHeight="15" x14ac:dyDescent="0.2"/>
  <cols>
    <col min="1" max="1" width="12" customWidth="1"/>
    <col min="2" max="3" width="34" customWidth="1"/>
    <col min="4" max="4" width="26" customWidth="1"/>
    <col min="5" max="5" width="52" customWidth="1"/>
    <col min="6" max="6" width="24" customWidth="1"/>
    <col min="7" max="9" width="16" customWidth="1"/>
  </cols>
  <sheetData>
    <row r="1" spans="1:9" ht="30" customHeight="1" x14ac:dyDescent="0.2">
      <c r="A1" s="102"/>
      <c r="B1" s="103"/>
      <c r="C1" s="103"/>
      <c r="D1" s="103"/>
      <c r="E1" s="103"/>
      <c r="F1" s="103"/>
      <c r="G1" s="103"/>
      <c r="H1" s="103"/>
      <c r="I1" s="103"/>
    </row>
    <row r="2" spans="1:9" ht="27.75" customHeight="1" x14ac:dyDescent="0.2">
      <c r="A2" s="1" t="s">
        <v>42</v>
      </c>
      <c r="B2" s="3" t="s">
        <v>43</v>
      </c>
      <c r="C2" s="3" t="s">
        <v>44</v>
      </c>
      <c r="D2" s="3" t="s">
        <v>45</v>
      </c>
      <c r="E2" s="3" t="s">
        <v>46</v>
      </c>
      <c r="F2" s="3" t="s">
        <v>47</v>
      </c>
      <c r="G2" s="1" t="s">
        <v>481</v>
      </c>
      <c r="H2" s="1" t="s">
        <v>482</v>
      </c>
      <c r="I2" s="1" t="s">
        <v>483</v>
      </c>
    </row>
    <row r="3" spans="1:9" ht="120" customHeight="1" x14ac:dyDescent="0.2">
      <c r="A3" s="96" t="s">
        <v>615</v>
      </c>
      <c r="B3" s="91" t="s">
        <v>617</v>
      </c>
      <c r="C3" s="92" t="s">
        <v>616</v>
      </c>
      <c r="D3" s="97" t="s">
        <v>11</v>
      </c>
      <c r="E3" s="98" t="s">
        <v>618</v>
      </c>
      <c r="F3" s="90" t="s">
        <v>614</v>
      </c>
      <c r="G3" s="17"/>
      <c r="H3" s="17">
        <v>45000</v>
      </c>
      <c r="I3" s="17">
        <v>45000</v>
      </c>
    </row>
    <row r="4" spans="1:9" ht="117.75" customHeight="1" x14ac:dyDescent="0.2">
      <c r="A4" s="95" t="s">
        <v>615</v>
      </c>
      <c r="B4" s="5" t="s">
        <v>619</v>
      </c>
      <c r="C4" s="6" t="s">
        <v>620</v>
      </c>
      <c r="D4" s="88" t="s">
        <v>98</v>
      </c>
      <c r="E4" s="99" t="s">
        <v>621</v>
      </c>
      <c r="F4" s="87" t="s">
        <v>607</v>
      </c>
      <c r="G4" s="10"/>
      <c r="H4" s="10">
        <v>280000</v>
      </c>
      <c r="I4" s="10">
        <v>280000</v>
      </c>
    </row>
    <row r="5" spans="1:9" ht="120" customHeight="1" x14ac:dyDescent="0.2">
      <c r="A5" s="11"/>
      <c r="B5" s="12"/>
      <c r="C5" s="13"/>
      <c r="D5" s="14"/>
      <c r="E5" s="15"/>
      <c r="F5" s="16"/>
      <c r="G5" s="17"/>
      <c r="H5" s="17"/>
      <c r="I5" s="17"/>
    </row>
    <row r="6" spans="1:9" ht="120" customHeight="1" x14ac:dyDescent="0.2">
      <c r="A6" s="4"/>
      <c r="B6" s="5"/>
      <c r="C6" s="6"/>
      <c r="D6" s="7"/>
      <c r="E6" s="8"/>
      <c r="F6" s="9"/>
      <c r="G6" s="10"/>
      <c r="H6" s="10"/>
      <c r="I6" s="10"/>
    </row>
    <row r="7" spans="1:9" ht="91.5" customHeight="1" x14ac:dyDescent="0.2">
      <c r="A7" s="11"/>
      <c r="B7" s="12"/>
      <c r="C7" s="13"/>
      <c r="D7" s="14"/>
      <c r="E7" s="15"/>
      <c r="F7" s="16"/>
      <c r="G7" s="17"/>
      <c r="H7" s="17"/>
      <c r="I7" s="17"/>
    </row>
    <row r="8" spans="1:9" ht="91.5" customHeight="1" x14ac:dyDescent="0.2">
      <c r="A8" s="4"/>
      <c r="B8" s="5"/>
      <c r="C8" s="6"/>
      <c r="D8" s="7"/>
      <c r="E8" s="8"/>
      <c r="F8" s="9"/>
      <c r="G8" s="10"/>
      <c r="H8" s="10"/>
      <c r="I8" s="10"/>
    </row>
    <row r="9" spans="1:9" ht="117.75" customHeight="1" x14ac:dyDescent="0.2">
      <c r="A9" s="11"/>
      <c r="B9" s="12"/>
      <c r="C9" s="13"/>
      <c r="D9" s="14"/>
      <c r="E9" s="15"/>
      <c r="F9" s="16"/>
      <c r="G9" s="17"/>
      <c r="H9" s="17"/>
      <c r="I9" s="17"/>
    </row>
    <row r="10" spans="1:9" ht="120" customHeight="1" x14ac:dyDescent="0.2">
      <c r="A10" s="4"/>
      <c r="B10" s="5"/>
      <c r="C10" s="6"/>
      <c r="D10" s="7"/>
      <c r="E10" s="8"/>
      <c r="F10" s="9"/>
      <c r="G10" s="10"/>
      <c r="H10" s="10"/>
      <c r="I10" s="10"/>
    </row>
    <row r="11" spans="1:9" ht="120" customHeight="1" x14ac:dyDescent="0.2">
      <c r="A11" s="11"/>
      <c r="B11" s="12"/>
      <c r="C11" s="13"/>
      <c r="D11" s="14"/>
      <c r="E11" s="15"/>
      <c r="F11" s="16"/>
      <c r="G11" s="17"/>
      <c r="H11" s="17"/>
      <c r="I11" s="17"/>
    </row>
    <row r="12" spans="1:9" ht="120" customHeight="1" x14ac:dyDescent="0.2">
      <c r="A12" s="4"/>
      <c r="B12" s="5"/>
      <c r="C12" s="6"/>
      <c r="D12" s="7"/>
      <c r="E12" s="8"/>
      <c r="F12" s="9"/>
      <c r="G12" s="10"/>
      <c r="H12" s="10"/>
      <c r="I12" s="10"/>
    </row>
    <row r="13" spans="1:9" ht="105" customHeight="1" x14ac:dyDescent="0.2">
      <c r="A13" s="11"/>
      <c r="B13" s="12"/>
      <c r="C13" s="13"/>
      <c r="D13" s="14"/>
      <c r="E13" s="15"/>
      <c r="F13" s="16"/>
      <c r="G13" s="17"/>
      <c r="H13" s="17"/>
      <c r="I13" s="17"/>
    </row>
    <row r="14" spans="1:9" ht="120" customHeight="1" x14ac:dyDescent="0.2">
      <c r="A14" s="4"/>
      <c r="B14" s="5"/>
      <c r="C14" s="6"/>
      <c r="D14" s="7"/>
      <c r="E14" s="8"/>
      <c r="F14" s="9"/>
      <c r="G14" s="10"/>
      <c r="H14" s="10"/>
      <c r="I14" s="10"/>
    </row>
    <row r="15" spans="1:9" ht="120" customHeight="1" x14ac:dyDescent="0.2">
      <c r="A15" s="11"/>
      <c r="B15" s="12"/>
      <c r="C15" s="13"/>
      <c r="D15" s="14"/>
      <c r="E15" s="15"/>
      <c r="F15" s="16"/>
      <c r="G15" s="17"/>
      <c r="H15" s="17"/>
      <c r="I15" s="17"/>
    </row>
    <row r="16" spans="1:9" ht="120" customHeight="1" x14ac:dyDescent="0.2">
      <c r="A16" s="4"/>
      <c r="B16" s="5"/>
      <c r="C16" s="6"/>
      <c r="D16" s="7"/>
      <c r="E16" s="8"/>
      <c r="F16" s="9"/>
      <c r="G16" s="10"/>
      <c r="H16" s="10"/>
      <c r="I16" s="10"/>
    </row>
    <row r="17" spans="1:9" ht="120" customHeight="1" x14ac:dyDescent="0.2">
      <c r="A17" s="11"/>
      <c r="B17" s="12"/>
      <c r="C17" s="13"/>
      <c r="D17" s="14"/>
      <c r="E17" s="15"/>
      <c r="F17" s="16"/>
      <c r="G17" s="17"/>
      <c r="H17" s="17"/>
      <c r="I17" s="17"/>
    </row>
    <row r="18" spans="1:9" ht="120" customHeight="1" x14ac:dyDescent="0.2">
      <c r="A18" s="4"/>
      <c r="B18" s="5"/>
      <c r="C18" s="6"/>
      <c r="D18" s="7"/>
      <c r="E18" s="8"/>
      <c r="F18" s="9"/>
      <c r="G18" s="10"/>
      <c r="H18" s="10"/>
      <c r="I18" s="10"/>
    </row>
    <row r="19" spans="1:9" ht="120" customHeight="1" x14ac:dyDescent="0.2">
      <c r="A19" s="11"/>
      <c r="B19" s="12"/>
      <c r="C19" s="13"/>
      <c r="D19" s="14"/>
      <c r="E19" s="15"/>
      <c r="F19" s="16"/>
      <c r="G19" s="17"/>
      <c r="H19" s="17"/>
      <c r="I19" s="17"/>
    </row>
    <row r="20" spans="1:9" ht="91.5" customHeight="1" x14ac:dyDescent="0.2">
      <c r="A20" s="4"/>
      <c r="B20" s="5"/>
      <c r="C20" s="6"/>
      <c r="D20" s="7"/>
      <c r="E20" s="8"/>
      <c r="F20" s="9"/>
      <c r="G20" s="10"/>
      <c r="H20" s="10"/>
      <c r="I20" s="10"/>
    </row>
    <row r="21" spans="1:9" ht="117.75" customHeight="1" x14ac:dyDescent="0.2">
      <c r="A21" s="11"/>
      <c r="B21" s="12"/>
      <c r="C21" s="13"/>
      <c r="D21" s="14"/>
      <c r="E21" s="15"/>
      <c r="F21" s="16"/>
      <c r="G21" s="17"/>
      <c r="H21" s="17"/>
      <c r="I21" s="17"/>
    </row>
    <row r="22" spans="1:9" ht="120" customHeight="1" x14ac:dyDescent="0.2">
      <c r="A22" s="4"/>
      <c r="B22" s="5"/>
      <c r="C22" s="6"/>
      <c r="D22" s="7"/>
      <c r="E22" s="8"/>
      <c r="F22" s="9"/>
      <c r="G22" s="10"/>
      <c r="H22" s="10"/>
      <c r="I22" s="10"/>
    </row>
    <row r="23" spans="1:9" ht="120" customHeight="1" x14ac:dyDescent="0.2">
      <c r="A23" s="11"/>
      <c r="B23" s="12"/>
      <c r="C23" s="13"/>
      <c r="D23" s="14"/>
      <c r="E23" s="15"/>
      <c r="F23" s="16"/>
      <c r="G23" s="17"/>
      <c r="H23" s="17"/>
      <c r="I23" s="17"/>
    </row>
    <row r="24" spans="1:9" ht="120" customHeight="1" x14ac:dyDescent="0.2">
      <c r="A24" s="4"/>
      <c r="B24" s="5"/>
      <c r="C24" s="6"/>
      <c r="D24" s="7"/>
      <c r="E24" s="8"/>
      <c r="F24" s="9"/>
      <c r="G24" s="10"/>
      <c r="H24" s="10"/>
      <c r="I24" s="10"/>
    </row>
    <row r="25" spans="1:9" ht="120" customHeight="1" x14ac:dyDescent="0.2">
      <c r="A25" s="11"/>
      <c r="B25" s="12"/>
      <c r="C25" s="13"/>
      <c r="D25" s="14"/>
      <c r="E25" s="15"/>
      <c r="F25" s="16"/>
      <c r="G25" s="17"/>
      <c r="H25" s="17"/>
      <c r="I25" s="17"/>
    </row>
    <row r="26" spans="1:9" ht="120" customHeight="1" x14ac:dyDescent="0.2">
      <c r="A26" s="4"/>
      <c r="B26" s="5"/>
      <c r="C26" s="6"/>
      <c r="D26" s="7"/>
      <c r="E26" s="8"/>
      <c r="F26" s="9"/>
      <c r="G26" s="10"/>
      <c r="H26" s="10"/>
      <c r="I26" s="10"/>
    </row>
    <row r="27" spans="1:9" ht="120" customHeight="1" x14ac:dyDescent="0.2">
      <c r="A27" s="11"/>
      <c r="B27" s="12"/>
      <c r="C27" s="13"/>
      <c r="D27" s="14"/>
      <c r="E27" s="15"/>
      <c r="F27" s="16"/>
      <c r="G27" s="17"/>
      <c r="H27" s="17"/>
      <c r="I27" s="17"/>
    </row>
    <row r="28" spans="1:9" ht="117.75" customHeight="1" x14ac:dyDescent="0.2">
      <c r="A28" s="4"/>
      <c r="B28" s="5"/>
      <c r="C28" s="6"/>
      <c r="D28" s="7"/>
      <c r="E28" s="8"/>
      <c r="F28" s="9"/>
      <c r="G28" s="10"/>
      <c r="H28" s="10"/>
      <c r="I28" s="10"/>
    </row>
    <row r="29" spans="1:9" ht="120" customHeight="1" x14ac:dyDescent="0.2">
      <c r="A29" s="11"/>
      <c r="B29" s="12"/>
      <c r="C29" s="13"/>
      <c r="D29" s="14"/>
      <c r="E29" s="15"/>
      <c r="F29" s="16"/>
      <c r="G29" s="17"/>
      <c r="H29" s="17"/>
      <c r="I29" s="17"/>
    </row>
    <row r="30" spans="1:9" ht="120" customHeight="1" x14ac:dyDescent="0.2">
      <c r="A30" s="4"/>
      <c r="B30" s="5"/>
      <c r="C30" s="6"/>
      <c r="D30" s="7"/>
      <c r="E30" s="8"/>
      <c r="F30" s="9"/>
      <c r="G30" s="10"/>
      <c r="H30" s="10"/>
      <c r="I30" s="10"/>
    </row>
    <row r="31" spans="1:9" ht="120" customHeight="1" x14ac:dyDescent="0.2">
      <c r="A31" s="11"/>
      <c r="B31" s="12"/>
      <c r="C31" s="13"/>
      <c r="D31" s="14"/>
      <c r="E31" s="15"/>
      <c r="F31" s="16"/>
      <c r="G31" s="17"/>
      <c r="H31" s="17"/>
      <c r="I31" s="17"/>
    </row>
    <row r="32" spans="1:9" ht="120" customHeight="1" x14ac:dyDescent="0.2">
      <c r="A32" s="4"/>
      <c r="B32" s="5"/>
      <c r="C32" s="6"/>
      <c r="D32" s="7"/>
      <c r="E32" s="8"/>
      <c r="F32" s="9"/>
      <c r="G32" s="10"/>
      <c r="H32" s="10"/>
      <c r="I32" s="10"/>
    </row>
    <row r="33" spans="1:9" ht="120" customHeight="1" x14ac:dyDescent="0.2">
      <c r="A33" s="11"/>
      <c r="B33" s="12"/>
      <c r="C33" s="13"/>
      <c r="D33" s="14"/>
      <c r="E33" s="15"/>
      <c r="F33" s="16"/>
      <c r="G33" s="17"/>
      <c r="H33" s="17"/>
      <c r="I33" s="17"/>
    </row>
    <row r="34" spans="1:9" ht="120" customHeight="1" x14ac:dyDescent="0.2">
      <c r="A34" s="4"/>
      <c r="B34" s="5"/>
      <c r="C34" s="6"/>
      <c r="D34" s="7"/>
      <c r="E34" s="8"/>
      <c r="F34" s="9"/>
      <c r="G34" s="10"/>
      <c r="H34" s="10"/>
      <c r="I34" s="10"/>
    </row>
    <row r="35" spans="1:9" ht="117.75" customHeight="1" x14ac:dyDescent="0.2">
      <c r="A35" s="11"/>
      <c r="B35" s="12"/>
      <c r="C35" s="13"/>
      <c r="D35" s="14"/>
      <c r="E35" s="15"/>
      <c r="F35" s="16"/>
      <c r="G35" s="17"/>
      <c r="H35" s="17"/>
      <c r="I35" s="17"/>
    </row>
    <row r="36" spans="1:9" ht="120" customHeight="1" x14ac:dyDescent="0.2">
      <c r="A36" s="4"/>
      <c r="B36" s="5"/>
      <c r="C36" s="6"/>
      <c r="D36" s="7"/>
      <c r="E36" s="8"/>
      <c r="F36" s="9"/>
      <c r="G36" s="10"/>
      <c r="H36" s="10"/>
      <c r="I36" s="10"/>
    </row>
    <row r="37" spans="1:9" ht="120" customHeight="1" x14ac:dyDescent="0.2">
      <c r="A37" s="11"/>
      <c r="B37" s="12"/>
      <c r="C37" s="13"/>
      <c r="D37" s="14"/>
      <c r="E37" s="15"/>
      <c r="F37" s="16"/>
      <c r="G37" s="17"/>
      <c r="H37" s="17"/>
      <c r="I37" s="17"/>
    </row>
    <row r="38" spans="1:9" ht="78.75" customHeight="1" x14ac:dyDescent="0.2">
      <c r="A38" s="4"/>
      <c r="B38" s="5"/>
      <c r="C38" s="6"/>
      <c r="D38" s="7"/>
      <c r="E38" s="8"/>
      <c r="F38" s="9"/>
      <c r="G38" s="10"/>
      <c r="H38" s="10"/>
      <c r="I38" s="10"/>
    </row>
    <row r="39" spans="1:9" ht="120" customHeight="1" x14ac:dyDescent="0.2">
      <c r="A39" s="11"/>
      <c r="B39" s="12"/>
      <c r="C39" s="13"/>
      <c r="D39" s="14"/>
      <c r="E39" s="15"/>
      <c r="F39" s="16"/>
      <c r="G39" s="17"/>
      <c r="H39" s="17"/>
      <c r="I39" s="17"/>
    </row>
    <row r="40" spans="1:9" ht="105" customHeight="1" x14ac:dyDescent="0.2">
      <c r="A40" s="4"/>
      <c r="B40" s="5"/>
      <c r="C40" s="6"/>
      <c r="D40" s="7"/>
      <c r="E40" s="8"/>
      <c r="F40" s="9"/>
      <c r="G40" s="10"/>
      <c r="H40" s="10"/>
      <c r="I40" s="10"/>
    </row>
    <row r="41" spans="1:9" ht="120" customHeight="1" x14ac:dyDescent="0.2">
      <c r="A41" s="11"/>
      <c r="B41" s="12"/>
      <c r="C41" s="13"/>
      <c r="D41" s="14"/>
      <c r="E41" s="15"/>
      <c r="F41" s="16"/>
      <c r="G41" s="17"/>
      <c r="H41" s="17"/>
      <c r="I41" s="17"/>
    </row>
    <row r="42" spans="1:9" ht="105" customHeight="1" x14ac:dyDescent="0.2">
      <c r="A42" s="4"/>
      <c r="B42" s="5"/>
      <c r="C42" s="6"/>
      <c r="D42" s="7"/>
      <c r="E42" s="8"/>
      <c r="F42" s="9"/>
      <c r="G42" s="10"/>
      <c r="H42" s="10"/>
      <c r="I42" s="10"/>
    </row>
    <row r="43" spans="1:9" ht="120" customHeight="1" x14ac:dyDescent="0.2">
      <c r="A43" s="11"/>
      <c r="B43" s="12"/>
      <c r="C43" s="13"/>
      <c r="D43" s="14"/>
      <c r="E43" s="15"/>
      <c r="F43" s="16"/>
      <c r="G43" s="17"/>
      <c r="H43" s="17"/>
      <c r="I43" s="17"/>
    </row>
    <row r="44" spans="1:9" ht="117.75" customHeight="1" x14ac:dyDescent="0.2">
      <c r="A44" s="4"/>
      <c r="B44" s="5"/>
      <c r="C44" s="6"/>
      <c r="D44" s="7"/>
      <c r="E44" s="8"/>
      <c r="F44" s="9"/>
      <c r="G44" s="10"/>
      <c r="H44" s="10"/>
      <c r="I44" s="10"/>
    </row>
    <row r="45" spans="1:9" ht="52.5" customHeight="1" x14ac:dyDescent="0.2">
      <c r="A45" s="11"/>
      <c r="B45" s="12"/>
      <c r="C45" s="13"/>
      <c r="D45" s="14"/>
      <c r="E45" s="15"/>
      <c r="F45" s="16"/>
      <c r="G45" s="17"/>
      <c r="H45" s="17"/>
      <c r="I45" s="17"/>
    </row>
    <row r="46" spans="1:9" ht="91.5" customHeight="1" x14ac:dyDescent="0.2">
      <c r="A46" s="4"/>
      <c r="B46" s="5"/>
      <c r="C46" s="6"/>
      <c r="D46" s="7"/>
      <c r="E46" s="8"/>
      <c r="F46" s="9"/>
      <c r="G46" s="10"/>
      <c r="H46" s="10"/>
      <c r="I46" s="10"/>
    </row>
    <row r="47" spans="1:9" ht="91.5" customHeight="1" x14ac:dyDescent="0.2">
      <c r="A47" s="11"/>
      <c r="B47" s="12"/>
      <c r="C47" s="13"/>
      <c r="D47" s="14"/>
      <c r="E47" s="15"/>
      <c r="F47" s="16"/>
      <c r="G47" s="17"/>
      <c r="H47" s="17"/>
      <c r="I47" s="17"/>
    </row>
    <row r="48" spans="1:9" ht="120" customHeight="1" x14ac:dyDescent="0.2">
      <c r="A48" s="4"/>
      <c r="B48" s="5"/>
      <c r="C48" s="6"/>
      <c r="D48" s="7"/>
      <c r="E48" s="8"/>
      <c r="F48" s="9"/>
      <c r="G48" s="10"/>
      <c r="H48" s="10"/>
      <c r="I48" s="10"/>
    </row>
    <row r="49" spans="1:9" ht="120" customHeight="1" x14ac:dyDescent="0.2">
      <c r="A49" s="11"/>
      <c r="B49" s="12"/>
      <c r="C49" s="13"/>
      <c r="D49" s="14"/>
      <c r="E49" s="15"/>
      <c r="F49" s="16"/>
      <c r="G49" s="17"/>
      <c r="H49" s="17"/>
      <c r="I49" s="17"/>
    </row>
    <row r="50" spans="1:9" ht="120" customHeight="1" x14ac:dyDescent="0.2">
      <c r="A50" s="4"/>
      <c r="B50" s="5"/>
      <c r="C50" s="6"/>
      <c r="D50" s="7"/>
      <c r="E50" s="8"/>
      <c r="F50" s="9"/>
      <c r="G50" s="10"/>
      <c r="H50" s="10"/>
      <c r="I50" s="10"/>
    </row>
    <row r="51" spans="1:9" ht="120" customHeight="1" x14ac:dyDescent="0.2">
      <c r="A51" s="11"/>
      <c r="B51" s="12"/>
      <c r="C51" s="13"/>
      <c r="D51" s="14"/>
      <c r="E51" s="15"/>
      <c r="F51" s="16"/>
      <c r="G51" s="17"/>
      <c r="H51" s="17"/>
      <c r="I51" s="17"/>
    </row>
    <row r="52" spans="1:9" ht="91.5" customHeight="1" x14ac:dyDescent="0.2">
      <c r="A52" s="4"/>
      <c r="B52" s="5"/>
      <c r="C52" s="6"/>
      <c r="D52" s="7"/>
      <c r="E52" s="8"/>
      <c r="F52" s="9"/>
      <c r="G52" s="10"/>
      <c r="H52" s="10"/>
      <c r="I52" s="10"/>
    </row>
    <row r="53" spans="1:9" ht="120" customHeight="1" x14ac:dyDescent="0.2">
      <c r="A53" s="11"/>
      <c r="B53" s="12"/>
      <c r="C53" s="13"/>
      <c r="D53" s="14"/>
      <c r="E53" s="15"/>
      <c r="F53" s="16"/>
      <c r="G53" s="17"/>
      <c r="H53" s="17"/>
      <c r="I53" s="17"/>
    </row>
    <row r="54" spans="1:9" ht="52.5" customHeight="1" x14ac:dyDescent="0.2">
      <c r="A54" s="4"/>
      <c r="B54" s="5"/>
      <c r="C54" s="6"/>
      <c r="D54" s="7"/>
      <c r="E54" s="8"/>
      <c r="F54" s="9"/>
      <c r="G54" s="10"/>
      <c r="H54" s="10"/>
      <c r="I54" s="10"/>
    </row>
    <row r="55" spans="1:9" ht="120" customHeight="1" x14ac:dyDescent="0.2">
      <c r="A55" s="11"/>
      <c r="B55" s="12"/>
      <c r="C55" s="13"/>
      <c r="D55" s="14"/>
      <c r="E55" s="15"/>
      <c r="F55" s="16"/>
      <c r="G55" s="17"/>
      <c r="H55" s="17"/>
      <c r="I55" s="17"/>
    </row>
    <row r="56" spans="1:9" ht="120" customHeight="1" x14ac:dyDescent="0.2">
      <c r="A56" s="4"/>
      <c r="B56" s="5"/>
      <c r="C56" s="6"/>
      <c r="D56" s="7"/>
      <c r="E56" s="8"/>
      <c r="F56" s="9"/>
      <c r="G56" s="10"/>
      <c r="H56" s="10"/>
      <c r="I56" s="10"/>
    </row>
    <row r="57" spans="1:9" ht="120" customHeight="1" x14ac:dyDescent="0.2">
      <c r="A57" s="11"/>
      <c r="B57" s="12"/>
      <c r="C57" s="13"/>
      <c r="D57" s="14"/>
      <c r="E57" s="15"/>
      <c r="F57" s="16"/>
      <c r="G57" s="17"/>
      <c r="H57" s="17"/>
      <c r="I57" s="17"/>
    </row>
    <row r="58" spans="1:9" ht="120" customHeight="1" x14ac:dyDescent="0.2">
      <c r="A58" s="4"/>
      <c r="B58" s="5"/>
      <c r="C58" s="6"/>
      <c r="D58" s="7"/>
      <c r="E58" s="8"/>
      <c r="F58" s="9"/>
      <c r="G58" s="10"/>
      <c r="H58" s="10"/>
      <c r="I58" s="10"/>
    </row>
    <row r="59" spans="1:9" ht="52.5" customHeight="1" x14ac:dyDescent="0.2">
      <c r="A59" s="11"/>
      <c r="B59" s="12"/>
      <c r="C59" s="13"/>
      <c r="D59" s="14"/>
      <c r="E59" s="15"/>
      <c r="F59" s="16"/>
      <c r="G59" s="17"/>
      <c r="H59" s="17"/>
      <c r="I59" s="17"/>
    </row>
    <row r="60" spans="1:9" ht="52.5" customHeight="1" x14ac:dyDescent="0.2">
      <c r="A60" s="4"/>
      <c r="B60" s="5"/>
      <c r="C60" s="6"/>
      <c r="D60" s="7"/>
      <c r="E60" s="8"/>
      <c r="F60" s="9"/>
      <c r="G60" s="10"/>
      <c r="H60" s="10"/>
      <c r="I60" s="10"/>
    </row>
    <row r="61" spans="1:9" ht="117.75" customHeight="1" x14ac:dyDescent="0.2">
      <c r="A61" s="11"/>
      <c r="B61" s="12"/>
      <c r="C61" s="13"/>
      <c r="D61" s="14"/>
      <c r="E61" s="15"/>
      <c r="F61" s="16"/>
      <c r="G61" s="17"/>
      <c r="H61" s="17"/>
      <c r="I61" s="17"/>
    </row>
    <row r="62" spans="1:9" ht="120" customHeight="1" x14ac:dyDescent="0.2">
      <c r="A62" s="4"/>
      <c r="B62" s="5"/>
      <c r="C62" s="6"/>
      <c r="D62" s="7"/>
      <c r="E62" s="8"/>
      <c r="F62" s="9"/>
      <c r="G62" s="10"/>
      <c r="H62" s="10"/>
      <c r="I62" s="10"/>
    </row>
    <row r="63" spans="1:9" ht="52.5" customHeight="1" x14ac:dyDescent="0.2">
      <c r="A63" s="11"/>
      <c r="B63" s="12"/>
      <c r="C63" s="13"/>
      <c r="D63" s="14"/>
      <c r="E63" s="15"/>
      <c r="F63" s="16"/>
      <c r="G63" s="17"/>
      <c r="H63" s="17"/>
      <c r="I63" s="17"/>
    </row>
    <row r="64" spans="1:9" ht="120" customHeight="1" x14ac:dyDescent="0.2">
      <c r="A64" s="4"/>
      <c r="B64" s="5"/>
      <c r="C64" s="6"/>
      <c r="D64" s="7"/>
      <c r="E64" s="8"/>
      <c r="F64" s="9"/>
      <c r="G64" s="10"/>
      <c r="H64" s="10"/>
      <c r="I64" s="10"/>
    </row>
    <row r="65" spans="1:9" ht="52.5" customHeight="1" x14ac:dyDescent="0.2">
      <c r="A65" s="11"/>
      <c r="B65" s="12"/>
      <c r="C65" s="13"/>
      <c r="D65" s="14"/>
      <c r="E65" s="15"/>
      <c r="F65" s="16"/>
      <c r="G65" s="17"/>
      <c r="H65" s="17"/>
      <c r="I65" s="17"/>
    </row>
    <row r="66" spans="1:9" ht="91.5" customHeight="1" x14ac:dyDescent="0.2">
      <c r="A66" s="4"/>
      <c r="B66" s="5"/>
      <c r="C66" s="6"/>
      <c r="D66" s="7"/>
      <c r="E66" s="8"/>
      <c r="F66" s="9"/>
      <c r="G66" s="10"/>
      <c r="H66" s="10"/>
      <c r="I66" s="10"/>
    </row>
    <row r="67" spans="1:9" ht="39.75" customHeight="1" x14ac:dyDescent="0.2">
      <c r="A67" s="11"/>
      <c r="B67" s="12"/>
      <c r="C67" s="13"/>
      <c r="D67" s="14"/>
      <c r="E67" s="15"/>
      <c r="F67" s="16"/>
      <c r="G67" s="17"/>
      <c r="H67" s="17"/>
      <c r="I67" s="17"/>
    </row>
    <row r="68" spans="1:9" ht="120" customHeight="1" x14ac:dyDescent="0.2">
      <c r="A68" s="4"/>
      <c r="B68" s="5"/>
      <c r="C68" s="6"/>
      <c r="D68" s="7"/>
      <c r="E68" s="8"/>
      <c r="F68" s="9"/>
      <c r="G68" s="10"/>
      <c r="H68" s="10"/>
      <c r="I68" s="10"/>
    </row>
    <row r="69" spans="1:9" ht="52.5" customHeight="1" x14ac:dyDescent="0.2">
      <c r="A69" s="11"/>
      <c r="B69" s="12"/>
      <c r="C69" s="13"/>
      <c r="D69" s="14"/>
      <c r="E69" s="15"/>
      <c r="F69" s="16"/>
      <c r="G69" s="17"/>
      <c r="H69" s="17"/>
      <c r="I69" s="17"/>
    </row>
    <row r="70" spans="1:9" ht="120" customHeight="1" x14ac:dyDescent="0.2">
      <c r="A70" s="4"/>
      <c r="B70" s="5"/>
      <c r="C70" s="6"/>
      <c r="D70" s="7"/>
      <c r="E70" s="8"/>
      <c r="F70" s="9"/>
      <c r="G70" s="10"/>
      <c r="H70" s="10"/>
      <c r="I70" s="10"/>
    </row>
    <row r="71" spans="1:9" ht="52.5" customHeight="1" x14ac:dyDescent="0.2">
      <c r="A71" s="11"/>
      <c r="B71" s="12"/>
      <c r="C71" s="13"/>
      <c r="D71" s="14"/>
      <c r="E71" s="15"/>
      <c r="F71" s="16"/>
      <c r="G71" s="17"/>
      <c r="H71" s="17"/>
      <c r="I71" s="17"/>
    </row>
    <row r="72" spans="1:9" ht="120" customHeight="1" x14ac:dyDescent="0.2">
      <c r="A72" s="4"/>
      <c r="B72" s="5"/>
      <c r="C72" s="6"/>
      <c r="D72" s="7"/>
      <c r="E72" s="8"/>
      <c r="F72" s="9"/>
      <c r="G72" s="10"/>
      <c r="H72" s="10"/>
      <c r="I72" s="10"/>
    </row>
    <row r="73" spans="1:9" ht="105" customHeight="1" x14ac:dyDescent="0.2">
      <c r="A73" s="11"/>
      <c r="B73" s="12"/>
      <c r="C73" s="13"/>
      <c r="D73" s="14"/>
      <c r="E73" s="15"/>
      <c r="F73" s="16"/>
      <c r="G73" s="17"/>
      <c r="H73" s="17"/>
      <c r="I73" s="17"/>
    </row>
    <row r="74" spans="1:9" ht="78.75" customHeight="1" x14ac:dyDescent="0.2">
      <c r="A74" s="4"/>
      <c r="B74" s="5"/>
      <c r="C74" s="6"/>
      <c r="D74" s="7"/>
      <c r="E74" s="8"/>
      <c r="F74" s="9"/>
      <c r="G74" s="10"/>
      <c r="H74" s="10"/>
      <c r="I74" s="10"/>
    </row>
    <row r="75" spans="1:9" ht="117.75" customHeight="1" x14ac:dyDescent="0.2">
      <c r="A75" s="11"/>
      <c r="B75" s="12"/>
      <c r="C75" s="13"/>
      <c r="D75" s="14"/>
      <c r="E75" s="15"/>
      <c r="F75" s="16"/>
      <c r="G75" s="17"/>
      <c r="H75" s="17"/>
      <c r="I75" s="17"/>
    </row>
    <row r="76" spans="1:9" ht="120" customHeight="1" x14ac:dyDescent="0.2">
      <c r="A76" s="4"/>
      <c r="B76" s="5"/>
      <c r="C76" s="6"/>
      <c r="D76" s="7"/>
      <c r="E76" s="8"/>
      <c r="F76" s="9"/>
      <c r="G76" s="10"/>
      <c r="H76" s="10"/>
      <c r="I76" s="10"/>
    </row>
    <row r="77" spans="1:9" ht="105" customHeight="1" x14ac:dyDescent="0.2">
      <c r="A77" s="11"/>
      <c r="B77" s="12"/>
      <c r="C77" s="13"/>
      <c r="D77" s="14"/>
      <c r="E77" s="15"/>
      <c r="F77" s="16"/>
      <c r="G77" s="17"/>
      <c r="H77" s="17"/>
      <c r="I77" s="17"/>
    </row>
    <row r="78" spans="1:9" ht="105" customHeight="1" x14ac:dyDescent="0.2">
      <c r="A78" s="4"/>
      <c r="B78" s="5"/>
      <c r="C78" s="6"/>
      <c r="D78" s="7"/>
      <c r="E78" s="8"/>
      <c r="F78" s="9"/>
      <c r="G78" s="10"/>
      <c r="H78" s="10"/>
      <c r="I78" s="10"/>
    </row>
    <row r="79" spans="1:9" ht="30" customHeight="1" x14ac:dyDescent="0.2">
      <c r="A79" s="11"/>
      <c r="B79" s="12"/>
      <c r="C79" s="13"/>
      <c r="D79" s="14"/>
      <c r="E79" s="15"/>
      <c r="F79" s="16"/>
      <c r="G79" s="17"/>
      <c r="H79" s="17"/>
      <c r="I79" s="17"/>
    </row>
    <row r="80" spans="1:9" ht="120" customHeight="1" x14ac:dyDescent="0.2">
      <c r="A80" s="4"/>
      <c r="B80" s="5"/>
      <c r="C80" s="6"/>
      <c r="D80" s="7"/>
      <c r="E80" s="8"/>
      <c r="F80" s="9"/>
      <c r="G80" s="10"/>
      <c r="H80" s="10"/>
      <c r="I80" s="10"/>
    </row>
    <row r="81" spans="1:9" ht="117.75" customHeight="1" x14ac:dyDescent="0.2">
      <c r="A81" s="11"/>
      <c r="B81" s="12"/>
      <c r="C81" s="13"/>
      <c r="D81" s="14"/>
      <c r="E81" s="15"/>
      <c r="F81" s="16"/>
      <c r="G81" s="17"/>
      <c r="H81" s="17"/>
      <c r="I81" s="17"/>
    </row>
    <row r="82" spans="1:9" ht="52.5" customHeight="1" x14ac:dyDescent="0.2">
      <c r="A82" s="4"/>
      <c r="B82" s="5"/>
      <c r="C82" s="6"/>
      <c r="D82" s="7"/>
      <c r="E82" s="8"/>
      <c r="F82" s="9"/>
      <c r="G82" s="10"/>
      <c r="H82" s="10"/>
      <c r="I82" s="10"/>
    </row>
    <row r="83" spans="1:9" ht="52.5" customHeight="1" x14ac:dyDescent="0.2">
      <c r="A83" s="11"/>
      <c r="B83" s="12"/>
      <c r="C83" s="13"/>
      <c r="D83" s="14"/>
      <c r="E83" s="15"/>
      <c r="F83" s="16"/>
      <c r="G83" s="17"/>
      <c r="H83" s="17"/>
      <c r="I83" s="17"/>
    </row>
    <row r="84" spans="1:9" ht="120" customHeight="1" x14ac:dyDescent="0.2">
      <c r="A84" s="4"/>
      <c r="B84" s="5"/>
      <c r="C84" s="6"/>
      <c r="D84" s="7"/>
      <c r="E84" s="8"/>
      <c r="F84" s="9"/>
      <c r="G84" s="10"/>
      <c r="H84" s="10"/>
      <c r="I84" s="10"/>
    </row>
    <row r="85" spans="1:9" ht="120" customHeight="1" x14ac:dyDescent="0.2">
      <c r="A85" s="11"/>
      <c r="B85" s="12"/>
      <c r="C85" s="13"/>
      <c r="D85" s="14"/>
      <c r="E85" s="15"/>
      <c r="F85" s="16"/>
      <c r="G85" s="17"/>
      <c r="H85" s="17"/>
      <c r="I85" s="17"/>
    </row>
    <row r="86" spans="1:9" ht="120" customHeight="1" x14ac:dyDescent="0.2">
      <c r="A86" s="4"/>
      <c r="B86" s="5"/>
      <c r="C86" s="6"/>
      <c r="D86" s="7"/>
      <c r="E86" s="8"/>
      <c r="F86" s="9"/>
      <c r="G86" s="10"/>
      <c r="H86" s="10"/>
      <c r="I86" s="10"/>
    </row>
    <row r="87" spans="1:9" ht="52.5" customHeight="1" x14ac:dyDescent="0.2">
      <c r="A87" s="11"/>
      <c r="B87" s="12"/>
      <c r="C87" s="13"/>
      <c r="D87" s="14"/>
      <c r="E87" s="15"/>
      <c r="F87" s="16"/>
      <c r="G87" s="17"/>
      <c r="H87" s="17"/>
      <c r="I87" s="17"/>
    </row>
    <row r="88" spans="1:9" ht="120" customHeight="1" x14ac:dyDescent="0.2">
      <c r="A88" s="4"/>
      <c r="B88" s="5"/>
      <c r="C88" s="6"/>
      <c r="D88" s="7"/>
      <c r="E88" s="8"/>
      <c r="F88" s="9"/>
      <c r="G88" s="10"/>
      <c r="H88" s="10"/>
      <c r="I88" s="10"/>
    </row>
    <row r="89" spans="1:9" ht="120" customHeight="1" x14ac:dyDescent="0.2">
      <c r="A89" s="11"/>
      <c r="B89" s="12"/>
      <c r="C89" s="13"/>
      <c r="D89" s="14"/>
      <c r="E89" s="15"/>
      <c r="F89" s="16"/>
      <c r="G89" s="17"/>
      <c r="H89" s="17"/>
      <c r="I89" s="17"/>
    </row>
    <row r="90" spans="1:9" ht="52.5" customHeight="1" x14ac:dyDescent="0.2">
      <c r="A90" s="4"/>
      <c r="B90" s="5"/>
      <c r="C90" s="6"/>
      <c r="D90" s="7"/>
      <c r="E90" s="8"/>
      <c r="F90" s="9"/>
      <c r="G90" s="10"/>
      <c r="H90" s="10"/>
      <c r="I90" s="10"/>
    </row>
    <row r="91" spans="1:9" ht="120" customHeight="1" x14ac:dyDescent="0.2">
      <c r="A91" s="11"/>
      <c r="B91" s="12"/>
      <c r="C91" s="13"/>
      <c r="D91" s="14"/>
      <c r="E91" s="15"/>
      <c r="F91" s="16"/>
      <c r="G91" s="17"/>
      <c r="H91" s="17"/>
      <c r="I91" s="17"/>
    </row>
    <row r="92" spans="1:9" ht="52.5" customHeight="1" x14ac:dyDescent="0.2">
      <c r="A92" s="4"/>
      <c r="B92" s="5"/>
      <c r="C92" s="6"/>
      <c r="D92" s="7"/>
      <c r="E92" s="8"/>
      <c r="F92" s="9"/>
      <c r="G92" s="10"/>
      <c r="H92" s="10"/>
      <c r="I92" s="10"/>
    </row>
    <row r="93" spans="1:9" ht="52.5" customHeight="1" x14ac:dyDescent="0.2">
      <c r="A93" s="11"/>
      <c r="B93" s="12"/>
      <c r="C93" s="13"/>
      <c r="D93" s="14"/>
      <c r="E93" s="15"/>
      <c r="F93" s="16"/>
      <c r="G93" s="17"/>
      <c r="H93" s="17"/>
      <c r="I93" s="17"/>
    </row>
    <row r="94" spans="1:9" ht="120" customHeight="1" x14ac:dyDescent="0.2">
      <c r="A94" s="4"/>
      <c r="B94" s="5"/>
      <c r="C94" s="6"/>
      <c r="D94" s="7"/>
      <c r="E94" s="8"/>
      <c r="F94" s="9"/>
      <c r="G94" s="10"/>
      <c r="H94" s="10"/>
      <c r="I94" s="10"/>
    </row>
    <row r="95" spans="1:9" ht="120" customHeight="1" x14ac:dyDescent="0.2">
      <c r="A95" s="11"/>
      <c r="B95" s="12"/>
      <c r="C95" s="13"/>
      <c r="D95" s="14"/>
      <c r="E95" s="15"/>
      <c r="F95" s="16"/>
      <c r="G95" s="17"/>
      <c r="H95" s="17"/>
      <c r="I95" s="17"/>
    </row>
    <row r="96" spans="1:9" ht="105" customHeight="1" x14ac:dyDescent="0.2">
      <c r="A96" s="4"/>
      <c r="B96" s="5"/>
      <c r="C96" s="6"/>
      <c r="D96" s="7"/>
      <c r="E96" s="8"/>
      <c r="F96" s="9"/>
      <c r="G96" s="10"/>
      <c r="H96" s="10"/>
      <c r="I96" s="10"/>
    </row>
    <row r="97" spans="1:9" ht="66" customHeight="1" x14ac:dyDescent="0.2">
      <c r="A97" s="11"/>
      <c r="B97" s="12"/>
      <c r="C97" s="13"/>
      <c r="D97" s="14"/>
      <c r="E97" s="15"/>
      <c r="F97" s="16"/>
      <c r="G97" s="17"/>
      <c r="H97" s="17"/>
      <c r="I97" s="17"/>
    </row>
    <row r="98" spans="1:9" ht="120" customHeight="1" x14ac:dyDescent="0.2">
      <c r="A98" s="4"/>
      <c r="B98" s="5"/>
      <c r="C98" s="6"/>
      <c r="D98" s="7"/>
      <c r="E98" s="8"/>
      <c r="F98" s="9"/>
      <c r="G98" s="10"/>
      <c r="H98" s="10"/>
      <c r="I98" s="10"/>
    </row>
    <row r="99" spans="1:9" ht="120" customHeight="1" x14ac:dyDescent="0.2">
      <c r="A99" s="11"/>
      <c r="B99" s="12"/>
      <c r="C99" s="13"/>
      <c r="D99" s="14"/>
      <c r="E99" s="15"/>
      <c r="F99" s="16"/>
      <c r="G99" s="17"/>
      <c r="H99" s="17"/>
      <c r="I99" s="17"/>
    </row>
    <row r="100" spans="1:9" ht="78.75" customHeight="1" x14ac:dyDescent="0.2">
      <c r="A100" s="4"/>
      <c r="B100" s="5"/>
      <c r="C100" s="6"/>
      <c r="D100" s="7"/>
      <c r="E100" s="8"/>
      <c r="F100" s="9"/>
      <c r="G100" s="10"/>
      <c r="H100" s="10"/>
      <c r="I100" s="10"/>
    </row>
    <row r="101" spans="1:9" ht="52.5" customHeight="1" x14ac:dyDescent="0.2">
      <c r="A101" s="11"/>
      <c r="B101" s="12"/>
      <c r="C101" s="13"/>
      <c r="D101" s="14"/>
      <c r="E101" s="15"/>
      <c r="F101" s="16"/>
      <c r="G101" s="17"/>
      <c r="H101" s="17"/>
      <c r="I101" s="17"/>
    </row>
    <row r="102" spans="1:9" ht="39.75" customHeight="1" x14ac:dyDescent="0.2">
      <c r="A102" s="4"/>
      <c r="B102" s="5"/>
      <c r="C102" s="6"/>
      <c r="D102" s="7"/>
      <c r="E102" s="8"/>
      <c r="F102" s="9"/>
      <c r="G102" s="10"/>
      <c r="H102" s="10"/>
      <c r="I102" s="10"/>
    </row>
    <row r="103" spans="1:9" ht="105" customHeight="1" x14ac:dyDescent="0.2">
      <c r="A103" s="11"/>
      <c r="B103" s="12"/>
      <c r="C103" s="13"/>
      <c r="D103" s="14"/>
      <c r="E103" s="15"/>
      <c r="F103" s="16"/>
      <c r="G103" s="17"/>
      <c r="H103" s="17"/>
      <c r="I103" s="17"/>
    </row>
    <row r="104" spans="1:9" ht="52.5" customHeight="1" x14ac:dyDescent="0.2">
      <c r="A104" s="4"/>
      <c r="B104" s="5"/>
      <c r="C104" s="6"/>
      <c r="D104" s="7"/>
      <c r="E104" s="8"/>
      <c r="F104" s="9"/>
      <c r="G104" s="10"/>
      <c r="H104" s="10"/>
      <c r="I104" s="10"/>
    </row>
    <row r="105" spans="1:9" ht="120" customHeight="1" x14ac:dyDescent="0.2">
      <c r="A105" s="11"/>
      <c r="B105" s="12"/>
      <c r="C105" s="13"/>
      <c r="D105" s="14"/>
      <c r="E105" s="15"/>
      <c r="F105" s="16"/>
      <c r="G105" s="17"/>
      <c r="H105" s="17"/>
      <c r="I105" s="17"/>
    </row>
    <row r="106" spans="1:9" ht="120" customHeight="1" x14ac:dyDescent="0.2">
      <c r="A106" s="4"/>
      <c r="B106" s="5"/>
      <c r="C106" s="6"/>
      <c r="D106" s="7"/>
      <c r="E106" s="8"/>
      <c r="F106" s="9"/>
      <c r="G106" s="10"/>
      <c r="H106" s="10"/>
      <c r="I106" s="10"/>
    </row>
    <row r="107" spans="1:9" ht="52.5" customHeight="1" x14ac:dyDescent="0.2">
      <c r="A107" s="11"/>
      <c r="B107" s="12"/>
      <c r="C107" s="13"/>
      <c r="D107" s="14"/>
      <c r="E107" s="15"/>
      <c r="F107" s="16"/>
      <c r="G107" s="17"/>
      <c r="H107" s="17"/>
      <c r="I107" s="17"/>
    </row>
    <row r="108" spans="1:9" ht="52.5" customHeight="1" x14ac:dyDescent="0.2">
      <c r="A108" s="4"/>
      <c r="B108" s="5"/>
      <c r="C108" s="6"/>
      <c r="D108" s="7"/>
      <c r="E108" s="8"/>
      <c r="F108" s="9"/>
      <c r="G108" s="10"/>
      <c r="H108" s="10"/>
      <c r="I108" s="10"/>
    </row>
    <row r="109" spans="1:9" ht="120" customHeight="1" x14ac:dyDescent="0.2">
      <c r="A109" s="11"/>
      <c r="B109" s="12"/>
      <c r="C109" s="13"/>
      <c r="D109" s="14"/>
      <c r="E109" s="15"/>
      <c r="F109" s="16"/>
      <c r="G109" s="17"/>
      <c r="H109" s="17"/>
      <c r="I109" s="17"/>
    </row>
    <row r="110" spans="1:9" ht="120" customHeight="1" x14ac:dyDescent="0.2">
      <c r="A110" s="4"/>
      <c r="B110" s="5"/>
      <c r="C110" s="6"/>
      <c r="D110" s="7"/>
      <c r="E110" s="8"/>
      <c r="F110" s="9"/>
      <c r="G110" s="10"/>
      <c r="H110" s="10"/>
      <c r="I110" s="10"/>
    </row>
    <row r="111" spans="1:9" ht="120" customHeight="1" x14ac:dyDescent="0.2">
      <c r="A111" s="11"/>
      <c r="B111" s="12"/>
      <c r="C111" s="13"/>
      <c r="D111" s="14"/>
      <c r="E111" s="15"/>
      <c r="F111" s="16"/>
      <c r="G111" s="17"/>
      <c r="H111" s="17"/>
      <c r="I111" s="17"/>
    </row>
    <row r="112" spans="1:9" ht="105" customHeight="1" x14ac:dyDescent="0.2">
      <c r="A112" s="4"/>
      <c r="B112" s="5"/>
      <c r="C112" s="6"/>
      <c r="D112" s="7"/>
      <c r="E112" s="8"/>
      <c r="F112" s="9"/>
      <c r="G112" s="10"/>
      <c r="H112" s="10"/>
      <c r="I112" s="10"/>
    </row>
    <row r="113" spans="1:9" ht="120" customHeight="1" x14ac:dyDescent="0.2">
      <c r="A113" s="11"/>
      <c r="B113" s="12"/>
      <c r="C113" s="13"/>
      <c r="D113" s="14"/>
      <c r="E113" s="15"/>
      <c r="F113" s="16"/>
      <c r="G113" s="17"/>
      <c r="H113" s="17"/>
      <c r="I113" s="17"/>
    </row>
    <row r="114" spans="1:9" ht="120" customHeight="1" x14ac:dyDescent="0.2">
      <c r="A114" s="4"/>
      <c r="B114" s="5"/>
      <c r="C114" s="6"/>
      <c r="D114" s="7"/>
      <c r="E114" s="8"/>
      <c r="F114" s="9"/>
      <c r="G114" s="10"/>
      <c r="H114" s="10"/>
      <c r="I114" s="10"/>
    </row>
    <row r="115" spans="1:9" ht="120" customHeight="1" x14ac:dyDescent="0.2">
      <c r="A115" s="11"/>
      <c r="B115" s="12"/>
      <c r="C115" s="13"/>
      <c r="D115" s="14"/>
      <c r="E115" s="15"/>
      <c r="F115" s="16"/>
      <c r="G115" s="17"/>
      <c r="H115" s="17"/>
      <c r="I115" s="17"/>
    </row>
    <row r="116" spans="1:9" ht="52.5" customHeight="1" x14ac:dyDescent="0.2">
      <c r="A116" s="4"/>
      <c r="B116" s="5"/>
      <c r="C116" s="6"/>
      <c r="D116" s="7"/>
      <c r="E116" s="8"/>
      <c r="F116" s="9"/>
      <c r="G116" s="10"/>
      <c r="H116" s="10"/>
      <c r="I116" s="10"/>
    </row>
    <row r="117" spans="1:9" ht="120" customHeight="1" x14ac:dyDescent="0.2">
      <c r="A117" s="11"/>
      <c r="B117" s="12"/>
      <c r="C117" s="13"/>
      <c r="D117" s="14"/>
      <c r="E117" s="15"/>
      <c r="F117" s="16"/>
      <c r="G117" s="17"/>
      <c r="H117" s="17"/>
      <c r="I117" s="17"/>
    </row>
    <row r="118" spans="1:9" ht="78.75" customHeight="1" x14ac:dyDescent="0.2">
      <c r="A118" s="4"/>
      <c r="B118" s="5"/>
      <c r="C118" s="6"/>
      <c r="D118" s="7"/>
      <c r="E118" s="8"/>
      <c r="F118" s="9"/>
      <c r="G118" s="10"/>
      <c r="H118" s="10"/>
      <c r="I118" s="10"/>
    </row>
    <row r="119" spans="1:9" ht="105" customHeight="1" x14ac:dyDescent="0.2">
      <c r="A119" s="11"/>
      <c r="B119" s="12"/>
      <c r="C119" s="13"/>
      <c r="D119" s="14"/>
      <c r="E119" s="15"/>
      <c r="F119" s="16"/>
      <c r="G119" s="17"/>
      <c r="H119" s="17"/>
      <c r="I119" s="17"/>
    </row>
    <row r="120" spans="1:9" ht="52.5" customHeight="1" x14ac:dyDescent="0.2">
      <c r="A120" s="4"/>
      <c r="B120" s="5"/>
      <c r="C120" s="6"/>
      <c r="D120" s="7"/>
      <c r="E120" s="8"/>
      <c r="F120" s="9"/>
      <c r="G120" s="10"/>
      <c r="H120" s="10"/>
      <c r="I120" s="10"/>
    </row>
    <row r="121" spans="1:9" ht="120" customHeight="1" x14ac:dyDescent="0.2">
      <c r="A121" s="11"/>
      <c r="B121" s="12"/>
      <c r="C121" s="13"/>
      <c r="D121" s="14"/>
      <c r="E121" s="15"/>
      <c r="F121" s="16"/>
      <c r="G121" s="17"/>
      <c r="H121" s="17"/>
      <c r="I121" s="17"/>
    </row>
    <row r="122" spans="1:9" ht="120" customHeight="1" x14ac:dyDescent="0.2">
      <c r="A122" s="4"/>
      <c r="B122" s="5"/>
      <c r="C122" s="6"/>
      <c r="D122" s="7"/>
      <c r="E122" s="8"/>
      <c r="F122" s="9"/>
      <c r="G122" s="10"/>
      <c r="H122" s="10"/>
      <c r="I122" s="10"/>
    </row>
    <row r="123" spans="1:9" ht="78.75" customHeight="1" x14ac:dyDescent="0.2">
      <c r="A123" s="11"/>
      <c r="B123" s="12"/>
      <c r="C123" s="13"/>
      <c r="D123" s="14"/>
      <c r="E123" s="15"/>
      <c r="F123" s="16"/>
      <c r="G123" s="17"/>
      <c r="H123" s="17"/>
      <c r="I123" s="17"/>
    </row>
    <row r="124" spans="1:9" ht="7.5" customHeight="1" x14ac:dyDescent="0.2"/>
    <row r="125" spans="1:9" ht="19.5" customHeight="1" x14ac:dyDescent="0.2">
      <c r="A125" s="19" t="e">
        <f ca="1">SUMPRODUCT((A3:A123="AMIF")*SUBTOTAL(103,OFFSET(#REF!,ROW(A3:A123)-ROW(#REF!),0)))</f>
        <v>#REF!</v>
      </c>
      <c r="B125" s="20" t="s">
        <v>400</v>
      </c>
      <c r="C125" s="21"/>
      <c r="D125" s="21"/>
      <c r="E125" s="21"/>
      <c r="F125" s="21"/>
      <c r="G125" s="22" t="e">
        <f ca="1">SUMPRODUCT((A3:A123="AMIF")*SUBTOTAL(103,OFFSET(#REF!,ROW(A3:A123)-ROW(#REF!),0))*G3:G123)</f>
        <v>#REF!</v>
      </c>
      <c r="H125" s="22" t="e">
        <f ca="1">SUMPRODUCT((A3:A123="AMIF")*SUBTOTAL(103,OFFSET(#REF!,ROW(A3:A123)-ROW(#REF!),0))*H3:H123)</f>
        <v>#REF!</v>
      </c>
      <c r="I125" s="22" t="e">
        <f ca="1">SUMPRODUCT((A3:A123="AMIF")*SUBTOTAL(103,OFFSET(#REF!,ROW(A3:A123)-ROW(#REF!),0))*I3:I123)</f>
        <v>#REF!</v>
      </c>
    </row>
    <row r="126" spans="1:9" ht="19.5" customHeight="1" x14ac:dyDescent="0.2">
      <c r="A126" s="23" t="e">
        <f ca="1">SUMPRODUCT((A3:A123="National")*SUBTOTAL(103,OFFSET(#REF!,ROW(A3:A123)-ROW(#REF!),0)))</f>
        <v>#REF!</v>
      </c>
      <c r="B126" s="24" t="s">
        <v>401</v>
      </c>
      <c r="C126" s="25"/>
      <c r="D126" s="25"/>
      <c r="E126" s="25"/>
      <c r="F126" s="25"/>
      <c r="G126" s="26" t="e">
        <f ca="1">SUMPRODUCT((A3:A123="National")*SUBTOTAL(103,OFFSET(#REF!,ROW(A3:A123)-ROW(#REF!),0))*G3:G123)</f>
        <v>#REF!</v>
      </c>
      <c r="H126" s="26" t="e">
        <f ca="1">SUMPRODUCT((A3:A123="National")*SUBTOTAL(103,OFFSET(#REF!,ROW(A3:A123)-ROW(#REF!),0))*H3:H123)</f>
        <v>#REF!</v>
      </c>
      <c r="I126" s="26" t="e">
        <f ca="1">SUMPRODUCT((A3:A123="National")*SUBTOTAL(103,OFFSET(#REF!,ROW(A3:A123)-ROW(#REF!),0))*I3:I123)</f>
        <v>#REF!</v>
      </c>
    </row>
    <row r="127" spans="1:9" ht="24" customHeight="1" x14ac:dyDescent="0.2">
      <c r="A127" s="27" t="e">
        <f ca="1">SUMPRODUCT(((A3:A123="AMIF")+(A3:A123="AMIF-UKR")+(A3:A123="NATÜ")+(A3:A123="National"))*SUBTOTAL(103,OFFSET(#REF!,ROW(A3:A123)-ROW(#REF!),0)))</f>
        <v>#REF!</v>
      </c>
      <c r="B127" s="28" t="s">
        <v>488</v>
      </c>
      <c r="C127" s="29"/>
      <c r="D127" s="29"/>
      <c r="E127" s="29"/>
      <c r="F127" s="29"/>
      <c r="G127" s="30">
        <f>SUBTOTAL(9,G3:G123)</f>
        <v>0</v>
      </c>
      <c r="H127" s="30">
        <f>SUBTOTAL(9,H3:H123)</f>
        <v>325000</v>
      </c>
      <c r="I127" s="30">
        <f>SUBTOTAL(9,I3:I123)</f>
        <v>325000</v>
      </c>
    </row>
    <row r="129" spans="1:9" x14ac:dyDescent="0.2">
      <c r="A129" s="104" t="s">
        <v>489</v>
      </c>
      <c r="B129" s="103"/>
      <c r="C129" s="103"/>
      <c r="D129" s="103"/>
      <c r="E129" s="103"/>
      <c r="F129" s="103"/>
      <c r="G129" s="103"/>
      <c r="H129" s="103"/>
      <c r="I129" s="103"/>
    </row>
  </sheetData>
  <autoFilter ref="A2:I2" xr:uid="{00000000-0009-0000-0000-000003000000}"/>
  <mergeCells count="2">
    <mergeCell ref="A1:I1"/>
    <mergeCell ref="A129:I12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8"/>
  <sheetViews>
    <sheetView zoomScaleNormal="100" workbookViewId="0">
      <pane ySplit="2" topLeftCell="A3" activePane="bottomLeft" state="frozen"/>
      <selection pane="bottomLeft" activeCell="A3" sqref="A3:I5"/>
    </sheetView>
  </sheetViews>
  <sheetFormatPr baseColWidth="10" defaultColWidth="8.5" defaultRowHeight="15" x14ac:dyDescent="0.2"/>
  <cols>
    <col min="1" max="1" width="12" customWidth="1"/>
    <col min="2" max="3" width="34" customWidth="1"/>
    <col min="4" max="4" width="26" customWidth="1"/>
    <col min="5" max="5" width="52" customWidth="1"/>
    <col min="6" max="6" width="24" customWidth="1"/>
    <col min="7" max="9" width="16" customWidth="1"/>
  </cols>
  <sheetData>
    <row r="1" spans="1:9" ht="30" customHeight="1" x14ac:dyDescent="0.2">
      <c r="A1" s="102" t="s">
        <v>490</v>
      </c>
      <c r="B1" s="103"/>
      <c r="C1" s="103"/>
      <c r="D1" s="103"/>
      <c r="E1" s="103"/>
      <c r="F1" s="103"/>
      <c r="G1" s="103"/>
      <c r="H1" s="103"/>
      <c r="I1" s="103"/>
    </row>
    <row r="2" spans="1:9" ht="27.75" customHeight="1" x14ac:dyDescent="0.2">
      <c r="A2" s="1" t="s">
        <v>42</v>
      </c>
      <c r="B2" s="3" t="s">
        <v>43</v>
      </c>
      <c r="C2" s="3" t="s">
        <v>44</v>
      </c>
      <c r="D2" s="3" t="s">
        <v>45</v>
      </c>
      <c r="E2" s="3" t="s">
        <v>46</v>
      </c>
      <c r="F2" s="3" t="s">
        <v>47</v>
      </c>
      <c r="G2" s="1" t="s">
        <v>491</v>
      </c>
      <c r="H2" s="1" t="s">
        <v>492</v>
      </c>
      <c r="I2" s="1" t="s">
        <v>493</v>
      </c>
    </row>
    <row r="3" spans="1:9" ht="120" customHeight="1" x14ac:dyDescent="0.2">
      <c r="A3" s="11"/>
      <c r="B3" s="12" t="s">
        <v>622</v>
      </c>
      <c r="C3" s="100" t="s">
        <v>623</v>
      </c>
      <c r="D3" s="97" t="s">
        <v>626</v>
      </c>
      <c r="E3" s="15" t="s">
        <v>624</v>
      </c>
      <c r="F3" s="90" t="s">
        <v>625</v>
      </c>
      <c r="G3" s="17"/>
      <c r="H3" s="17">
        <v>860000</v>
      </c>
      <c r="I3" s="17">
        <v>860000</v>
      </c>
    </row>
    <row r="4" spans="1:9" ht="120" customHeight="1" x14ac:dyDescent="0.2">
      <c r="A4" s="4"/>
      <c r="B4" s="86" t="s">
        <v>627</v>
      </c>
      <c r="C4" s="31" t="s">
        <v>628</v>
      </c>
      <c r="D4" s="88" t="s">
        <v>626</v>
      </c>
      <c r="E4" s="8" t="s">
        <v>630</v>
      </c>
      <c r="F4" s="101" t="s">
        <v>629</v>
      </c>
      <c r="G4" s="10"/>
      <c r="H4" s="10">
        <v>231000</v>
      </c>
      <c r="I4" s="10">
        <v>231000</v>
      </c>
    </row>
    <row r="5" spans="1:9" ht="120" customHeight="1" x14ac:dyDescent="0.2">
      <c r="A5" s="11"/>
      <c r="B5" s="12" t="s">
        <v>619</v>
      </c>
      <c r="C5" s="18" t="s">
        <v>620</v>
      </c>
      <c r="D5" s="97" t="s">
        <v>98</v>
      </c>
      <c r="E5" s="15" t="s">
        <v>631</v>
      </c>
      <c r="F5" s="90" t="s">
        <v>607</v>
      </c>
      <c r="G5" s="17"/>
      <c r="H5" s="17">
        <v>300000</v>
      </c>
      <c r="I5" s="17">
        <v>300000</v>
      </c>
    </row>
    <row r="6" spans="1:9" ht="91.5" customHeight="1" x14ac:dyDescent="0.2">
      <c r="A6" s="4"/>
      <c r="B6" s="5"/>
      <c r="C6" s="6"/>
      <c r="D6" s="7"/>
      <c r="E6" s="8"/>
      <c r="F6" s="9"/>
      <c r="G6" s="10"/>
      <c r="H6" s="10"/>
      <c r="I6" s="10"/>
    </row>
    <row r="7" spans="1:9" ht="117.75" customHeight="1" x14ac:dyDescent="0.2">
      <c r="A7" s="11"/>
      <c r="B7" s="12"/>
      <c r="C7" s="13"/>
      <c r="D7" s="14"/>
      <c r="E7" s="15"/>
      <c r="F7" s="16"/>
      <c r="G7" s="17"/>
      <c r="H7" s="17"/>
      <c r="I7" s="17"/>
    </row>
    <row r="8" spans="1:9" ht="117.75" customHeight="1" x14ac:dyDescent="0.2">
      <c r="A8" s="4"/>
      <c r="B8" s="5"/>
      <c r="C8" s="6"/>
      <c r="D8" s="7"/>
      <c r="E8" s="8"/>
      <c r="F8" s="9"/>
      <c r="G8" s="10"/>
      <c r="H8" s="10"/>
      <c r="I8" s="10"/>
    </row>
    <row r="9" spans="1:9" ht="120" customHeight="1" x14ac:dyDescent="0.2">
      <c r="A9" s="11"/>
      <c r="B9" s="12"/>
      <c r="C9" s="13"/>
      <c r="D9" s="14"/>
      <c r="E9" s="15"/>
      <c r="F9" s="16"/>
      <c r="G9" s="17"/>
      <c r="H9" s="17"/>
      <c r="I9" s="17"/>
    </row>
    <row r="10" spans="1:9" ht="117.75" customHeight="1" x14ac:dyDescent="0.2">
      <c r="A10" s="4"/>
      <c r="B10" s="5"/>
      <c r="C10" s="6"/>
      <c r="D10" s="7"/>
      <c r="E10" s="8"/>
      <c r="F10" s="9"/>
      <c r="G10" s="10"/>
      <c r="H10" s="10"/>
      <c r="I10" s="10"/>
    </row>
    <row r="11" spans="1:9" ht="120" customHeight="1" x14ac:dyDescent="0.2">
      <c r="A11" s="11"/>
      <c r="B11" s="12"/>
      <c r="C11" s="13"/>
      <c r="D11" s="14"/>
      <c r="E11" s="15"/>
      <c r="F11" s="16"/>
      <c r="G11" s="17"/>
      <c r="H11" s="17"/>
      <c r="I11" s="17"/>
    </row>
    <row r="12" spans="1:9" ht="120" customHeight="1" x14ac:dyDescent="0.2">
      <c r="A12" s="4"/>
      <c r="B12" s="5"/>
      <c r="C12" s="6"/>
      <c r="D12" s="7"/>
      <c r="E12" s="8"/>
      <c r="F12" s="9"/>
      <c r="G12" s="10"/>
      <c r="H12" s="10"/>
      <c r="I12" s="10"/>
    </row>
    <row r="13" spans="1:9" ht="105" customHeight="1" x14ac:dyDescent="0.2">
      <c r="A13" s="11"/>
      <c r="B13" s="12"/>
      <c r="C13" s="13"/>
      <c r="D13" s="14"/>
      <c r="E13" s="15"/>
      <c r="F13" s="16"/>
      <c r="G13" s="17"/>
      <c r="H13" s="17"/>
      <c r="I13" s="17"/>
    </row>
    <row r="14" spans="1:9" ht="120" customHeight="1" x14ac:dyDescent="0.2">
      <c r="A14" s="4"/>
      <c r="B14" s="5"/>
      <c r="C14" s="6"/>
      <c r="D14" s="7"/>
      <c r="E14" s="8"/>
      <c r="F14" s="9"/>
      <c r="G14" s="10"/>
      <c r="H14" s="10"/>
      <c r="I14" s="10"/>
    </row>
    <row r="15" spans="1:9" ht="120" customHeight="1" x14ac:dyDescent="0.2">
      <c r="A15" s="11"/>
      <c r="B15" s="12"/>
      <c r="C15" s="13"/>
      <c r="D15" s="14"/>
      <c r="E15" s="15"/>
      <c r="F15" s="16"/>
      <c r="G15" s="17"/>
      <c r="H15" s="17"/>
      <c r="I15" s="17"/>
    </row>
    <row r="16" spans="1:9" ht="120" customHeight="1" x14ac:dyDescent="0.2">
      <c r="A16" s="4"/>
      <c r="B16" s="5"/>
      <c r="C16" s="6"/>
      <c r="D16" s="7"/>
      <c r="E16" s="8"/>
      <c r="F16" s="9"/>
      <c r="G16" s="10"/>
      <c r="H16" s="10"/>
      <c r="I16" s="10"/>
    </row>
    <row r="17" spans="1:9" ht="117.75" customHeight="1" x14ac:dyDescent="0.2">
      <c r="A17" s="11"/>
      <c r="B17" s="12"/>
      <c r="C17" s="13"/>
      <c r="D17" s="14"/>
      <c r="E17" s="15"/>
      <c r="F17" s="16"/>
      <c r="G17" s="17"/>
      <c r="H17" s="17"/>
      <c r="I17" s="17"/>
    </row>
    <row r="18" spans="1:9" ht="120" customHeight="1" x14ac:dyDescent="0.2">
      <c r="A18" s="4"/>
      <c r="B18" s="5"/>
      <c r="C18" s="6"/>
      <c r="D18" s="7"/>
      <c r="E18" s="8"/>
      <c r="F18" s="9"/>
      <c r="G18" s="10"/>
      <c r="H18" s="10"/>
      <c r="I18" s="10"/>
    </row>
    <row r="19" spans="1:9" ht="91.5" customHeight="1" x14ac:dyDescent="0.2">
      <c r="A19" s="11"/>
      <c r="B19" s="12"/>
      <c r="C19" s="13"/>
      <c r="D19" s="14"/>
      <c r="E19" s="15"/>
      <c r="F19" s="16"/>
      <c r="G19" s="17"/>
      <c r="H19" s="17"/>
      <c r="I19" s="17"/>
    </row>
    <row r="20" spans="1:9" ht="117.75" customHeight="1" x14ac:dyDescent="0.2">
      <c r="A20" s="4"/>
      <c r="B20" s="5"/>
      <c r="C20" s="6"/>
      <c r="D20" s="7"/>
      <c r="E20" s="8"/>
      <c r="F20" s="9"/>
      <c r="G20" s="10"/>
      <c r="H20" s="10"/>
      <c r="I20" s="10"/>
    </row>
    <row r="21" spans="1:9" ht="120" customHeight="1" x14ac:dyDescent="0.2">
      <c r="A21" s="11"/>
      <c r="B21" s="12"/>
      <c r="C21" s="13"/>
      <c r="D21" s="14"/>
      <c r="E21" s="15"/>
      <c r="F21" s="16"/>
      <c r="G21" s="17"/>
      <c r="H21" s="17"/>
      <c r="I21" s="17"/>
    </row>
    <row r="22" spans="1:9" ht="117.75" customHeight="1" x14ac:dyDescent="0.2">
      <c r="A22" s="4"/>
      <c r="B22" s="5"/>
      <c r="C22" s="6"/>
      <c r="D22" s="7"/>
      <c r="E22" s="8"/>
      <c r="F22" s="9"/>
      <c r="G22" s="10"/>
      <c r="H22" s="10"/>
      <c r="I22" s="10"/>
    </row>
    <row r="23" spans="1:9" ht="105" customHeight="1" x14ac:dyDescent="0.2">
      <c r="A23" s="11"/>
      <c r="B23" s="12"/>
      <c r="C23" s="13"/>
      <c r="D23" s="14"/>
      <c r="E23" s="15"/>
      <c r="F23" s="16"/>
      <c r="G23" s="17"/>
      <c r="H23" s="17"/>
      <c r="I23" s="17"/>
    </row>
    <row r="24" spans="1:9" ht="120" customHeight="1" x14ac:dyDescent="0.2">
      <c r="A24" s="4"/>
      <c r="B24" s="5"/>
      <c r="C24" s="6"/>
      <c r="D24" s="7"/>
      <c r="E24" s="8"/>
      <c r="F24" s="9"/>
      <c r="G24" s="10"/>
      <c r="H24" s="10"/>
      <c r="I24" s="10"/>
    </row>
    <row r="25" spans="1:9" ht="105" customHeight="1" x14ac:dyDescent="0.2">
      <c r="A25" s="11"/>
      <c r="B25" s="12"/>
      <c r="C25" s="13"/>
      <c r="D25" s="14"/>
      <c r="E25" s="15"/>
      <c r="F25" s="16"/>
      <c r="G25" s="17"/>
      <c r="H25" s="17"/>
      <c r="I25" s="17"/>
    </row>
    <row r="26" spans="1:9" ht="120" customHeight="1" x14ac:dyDescent="0.2">
      <c r="A26" s="4"/>
      <c r="B26" s="5"/>
      <c r="C26" s="6"/>
      <c r="D26" s="7"/>
      <c r="E26" s="8"/>
      <c r="F26" s="9"/>
      <c r="G26" s="10"/>
      <c r="H26" s="10"/>
      <c r="I26" s="10"/>
    </row>
    <row r="27" spans="1:9" ht="91.5" customHeight="1" x14ac:dyDescent="0.2">
      <c r="A27" s="11"/>
      <c r="B27" s="12"/>
      <c r="C27" s="13"/>
      <c r="D27" s="14"/>
      <c r="E27" s="15"/>
      <c r="F27" s="16"/>
      <c r="G27" s="17"/>
      <c r="H27" s="17"/>
      <c r="I27" s="17"/>
    </row>
    <row r="28" spans="1:9" ht="120" customHeight="1" x14ac:dyDescent="0.2">
      <c r="A28" s="4"/>
      <c r="B28" s="5"/>
      <c r="C28" s="6"/>
      <c r="D28" s="7"/>
      <c r="E28" s="8"/>
      <c r="F28" s="9"/>
      <c r="G28" s="10"/>
      <c r="H28" s="10"/>
      <c r="I28" s="10"/>
    </row>
    <row r="29" spans="1:9" ht="120" customHeight="1" x14ac:dyDescent="0.2">
      <c r="A29" s="11"/>
      <c r="B29" s="12"/>
      <c r="C29" s="13"/>
      <c r="D29" s="14"/>
      <c r="E29" s="15"/>
      <c r="F29" s="16"/>
      <c r="G29" s="17"/>
      <c r="H29" s="17"/>
      <c r="I29" s="17"/>
    </row>
    <row r="30" spans="1:9" ht="120" customHeight="1" x14ac:dyDescent="0.2">
      <c r="A30" s="4"/>
      <c r="B30" s="5"/>
      <c r="C30" s="6"/>
      <c r="D30" s="7"/>
      <c r="E30" s="8"/>
      <c r="F30" s="9"/>
      <c r="G30" s="10"/>
      <c r="H30" s="10"/>
      <c r="I30" s="10"/>
    </row>
    <row r="31" spans="1:9" ht="105" customHeight="1" x14ac:dyDescent="0.2">
      <c r="A31" s="11"/>
      <c r="B31" s="12"/>
      <c r="C31" s="13"/>
      <c r="D31" s="14"/>
      <c r="E31" s="15"/>
      <c r="F31" s="16"/>
      <c r="G31" s="17"/>
      <c r="H31" s="17"/>
      <c r="I31" s="17"/>
    </row>
    <row r="32" spans="1:9" ht="7.5" customHeight="1" x14ac:dyDescent="0.2"/>
    <row r="33" spans="1:9" ht="19.5" customHeight="1" x14ac:dyDescent="0.2">
      <c r="A33" s="32" t="e">
        <f ca="1">SUMPRODUCT((A3:A31="AMIF-UKR")*SUBTOTAL(103,OFFSET(#REF!,ROW(A3:A31)-ROW(#REF!),0)))</f>
        <v>#REF!</v>
      </c>
      <c r="B33" s="33" t="s">
        <v>501</v>
      </c>
      <c r="C33" s="34"/>
      <c r="D33" s="34"/>
      <c r="E33" s="34"/>
      <c r="F33" s="34"/>
      <c r="G33" s="35" t="e">
        <f ca="1">SUMPRODUCT((A3:A31="AMIF-UKR")*SUBTOTAL(103,OFFSET(#REF!,ROW(A3:A31)-ROW(#REF!),0))*G3:G31)</f>
        <v>#REF!</v>
      </c>
      <c r="H33" s="35" t="e">
        <f ca="1">SUMPRODUCT((A3:A31="AMIF-UKR")*SUBTOTAL(103,OFFSET(#REF!,ROW(A3:A31)-ROW(#REF!),0))*H3:H31)</f>
        <v>#REF!</v>
      </c>
      <c r="I33" s="35" t="e">
        <f ca="1">SUMPRODUCT((A3:A31="AMIF-UKR")*SUBTOTAL(103,OFFSET(#REF!,ROW(A3:A31)-ROW(#REF!),0))*I3:I31)</f>
        <v>#REF!</v>
      </c>
    </row>
    <row r="34" spans="1:9" ht="19.5" customHeight="1" x14ac:dyDescent="0.2">
      <c r="A34" s="36" t="e">
        <f ca="1">SUMPRODUCT((A3:A31="NATÜ")*SUBTOTAL(103,OFFSET(#REF!,ROW(A3:A31)-ROW(#REF!),0)))</f>
        <v>#REF!</v>
      </c>
      <c r="B34" s="37" t="s">
        <v>502</v>
      </c>
      <c r="C34" s="2"/>
      <c r="D34" s="2"/>
      <c r="E34" s="2"/>
      <c r="F34" s="2"/>
      <c r="G34" s="38" t="e">
        <f ca="1">SUMPRODUCT((A3:A31="NATÜ")*SUBTOTAL(103,OFFSET(#REF!,ROW(A3:A31)-ROW(#REF!),0))*G3:G31)</f>
        <v>#REF!</v>
      </c>
      <c r="H34" s="38" t="e">
        <f ca="1">SUMPRODUCT((A3:A31="NATÜ")*SUBTOTAL(103,OFFSET(#REF!,ROW(A3:A31)-ROW(#REF!),0))*H3:H31)</f>
        <v>#REF!</v>
      </c>
      <c r="I34" s="38" t="e">
        <f ca="1">SUMPRODUCT((A3:A31="NATÜ")*SUBTOTAL(103,OFFSET(#REF!,ROW(A3:A31)-ROW(#REF!),0))*I3:I31)</f>
        <v>#REF!</v>
      </c>
    </row>
    <row r="35" spans="1:9" ht="19.5" customHeight="1" x14ac:dyDescent="0.2">
      <c r="A35" s="23" t="e">
        <f ca="1">SUMPRODUCT((A3:A31="National")*SUBTOTAL(103,OFFSET(#REF!,ROW(A3:A31)-ROW(#REF!),0)))</f>
        <v>#REF!</v>
      </c>
      <c r="B35" s="24" t="s">
        <v>401</v>
      </c>
      <c r="C35" s="25"/>
      <c r="D35" s="25"/>
      <c r="E35" s="25"/>
      <c r="F35" s="25"/>
      <c r="G35" s="26" t="e">
        <f ca="1">SUMPRODUCT((A3:A31="National")*SUBTOTAL(103,OFFSET(#REF!,ROW(A3:A31)-ROW(#REF!),0))*G3:G31)</f>
        <v>#REF!</v>
      </c>
      <c r="H35" s="26" t="e">
        <f ca="1">SUMPRODUCT((A3:A31="National")*SUBTOTAL(103,OFFSET(#REF!,ROW(A3:A31)-ROW(#REF!),0))*H3:H31)</f>
        <v>#REF!</v>
      </c>
      <c r="I35" s="26" t="e">
        <f ca="1">SUMPRODUCT((A3:A31="National")*SUBTOTAL(103,OFFSET(#REF!,ROW(A3:A31)-ROW(#REF!),0))*I3:I31)</f>
        <v>#REF!</v>
      </c>
    </row>
    <row r="36" spans="1:9" ht="24" customHeight="1" x14ac:dyDescent="0.2">
      <c r="A36" s="27" t="e">
        <f ca="1">SUMPRODUCT(((A3:A31="AMIF")+(A3:A31="AMIF-UKR")+(A3:A31="NATÜ")+(A3:A31="National"))*SUBTOTAL(103,OFFSET(#REF!,ROW(A3:A31)-ROW(#REF!),0)))</f>
        <v>#REF!</v>
      </c>
      <c r="B36" s="28" t="s">
        <v>503</v>
      </c>
      <c r="C36" s="29"/>
      <c r="D36" s="29"/>
      <c r="E36" s="29"/>
      <c r="F36" s="29"/>
      <c r="G36" s="30">
        <f>SUBTOTAL(9,G3:G31)</f>
        <v>0</v>
      </c>
      <c r="H36" s="30">
        <f>SUBTOTAL(9,H3:H31)</f>
        <v>1391000</v>
      </c>
      <c r="I36" s="30">
        <f>SUBTOTAL(9,I3:I31)</f>
        <v>1391000</v>
      </c>
    </row>
    <row r="38" spans="1:9" x14ac:dyDescent="0.2">
      <c r="A38" s="104" t="s">
        <v>504</v>
      </c>
      <c r="B38" s="103"/>
      <c r="C38" s="103"/>
      <c r="D38" s="103"/>
      <c r="E38" s="103"/>
      <c r="F38" s="103"/>
      <c r="G38" s="103"/>
      <c r="H38" s="103"/>
      <c r="I38" s="103"/>
    </row>
  </sheetData>
  <autoFilter ref="A2:I2" xr:uid="{00000000-0009-0000-0000-000004000000}"/>
  <mergeCells count="2">
    <mergeCell ref="A1:I1"/>
    <mergeCell ref="A38:I3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61"/>
  <sheetViews>
    <sheetView zoomScaleNormal="100" workbookViewId="0">
      <pane ySplit="2" topLeftCell="A3" activePane="bottomLeft" state="frozen"/>
      <selection pane="bottomLeft" activeCell="H5" sqref="H5"/>
    </sheetView>
  </sheetViews>
  <sheetFormatPr baseColWidth="10" defaultColWidth="8.5" defaultRowHeight="15" x14ac:dyDescent="0.2"/>
  <cols>
    <col min="1" max="1" width="12" customWidth="1"/>
    <col min="2" max="3" width="34" customWidth="1"/>
    <col min="4" max="4" width="26" customWidth="1"/>
    <col min="5" max="5" width="52" customWidth="1"/>
    <col min="6" max="6" width="24" customWidth="1"/>
    <col min="7" max="9" width="16" customWidth="1"/>
  </cols>
  <sheetData>
    <row r="1" spans="1:9" ht="30" customHeight="1" x14ac:dyDescent="0.2">
      <c r="A1" s="102" t="s">
        <v>505</v>
      </c>
      <c r="B1" s="103"/>
      <c r="C1" s="103"/>
      <c r="D1" s="103"/>
      <c r="E1" s="103"/>
      <c r="F1" s="103"/>
      <c r="G1" s="103"/>
      <c r="H1" s="103"/>
      <c r="I1" s="103"/>
    </row>
    <row r="2" spans="1:9" ht="27.75" customHeight="1" x14ac:dyDescent="0.2">
      <c r="A2" s="1" t="s">
        <v>42</v>
      </c>
      <c r="B2" s="3" t="s">
        <v>43</v>
      </c>
      <c r="C2" s="3" t="s">
        <v>44</v>
      </c>
      <c r="D2" s="3" t="s">
        <v>45</v>
      </c>
      <c r="E2" s="3" t="s">
        <v>46</v>
      </c>
      <c r="F2" s="3" t="s">
        <v>47</v>
      </c>
      <c r="G2" s="1" t="s">
        <v>506</v>
      </c>
      <c r="H2" s="1" t="s">
        <v>507</v>
      </c>
      <c r="I2" s="1" t="s">
        <v>508</v>
      </c>
    </row>
    <row r="3" spans="1:9" ht="105" customHeight="1" x14ac:dyDescent="0.2">
      <c r="A3" s="11"/>
      <c r="B3" s="12" t="s">
        <v>622</v>
      </c>
      <c r="C3" s="100" t="s">
        <v>623</v>
      </c>
      <c r="D3" s="97" t="s">
        <v>626</v>
      </c>
      <c r="E3" s="15" t="s">
        <v>624</v>
      </c>
      <c r="F3" s="90" t="s">
        <v>625</v>
      </c>
      <c r="G3" s="17"/>
      <c r="H3" s="17">
        <v>860000</v>
      </c>
      <c r="I3" s="17">
        <v>860000</v>
      </c>
    </row>
    <row r="4" spans="1:9" ht="120" customHeight="1" x14ac:dyDescent="0.2">
      <c r="A4" s="4"/>
      <c r="B4" s="86" t="s">
        <v>627</v>
      </c>
      <c r="C4" s="31" t="s">
        <v>628</v>
      </c>
      <c r="D4" s="88" t="s">
        <v>626</v>
      </c>
      <c r="E4" s="8" t="s">
        <v>630</v>
      </c>
      <c r="F4" s="101" t="s">
        <v>629</v>
      </c>
      <c r="G4" s="10"/>
      <c r="H4" s="10">
        <v>231000</v>
      </c>
      <c r="I4" s="10">
        <v>231000</v>
      </c>
    </row>
    <row r="5" spans="1:9" ht="120" customHeight="1" x14ac:dyDescent="0.2">
      <c r="A5" s="11"/>
      <c r="B5" s="12" t="s">
        <v>619</v>
      </c>
      <c r="C5" s="18" t="s">
        <v>620</v>
      </c>
      <c r="D5" s="97" t="s">
        <v>98</v>
      </c>
      <c r="E5" s="15" t="s">
        <v>631</v>
      </c>
      <c r="F5" s="90" t="s">
        <v>607</v>
      </c>
      <c r="G5" s="17"/>
      <c r="H5" s="17">
        <v>300000</v>
      </c>
      <c r="I5" s="17">
        <v>300000</v>
      </c>
    </row>
    <row r="6" spans="1:9" ht="120" customHeight="1" x14ac:dyDescent="0.2">
      <c r="A6" s="11"/>
      <c r="B6" s="12"/>
      <c r="C6" s="13"/>
      <c r="D6" s="14"/>
      <c r="E6" s="15"/>
      <c r="F6" s="16"/>
      <c r="G6" s="17"/>
      <c r="H6" s="17"/>
      <c r="I6" s="17"/>
    </row>
    <row r="7" spans="1:9" ht="120" customHeight="1" x14ac:dyDescent="0.2">
      <c r="A7" s="4"/>
      <c r="B7" s="5"/>
      <c r="C7" s="6"/>
      <c r="D7" s="7"/>
      <c r="E7" s="8"/>
      <c r="F7" s="9"/>
      <c r="G7" s="10"/>
      <c r="H7" s="10"/>
      <c r="I7" s="10"/>
    </row>
    <row r="8" spans="1:9" ht="66" customHeight="1" x14ac:dyDescent="0.2">
      <c r="A8" s="11"/>
      <c r="B8" s="12"/>
      <c r="C8" s="13"/>
      <c r="D8" s="14"/>
      <c r="E8" s="15"/>
      <c r="F8" s="16"/>
      <c r="G8" s="17"/>
      <c r="H8" s="17"/>
      <c r="I8" s="17"/>
    </row>
    <row r="9" spans="1:9" ht="120" customHeight="1" x14ac:dyDescent="0.2">
      <c r="A9" s="4"/>
      <c r="B9" s="5"/>
      <c r="C9" s="6"/>
      <c r="D9" s="7"/>
      <c r="E9" s="8"/>
      <c r="F9" s="9"/>
      <c r="G9" s="10"/>
      <c r="H9" s="10"/>
      <c r="I9" s="10"/>
    </row>
    <row r="10" spans="1:9" ht="120" customHeight="1" x14ac:dyDescent="0.2">
      <c r="A10" s="11"/>
      <c r="B10" s="12"/>
      <c r="C10" s="13"/>
      <c r="D10" s="14"/>
      <c r="E10" s="15"/>
      <c r="F10" s="16"/>
      <c r="G10" s="17"/>
      <c r="H10" s="17"/>
      <c r="I10" s="17"/>
    </row>
    <row r="11" spans="1:9" ht="120" customHeight="1" x14ac:dyDescent="0.2">
      <c r="A11" s="4"/>
      <c r="B11" s="5"/>
      <c r="C11" s="6"/>
      <c r="D11" s="7"/>
      <c r="E11" s="8"/>
      <c r="F11" s="9"/>
      <c r="G11" s="10"/>
      <c r="H11" s="10"/>
      <c r="I11" s="10"/>
    </row>
    <row r="12" spans="1:9" ht="91.5" customHeight="1" x14ac:dyDescent="0.2">
      <c r="A12" s="11"/>
      <c r="B12" s="12"/>
      <c r="C12" s="13"/>
      <c r="D12" s="14"/>
      <c r="E12" s="15"/>
      <c r="F12" s="16"/>
      <c r="G12" s="17"/>
      <c r="H12" s="17"/>
      <c r="I12" s="17"/>
    </row>
    <row r="13" spans="1:9" ht="120" customHeight="1" x14ac:dyDescent="0.2">
      <c r="A13" s="4"/>
      <c r="B13" s="5"/>
      <c r="C13" s="6"/>
      <c r="D13" s="7"/>
      <c r="E13" s="8"/>
      <c r="F13" s="9"/>
      <c r="G13" s="10"/>
      <c r="H13" s="10"/>
      <c r="I13" s="10"/>
    </row>
    <row r="14" spans="1:9" ht="120" customHeight="1" x14ac:dyDescent="0.2">
      <c r="A14" s="11"/>
      <c r="B14" s="12"/>
      <c r="C14" s="13"/>
      <c r="D14" s="14"/>
      <c r="E14" s="15"/>
      <c r="F14" s="16"/>
      <c r="G14" s="17"/>
      <c r="H14" s="17"/>
      <c r="I14" s="17"/>
    </row>
    <row r="15" spans="1:9" ht="120" customHeight="1" x14ac:dyDescent="0.2">
      <c r="A15" s="4"/>
      <c r="B15" s="5"/>
      <c r="C15" s="6"/>
      <c r="D15" s="7"/>
      <c r="E15" s="8"/>
      <c r="F15" s="9"/>
      <c r="G15" s="10"/>
      <c r="H15" s="10"/>
      <c r="I15" s="10"/>
    </row>
    <row r="16" spans="1:9" ht="91.5" customHeight="1" x14ac:dyDescent="0.2">
      <c r="A16" s="11"/>
      <c r="B16" s="12"/>
      <c r="C16" s="13"/>
      <c r="D16" s="14"/>
      <c r="E16" s="15"/>
      <c r="F16" s="16"/>
      <c r="G16" s="17"/>
      <c r="H16" s="17"/>
      <c r="I16" s="17"/>
    </row>
    <row r="17" spans="1:9" ht="105" customHeight="1" x14ac:dyDescent="0.2">
      <c r="A17" s="4"/>
      <c r="B17" s="5"/>
      <c r="C17" s="6"/>
      <c r="D17" s="7"/>
      <c r="E17" s="8"/>
      <c r="F17" s="9"/>
      <c r="G17" s="10"/>
      <c r="H17" s="10"/>
      <c r="I17" s="10"/>
    </row>
    <row r="18" spans="1:9" ht="120" customHeight="1" x14ac:dyDescent="0.2">
      <c r="A18" s="11"/>
      <c r="B18" s="12"/>
      <c r="C18" s="13"/>
      <c r="D18" s="14"/>
      <c r="E18" s="15"/>
      <c r="F18" s="16"/>
      <c r="G18" s="17"/>
      <c r="H18" s="17"/>
      <c r="I18" s="17"/>
    </row>
    <row r="19" spans="1:9" ht="117.75" customHeight="1" x14ac:dyDescent="0.2">
      <c r="A19" s="4"/>
      <c r="B19" s="5"/>
      <c r="C19" s="6"/>
      <c r="D19" s="7"/>
      <c r="E19" s="8"/>
      <c r="F19" s="9"/>
      <c r="G19" s="10"/>
      <c r="H19" s="10"/>
      <c r="I19" s="10"/>
    </row>
    <row r="20" spans="1:9" ht="105" customHeight="1" x14ac:dyDescent="0.2">
      <c r="A20" s="11"/>
      <c r="B20" s="12"/>
      <c r="C20" s="13"/>
      <c r="D20" s="14"/>
      <c r="E20" s="15"/>
      <c r="F20" s="16"/>
      <c r="G20" s="17"/>
      <c r="H20" s="17"/>
      <c r="I20" s="17"/>
    </row>
    <row r="21" spans="1:9" ht="117.75" customHeight="1" x14ac:dyDescent="0.2">
      <c r="A21" s="4"/>
      <c r="B21" s="5"/>
      <c r="C21" s="6"/>
      <c r="D21" s="7"/>
      <c r="E21" s="8"/>
      <c r="F21" s="9"/>
      <c r="G21" s="10"/>
      <c r="H21" s="10"/>
      <c r="I21" s="10"/>
    </row>
    <row r="22" spans="1:9" ht="120" customHeight="1" x14ac:dyDescent="0.2">
      <c r="A22" s="11"/>
      <c r="B22" s="12"/>
      <c r="C22" s="13"/>
      <c r="D22" s="14"/>
      <c r="E22" s="15"/>
      <c r="F22" s="16"/>
      <c r="G22" s="17"/>
      <c r="H22" s="17"/>
      <c r="I22" s="17"/>
    </row>
    <row r="23" spans="1:9" ht="120" customHeight="1" x14ac:dyDescent="0.2">
      <c r="A23" s="4"/>
      <c r="B23" s="5"/>
      <c r="C23" s="6"/>
      <c r="D23" s="7"/>
      <c r="E23" s="8"/>
      <c r="F23" s="9"/>
      <c r="G23" s="10"/>
      <c r="H23" s="10"/>
      <c r="I23" s="10"/>
    </row>
    <row r="24" spans="1:9" ht="120" customHeight="1" x14ac:dyDescent="0.2">
      <c r="A24" s="11"/>
      <c r="B24" s="12"/>
      <c r="C24" s="13"/>
      <c r="D24" s="14"/>
      <c r="E24" s="15"/>
      <c r="F24" s="16"/>
      <c r="G24" s="17"/>
      <c r="H24" s="17"/>
      <c r="I24" s="17"/>
    </row>
    <row r="25" spans="1:9" ht="105" customHeight="1" x14ac:dyDescent="0.2">
      <c r="A25" s="4"/>
      <c r="B25" s="5"/>
      <c r="C25" s="6"/>
      <c r="D25" s="7"/>
      <c r="E25" s="8"/>
      <c r="F25" s="9"/>
      <c r="G25" s="10"/>
      <c r="H25" s="10"/>
      <c r="I25" s="10"/>
    </row>
    <row r="26" spans="1:9" ht="117.75" customHeight="1" x14ac:dyDescent="0.2">
      <c r="A26" s="11"/>
      <c r="B26" s="12"/>
      <c r="C26" s="13"/>
      <c r="D26" s="14"/>
      <c r="E26" s="15"/>
      <c r="F26" s="16"/>
      <c r="G26" s="17"/>
      <c r="H26" s="17"/>
      <c r="I26" s="17"/>
    </row>
    <row r="27" spans="1:9" ht="117.75" customHeight="1" x14ac:dyDescent="0.2">
      <c r="A27" s="4"/>
      <c r="B27" s="5"/>
      <c r="C27" s="6"/>
      <c r="D27" s="7"/>
      <c r="E27" s="8"/>
      <c r="F27" s="9"/>
      <c r="G27" s="10"/>
      <c r="H27" s="10"/>
      <c r="I27" s="10"/>
    </row>
    <row r="28" spans="1:9" ht="91.5" customHeight="1" x14ac:dyDescent="0.2">
      <c r="A28" s="11"/>
      <c r="B28" s="12"/>
      <c r="C28" s="13"/>
      <c r="D28" s="14"/>
      <c r="E28" s="15"/>
      <c r="F28" s="16"/>
      <c r="G28" s="17"/>
      <c r="H28" s="17"/>
      <c r="I28" s="17"/>
    </row>
    <row r="29" spans="1:9" ht="117.75" customHeight="1" x14ac:dyDescent="0.2">
      <c r="A29" s="4"/>
      <c r="B29" s="5"/>
      <c r="C29" s="6"/>
      <c r="D29" s="7"/>
      <c r="E29" s="8"/>
      <c r="F29" s="9"/>
      <c r="G29" s="10"/>
      <c r="H29" s="10"/>
      <c r="I29" s="10"/>
    </row>
    <row r="30" spans="1:9" ht="117.75" customHeight="1" x14ac:dyDescent="0.2">
      <c r="A30" s="11"/>
      <c r="B30" s="12"/>
      <c r="C30" s="13"/>
      <c r="D30" s="14"/>
      <c r="E30" s="15"/>
      <c r="F30" s="16"/>
      <c r="G30" s="17"/>
      <c r="H30" s="17"/>
      <c r="I30" s="17"/>
    </row>
    <row r="31" spans="1:9" ht="120" customHeight="1" x14ac:dyDescent="0.2">
      <c r="A31" s="4"/>
      <c r="B31" s="5"/>
      <c r="C31" s="6"/>
      <c r="D31" s="7"/>
      <c r="E31" s="8"/>
      <c r="F31" s="9"/>
      <c r="G31" s="10"/>
      <c r="H31" s="10"/>
      <c r="I31" s="10"/>
    </row>
    <row r="32" spans="1:9" ht="52.5" customHeight="1" x14ac:dyDescent="0.2">
      <c r="A32" s="11"/>
      <c r="B32" s="12"/>
      <c r="C32" s="13"/>
      <c r="D32" s="14"/>
      <c r="E32" s="15"/>
      <c r="F32" s="16"/>
      <c r="G32" s="17"/>
      <c r="H32" s="17"/>
      <c r="I32" s="17"/>
    </row>
    <row r="33" spans="1:9" ht="120" customHeight="1" x14ac:dyDescent="0.2">
      <c r="A33" s="4"/>
      <c r="B33" s="5"/>
      <c r="C33" s="6"/>
      <c r="D33" s="7"/>
      <c r="E33" s="8"/>
      <c r="F33" s="9"/>
      <c r="G33" s="10"/>
      <c r="H33" s="10"/>
      <c r="I33" s="10"/>
    </row>
    <row r="34" spans="1:9" ht="120" customHeight="1" x14ac:dyDescent="0.2">
      <c r="A34" s="11"/>
      <c r="B34" s="12"/>
      <c r="C34" s="13"/>
      <c r="D34" s="14"/>
      <c r="E34" s="15"/>
      <c r="F34" s="16"/>
      <c r="G34" s="17"/>
      <c r="H34" s="17"/>
      <c r="I34" s="17"/>
    </row>
    <row r="35" spans="1:9" ht="117.75" customHeight="1" x14ac:dyDescent="0.2">
      <c r="A35" s="4"/>
      <c r="B35" s="5"/>
      <c r="C35" s="6"/>
      <c r="D35" s="7"/>
      <c r="E35" s="8"/>
      <c r="F35" s="9"/>
      <c r="G35" s="10"/>
      <c r="H35" s="10"/>
      <c r="I35" s="10"/>
    </row>
    <row r="36" spans="1:9" ht="120" customHeight="1" x14ac:dyDescent="0.2">
      <c r="A36" s="11"/>
      <c r="B36" s="12"/>
      <c r="C36" s="13"/>
      <c r="D36" s="14"/>
      <c r="E36" s="15"/>
      <c r="F36" s="16"/>
      <c r="G36" s="17"/>
      <c r="H36" s="17"/>
      <c r="I36" s="17"/>
    </row>
    <row r="37" spans="1:9" ht="120" customHeight="1" x14ac:dyDescent="0.2">
      <c r="A37" s="4"/>
      <c r="B37" s="5"/>
      <c r="C37" s="6"/>
      <c r="D37" s="7"/>
      <c r="E37" s="8"/>
      <c r="F37" s="9"/>
      <c r="G37" s="10"/>
      <c r="H37" s="10"/>
      <c r="I37" s="10"/>
    </row>
    <row r="38" spans="1:9" ht="120" customHeight="1" x14ac:dyDescent="0.2">
      <c r="A38" s="11"/>
      <c r="B38" s="12"/>
      <c r="C38" s="13"/>
      <c r="D38" s="14"/>
      <c r="E38" s="15"/>
      <c r="F38" s="16"/>
      <c r="G38" s="17"/>
      <c r="H38" s="17"/>
      <c r="I38" s="17"/>
    </row>
    <row r="39" spans="1:9" ht="120" customHeight="1" x14ac:dyDescent="0.2">
      <c r="A39" s="4"/>
      <c r="B39" s="5"/>
      <c r="C39" s="6"/>
      <c r="D39" s="7"/>
      <c r="E39" s="8"/>
      <c r="F39" s="9"/>
      <c r="G39" s="10"/>
      <c r="H39" s="10"/>
      <c r="I39" s="10"/>
    </row>
    <row r="40" spans="1:9" ht="120" customHeight="1" x14ac:dyDescent="0.2">
      <c r="A40" s="11"/>
      <c r="B40" s="12"/>
      <c r="C40" s="13"/>
      <c r="D40" s="14"/>
      <c r="E40" s="15"/>
      <c r="F40" s="16"/>
      <c r="G40" s="17"/>
      <c r="H40" s="17"/>
      <c r="I40" s="17"/>
    </row>
    <row r="41" spans="1:9" ht="117.75" customHeight="1" x14ac:dyDescent="0.2">
      <c r="A41" s="4"/>
      <c r="B41" s="5"/>
      <c r="C41" s="6"/>
      <c r="D41" s="7"/>
      <c r="E41" s="8"/>
      <c r="F41" s="9"/>
      <c r="G41" s="10"/>
      <c r="H41" s="10"/>
      <c r="I41" s="10"/>
    </row>
    <row r="42" spans="1:9" ht="117.75" customHeight="1" x14ac:dyDescent="0.2">
      <c r="A42" s="11"/>
      <c r="B42" s="12"/>
      <c r="C42" s="13"/>
      <c r="D42" s="14"/>
      <c r="E42" s="15"/>
      <c r="F42" s="16"/>
      <c r="G42" s="17"/>
      <c r="H42" s="17"/>
      <c r="I42" s="17"/>
    </row>
    <row r="43" spans="1:9" ht="105" customHeight="1" x14ac:dyDescent="0.2">
      <c r="A43" s="4"/>
      <c r="B43" s="5"/>
      <c r="C43" s="6"/>
      <c r="D43" s="7"/>
      <c r="E43" s="8"/>
      <c r="F43" s="9"/>
      <c r="G43" s="10"/>
      <c r="H43" s="10"/>
      <c r="I43" s="10"/>
    </row>
    <row r="44" spans="1:9" ht="52.5" customHeight="1" x14ac:dyDescent="0.2">
      <c r="A44" s="11"/>
      <c r="B44" s="12"/>
      <c r="C44" s="13"/>
      <c r="D44" s="14"/>
      <c r="E44" s="15"/>
      <c r="F44" s="16"/>
      <c r="G44" s="17"/>
      <c r="H44" s="17"/>
      <c r="I44" s="17"/>
    </row>
    <row r="45" spans="1:9" ht="120" customHeight="1" x14ac:dyDescent="0.2">
      <c r="A45" s="4"/>
      <c r="B45" s="5"/>
      <c r="C45" s="6"/>
      <c r="D45" s="7"/>
      <c r="E45" s="8"/>
      <c r="F45" s="9"/>
      <c r="G45" s="10"/>
      <c r="H45" s="10"/>
      <c r="I45" s="10"/>
    </row>
    <row r="46" spans="1:9" ht="117.75" customHeight="1" x14ac:dyDescent="0.2">
      <c r="A46" s="11"/>
      <c r="B46" s="12"/>
      <c r="C46" s="13"/>
      <c r="D46" s="14"/>
      <c r="E46" s="15"/>
      <c r="F46" s="16"/>
      <c r="G46" s="17"/>
      <c r="H46" s="17"/>
      <c r="I46" s="17"/>
    </row>
    <row r="47" spans="1:9" ht="105" customHeight="1" x14ac:dyDescent="0.2">
      <c r="A47" s="4"/>
      <c r="B47" s="5"/>
      <c r="C47" s="6"/>
      <c r="D47" s="7"/>
      <c r="E47" s="8"/>
      <c r="F47" s="9"/>
      <c r="G47" s="10"/>
      <c r="H47" s="10"/>
      <c r="I47" s="10"/>
    </row>
    <row r="48" spans="1:9" ht="105" customHeight="1" x14ac:dyDescent="0.2">
      <c r="A48" s="11"/>
      <c r="B48" s="12"/>
      <c r="C48" s="13"/>
      <c r="D48" s="14"/>
      <c r="E48" s="15"/>
      <c r="F48" s="16"/>
      <c r="G48" s="17"/>
      <c r="H48" s="17"/>
      <c r="I48" s="17"/>
    </row>
    <row r="49" spans="1:9" ht="105" customHeight="1" x14ac:dyDescent="0.2">
      <c r="A49" s="4"/>
      <c r="B49" s="5"/>
      <c r="C49" s="6"/>
      <c r="D49" s="7"/>
      <c r="E49" s="8"/>
      <c r="F49" s="9"/>
      <c r="G49" s="10"/>
      <c r="H49" s="10"/>
      <c r="I49" s="10"/>
    </row>
    <row r="50" spans="1:9" ht="120" customHeight="1" x14ac:dyDescent="0.2">
      <c r="A50" s="11"/>
      <c r="B50" s="12"/>
      <c r="C50" s="13"/>
      <c r="D50" s="14"/>
      <c r="E50" s="15"/>
      <c r="F50" s="16"/>
      <c r="G50" s="17"/>
      <c r="H50" s="17"/>
      <c r="I50" s="17"/>
    </row>
    <row r="51" spans="1:9" ht="117.75" customHeight="1" x14ac:dyDescent="0.2">
      <c r="A51" s="4"/>
      <c r="B51" s="5"/>
      <c r="C51" s="6"/>
      <c r="D51" s="7"/>
      <c r="E51" s="8"/>
      <c r="F51" s="9"/>
      <c r="G51" s="10"/>
      <c r="H51" s="10"/>
      <c r="I51" s="10"/>
    </row>
    <row r="52" spans="1:9" ht="120" customHeight="1" x14ac:dyDescent="0.2">
      <c r="A52" s="11"/>
      <c r="B52" s="12"/>
      <c r="C52" s="13"/>
      <c r="D52" s="14"/>
      <c r="E52" s="15"/>
      <c r="F52" s="16"/>
      <c r="G52" s="17"/>
      <c r="H52" s="17"/>
      <c r="I52" s="17"/>
    </row>
    <row r="53" spans="1:9" ht="120" customHeight="1" x14ac:dyDescent="0.2">
      <c r="A53" s="4"/>
      <c r="B53" s="5"/>
      <c r="C53" s="6"/>
      <c r="D53" s="7"/>
      <c r="E53" s="8"/>
      <c r="F53" s="9"/>
      <c r="G53" s="10"/>
      <c r="H53" s="10"/>
      <c r="I53" s="10"/>
    </row>
    <row r="54" spans="1:9" ht="117.75" customHeight="1" x14ac:dyDescent="0.2">
      <c r="A54" s="11"/>
      <c r="B54" s="39"/>
      <c r="C54" s="13"/>
      <c r="D54" s="14"/>
      <c r="E54" s="15"/>
      <c r="F54" s="16"/>
      <c r="G54" s="17"/>
      <c r="H54" s="17"/>
      <c r="I54" s="17"/>
    </row>
    <row r="55" spans="1:9" ht="120" customHeight="1" x14ac:dyDescent="0.2">
      <c r="A55" s="4"/>
      <c r="B55" s="5"/>
      <c r="C55" s="6"/>
      <c r="D55" s="7"/>
      <c r="E55" s="8"/>
      <c r="F55" s="9"/>
      <c r="G55" s="10"/>
      <c r="H55" s="10"/>
      <c r="I55" s="10"/>
    </row>
    <row r="56" spans="1:9" ht="120" customHeight="1" x14ac:dyDescent="0.2">
      <c r="A56" s="11"/>
      <c r="B56" s="12"/>
      <c r="C56" s="13"/>
      <c r="D56" s="14"/>
      <c r="E56" s="15"/>
      <c r="F56" s="16"/>
      <c r="G56" s="17"/>
      <c r="H56" s="17"/>
      <c r="I56" s="17"/>
    </row>
    <row r="57" spans="1:9" ht="120" customHeight="1" x14ac:dyDescent="0.2">
      <c r="A57" s="4"/>
      <c r="B57" s="5"/>
      <c r="C57" s="31"/>
      <c r="D57" s="7"/>
      <c r="E57" s="8"/>
      <c r="F57" s="9"/>
      <c r="G57" s="10"/>
      <c r="H57" s="10"/>
      <c r="I57" s="10"/>
    </row>
    <row r="58" spans="1:9" ht="105" customHeight="1" x14ac:dyDescent="0.2">
      <c r="A58" s="11"/>
      <c r="B58" s="12"/>
      <c r="C58" s="13"/>
      <c r="D58" s="14"/>
      <c r="E58" s="15"/>
      <c r="F58" s="16"/>
      <c r="G58" s="17"/>
      <c r="H58" s="17"/>
      <c r="I58" s="17"/>
    </row>
    <row r="59" spans="1:9" ht="78.75" customHeight="1" x14ac:dyDescent="0.2">
      <c r="A59" s="4"/>
      <c r="B59" s="5"/>
      <c r="C59" s="6"/>
      <c r="D59" s="7"/>
      <c r="E59" s="8"/>
      <c r="F59" s="9"/>
      <c r="G59" s="10"/>
      <c r="H59" s="10"/>
      <c r="I59" s="10"/>
    </row>
    <row r="60" spans="1:9" ht="120" customHeight="1" x14ac:dyDescent="0.2">
      <c r="A60" s="11"/>
      <c r="B60" s="12"/>
      <c r="C60" s="13"/>
      <c r="D60" s="14"/>
      <c r="E60" s="15"/>
      <c r="F60" s="16"/>
      <c r="G60" s="17"/>
      <c r="H60" s="17"/>
      <c r="I60" s="17"/>
    </row>
    <row r="61" spans="1:9" ht="120" customHeight="1" x14ac:dyDescent="0.2">
      <c r="A61" s="4"/>
      <c r="B61" s="5"/>
      <c r="C61" s="6"/>
      <c r="D61" s="7"/>
      <c r="E61" s="8"/>
      <c r="F61" s="9"/>
      <c r="G61" s="10"/>
      <c r="H61" s="10"/>
      <c r="I61" s="10"/>
    </row>
    <row r="62" spans="1:9" ht="120" customHeight="1" x14ac:dyDescent="0.2">
      <c r="A62" s="11"/>
      <c r="B62" s="12"/>
      <c r="C62" s="13"/>
      <c r="D62" s="14"/>
      <c r="E62" s="15"/>
      <c r="F62" s="16"/>
      <c r="G62" s="17"/>
      <c r="H62" s="17"/>
      <c r="I62" s="17"/>
    </row>
    <row r="63" spans="1:9" ht="105" customHeight="1" x14ac:dyDescent="0.2">
      <c r="A63" s="4"/>
      <c r="B63" s="5"/>
      <c r="C63" s="6"/>
      <c r="D63" s="7"/>
      <c r="E63" s="8"/>
      <c r="F63" s="9"/>
      <c r="G63" s="10"/>
      <c r="H63" s="10"/>
      <c r="I63" s="10"/>
    </row>
    <row r="64" spans="1:9" ht="120" customHeight="1" x14ac:dyDescent="0.2">
      <c r="A64" s="11"/>
      <c r="B64" s="12"/>
      <c r="C64" s="13"/>
      <c r="D64" s="14"/>
      <c r="E64" s="15"/>
      <c r="F64" s="16"/>
      <c r="G64" s="17"/>
      <c r="H64" s="17"/>
      <c r="I64" s="17"/>
    </row>
    <row r="65" spans="1:9" ht="66" customHeight="1" x14ac:dyDescent="0.2">
      <c r="A65" s="4"/>
      <c r="B65" s="5"/>
      <c r="C65" s="6"/>
      <c r="D65" s="7"/>
      <c r="E65" s="8"/>
      <c r="F65" s="9"/>
      <c r="G65" s="10"/>
      <c r="H65" s="10"/>
      <c r="I65" s="10"/>
    </row>
    <row r="66" spans="1:9" ht="120" customHeight="1" x14ac:dyDescent="0.2">
      <c r="A66" s="11"/>
      <c r="B66" s="12"/>
      <c r="C66" s="13"/>
      <c r="D66" s="14"/>
      <c r="E66" s="15"/>
      <c r="F66" s="16"/>
      <c r="G66" s="17"/>
      <c r="H66" s="17"/>
      <c r="I66" s="17"/>
    </row>
    <row r="67" spans="1:9" ht="78.75" customHeight="1" x14ac:dyDescent="0.2">
      <c r="A67" s="4"/>
      <c r="B67" s="5"/>
      <c r="C67" s="6"/>
      <c r="D67" s="7"/>
      <c r="E67" s="8"/>
      <c r="F67" s="9"/>
      <c r="G67" s="10"/>
      <c r="H67" s="10"/>
      <c r="I67" s="10"/>
    </row>
    <row r="68" spans="1:9" ht="120" customHeight="1" x14ac:dyDescent="0.2">
      <c r="A68" s="11"/>
      <c r="B68" s="12"/>
      <c r="C68" s="13"/>
      <c r="D68" s="14"/>
      <c r="E68" s="15"/>
      <c r="F68" s="16"/>
      <c r="G68" s="17"/>
      <c r="H68" s="17"/>
      <c r="I68" s="17"/>
    </row>
    <row r="69" spans="1:9" ht="120" customHeight="1" x14ac:dyDescent="0.2">
      <c r="A69" s="4"/>
      <c r="B69" s="5"/>
      <c r="C69" s="6"/>
      <c r="D69" s="7"/>
      <c r="E69" s="8"/>
      <c r="F69" s="9"/>
      <c r="G69" s="10"/>
      <c r="H69" s="10"/>
      <c r="I69" s="10"/>
    </row>
    <row r="70" spans="1:9" ht="105" customHeight="1" x14ac:dyDescent="0.2">
      <c r="A70" s="11"/>
      <c r="B70" s="12"/>
      <c r="C70" s="13"/>
      <c r="D70" s="14"/>
      <c r="E70" s="15"/>
      <c r="F70" s="16"/>
      <c r="G70" s="17"/>
      <c r="H70" s="17"/>
      <c r="I70" s="17"/>
    </row>
    <row r="71" spans="1:9" ht="120" customHeight="1" x14ac:dyDescent="0.2">
      <c r="A71" s="4"/>
      <c r="B71" s="5"/>
      <c r="C71" s="6"/>
      <c r="D71" s="7"/>
      <c r="E71" s="8"/>
      <c r="F71" s="9"/>
      <c r="G71" s="10"/>
      <c r="H71" s="10"/>
      <c r="I71" s="10"/>
    </row>
    <row r="72" spans="1:9" ht="91.5" customHeight="1" x14ac:dyDescent="0.2">
      <c r="A72" s="11"/>
      <c r="B72" s="12"/>
      <c r="C72" s="13"/>
      <c r="D72" s="14"/>
      <c r="E72" s="15"/>
      <c r="F72" s="16"/>
      <c r="G72" s="17"/>
      <c r="H72" s="17"/>
      <c r="I72" s="17"/>
    </row>
    <row r="73" spans="1:9" ht="120" customHeight="1" x14ac:dyDescent="0.2">
      <c r="A73" s="4"/>
      <c r="B73" s="5"/>
      <c r="C73" s="6"/>
      <c r="D73" s="7"/>
      <c r="E73" s="8"/>
      <c r="F73" s="9"/>
      <c r="G73" s="10"/>
      <c r="H73" s="10"/>
      <c r="I73" s="10"/>
    </row>
    <row r="74" spans="1:9" ht="120" customHeight="1" x14ac:dyDescent="0.2">
      <c r="A74" s="11"/>
      <c r="B74" s="12"/>
      <c r="C74" s="13"/>
      <c r="D74" s="14"/>
      <c r="E74" s="15"/>
      <c r="F74" s="16"/>
      <c r="G74" s="17"/>
      <c r="H74" s="17"/>
      <c r="I74" s="17"/>
    </row>
    <row r="75" spans="1:9" ht="120" customHeight="1" x14ac:dyDescent="0.2">
      <c r="A75" s="4"/>
      <c r="B75" s="5"/>
      <c r="C75" s="6"/>
      <c r="D75" s="7"/>
      <c r="E75" s="8"/>
      <c r="F75" s="9"/>
      <c r="G75" s="10"/>
      <c r="H75" s="10"/>
      <c r="I75" s="10"/>
    </row>
    <row r="76" spans="1:9" ht="105" customHeight="1" x14ac:dyDescent="0.2">
      <c r="A76" s="11"/>
      <c r="B76" s="12"/>
      <c r="C76" s="13"/>
      <c r="D76" s="14"/>
      <c r="E76" s="15"/>
      <c r="F76" s="16"/>
      <c r="G76" s="17"/>
      <c r="H76" s="17"/>
      <c r="I76" s="17"/>
    </row>
    <row r="77" spans="1:9" ht="105" customHeight="1" x14ac:dyDescent="0.2">
      <c r="A77" s="4"/>
      <c r="B77" s="5"/>
      <c r="C77" s="6"/>
      <c r="D77" s="7"/>
      <c r="E77" s="8"/>
      <c r="F77" s="9"/>
      <c r="G77" s="10"/>
      <c r="H77" s="10"/>
      <c r="I77" s="10"/>
    </row>
    <row r="78" spans="1:9" ht="105" customHeight="1" x14ac:dyDescent="0.2">
      <c r="A78" s="11"/>
      <c r="B78" s="12"/>
      <c r="C78" s="13"/>
      <c r="D78" s="14"/>
      <c r="E78" s="15"/>
      <c r="F78" s="16"/>
      <c r="G78" s="17"/>
      <c r="H78" s="17"/>
      <c r="I78" s="17"/>
    </row>
    <row r="79" spans="1:9" ht="117.75" customHeight="1" x14ac:dyDescent="0.2">
      <c r="A79" s="4"/>
      <c r="B79" s="5"/>
      <c r="C79" s="6"/>
      <c r="D79" s="7"/>
      <c r="E79" s="8"/>
      <c r="F79" s="9"/>
      <c r="G79" s="10"/>
      <c r="H79" s="10"/>
      <c r="I79" s="10"/>
    </row>
    <row r="80" spans="1:9" ht="117.75" customHeight="1" x14ac:dyDescent="0.2">
      <c r="A80" s="11"/>
      <c r="B80" s="12"/>
      <c r="C80" s="13"/>
      <c r="D80" s="14"/>
      <c r="E80" s="15"/>
      <c r="F80" s="16"/>
      <c r="G80" s="17"/>
      <c r="H80" s="17"/>
      <c r="I80" s="17"/>
    </row>
    <row r="81" spans="1:9" ht="120" customHeight="1" x14ac:dyDescent="0.2">
      <c r="A81" s="4"/>
      <c r="B81" s="5"/>
      <c r="C81" s="6"/>
      <c r="D81" s="7"/>
      <c r="E81" s="8"/>
      <c r="F81" s="9"/>
      <c r="G81" s="10"/>
      <c r="H81" s="10"/>
      <c r="I81" s="10"/>
    </row>
    <row r="82" spans="1:9" ht="120" customHeight="1" x14ac:dyDescent="0.2">
      <c r="A82" s="11"/>
      <c r="B82" s="12"/>
      <c r="C82" s="13"/>
      <c r="D82" s="14"/>
      <c r="E82" s="15"/>
      <c r="F82" s="16"/>
      <c r="G82" s="17"/>
      <c r="H82" s="17"/>
      <c r="I82" s="17"/>
    </row>
    <row r="83" spans="1:9" ht="91.5" customHeight="1" x14ac:dyDescent="0.2">
      <c r="A83" s="4"/>
      <c r="B83" s="5"/>
      <c r="C83" s="6"/>
      <c r="D83" s="7"/>
      <c r="E83" s="8"/>
      <c r="F83" s="9"/>
      <c r="G83" s="10"/>
      <c r="H83" s="10"/>
      <c r="I83" s="10"/>
    </row>
    <row r="84" spans="1:9" ht="120" customHeight="1" x14ac:dyDescent="0.2">
      <c r="A84" s="11"/>
      <c r="B84" s="12"/>
      <c r="C84" s="13"/>
      <c r="D84" s="14"/>
      <c r="E84" s="15"/>
      <c r="F84" s="16"/>
      <c r="G84" s="17"/>
      <c r="H84" s="17"/>
      <c r="I84" s="17"/>
    </row>
    <row r="85" spans="1:9" ht="120" customHeight="1" x14ac:dyDescent="0.2">
      <c r="A85" s="4"/>
      <c r="B85" s="5"/>
      <c r="C85" s="6"/>
      <c r="D85" s="7"/>
      <c r="E85" s="8"/>
      <c r="F85" s="9"/>
      <c r="G85" s="10"/>
      <c r="H85" s="10"/>
      <c r="I85" s="10"/>
    </row>
    <row r="86" spans="1:9" ht="120" customHeight="1" x14ac:dyDescent="0.2">
      <c r="A86" s="11"/>
      <c r="B86" s="12"/>
      <c r="C86" s="13"/>
      <c r="D86" s="14"/>
      <c r="E86" s="15"/>
      <c r="F86" s="16"/>
      <c r="G86" s="17"/>
      <c r="H86" s="17"/>
      <c r="I86" s="17"/>
    </row>
    <row r="87" spans="1:9" ht="91.5" customHeight="1" x14ac:dyDescent="0.2">
      <c r="A87" s="4"/>
      <c r="B87" s="5"/>
      <c r="C87" s="6"/>
      <c r="D87" s="7"/>
      <c r="E87" s="8"/>
      <c r="F87" s="9"/>
      <c r="G87" s="10"/>
      <c r="H87" s="10"/>
      <c r="I87" s="10"/>
    </row>
    <row r="88" spans="1:9" ht="120" customHeight="1" x14ac:dyDescent="0.2">
      <c r="A88" s="11"/>
      <c r="B88" s="12"/>
      <c r="C88" s="13"/>
      <c r="D88" s="14"/>
      <c r="E88" s="15"/>
      <c r="F88" s="16"/>
      <c r="G88" s="17"/>
      <c r="H88" s="17"/>
      <c r="I88" s="17"/>
    </row>
    <row r="89" spans="1:9" ht="120" customHeight="1" x14ac:dyDescent="0.2">
      <c r="A89" s="4"/>
      <c r="B89" s="5"/>
      <c r="C89" s="6"/>
      <c r="D89" s="7"/>
      <c r="E89" s="8"/>
      <c r="F89" s="9"/>
      <c r="G89" s="10"/>
      <c r="H89" s="10"/>
      <c r="I89" s="10"/>
    </row>
    <row r="90" spans="1:9" ht="91.5" customHeight="1" x14ac:dyDescent="0.2">
      <c r="A90" s="11"/>
      <c r="B90" s="12"/>
      <c r="C90" s="13"/>
      <c r="D90" s="14"/>
      <c r="E90" s="15"/>
      <c r="F90" s="16"/>
      <c r="G90" s="17"/>
      <c r="H90" s="17"/>
      <c r="I90" s="17"/>
    </row>
    <row r="91" spans="1:9" ht="120" customHeight="1" x14ac:dyDescent="0.2">
      <c r="A91" s="4"/>
      <c r="B91" s="5"/>
      <c r="C91" s="6"/>
      <c r="D91" s="7"/>
      <c r="E91" s="8"/>
      <c r="F91" s="9"/>
      <c r="G91" s="10"/>
      <c r="H91" s="10"/>
      <c r="I91" s="10"/>
    </row>
    <row r="92" spans="1:9" ht="120" customHeight="1" x14ac:dyDescent="0.2">
      <c r="A92" s="11"/>
      <c r="B92" s="12"/>
      <c r="C92" s="13"/>
      <c r="D92" s="14"/>
      <c r="E92" s="15"/>
      <c r="F92" s="16"/>
      <c r="G92" s="17"/>
      <c r="H92" s="17"/>
      <c r="I92" s="17"/>
    </row>
    <row r="93" spans="1:9" ht="120" customHeight="1" x14ac:dyDescent="0.2">
      <c r="A93" s="4"/>
      <c r="B93" s="5"/>
      <c r="C93" s="6"/>
      <c r="D93" s="7"/>
      <c r="E93" s="8"/>
      <c r="F93" s="9"/>
      <c r="G93" s="10"/>
      <c r="H93" s="10"/>
      <c r="I93" s="10"/>
    </row>
    <row r="94" spans="1:9" ht="91.5" customHeight="1" x14ac:dyDescent="0.2">
      <c r="A94" s="11"/>
      <c r="B94" s="12"/>
      <c r="C94" s="13"/>
      <c r="D94" s="14"/>
      <c r="E94" s="15"/>
      <c r="F94" s="16"/>
      <c r="G94" s="17"/>
      <c r="H94" s="17"/>
      <c r="I94" s="17"/>
    </row>
    <row r="95" spans="1:9" ht="120" customHeight="1" x14ac:dyDescent="0.2">
      <c r="A95" s="4"/>
      <c r="B95" s="5"/>
      <c r="C95" s="6"/>
      <c r="D95" s="7"/>
      <c r="E95" s="8"/>
      <c r="F95" s="9"/>
      <c r="G95" s="10"/>
      <c r="H95" s="10"/>
      <c r="I95" s="10"/>
    </row>
    <row r="96" spans="1:9" ht="105" customHeight="1" x14ac:dyDescent="0.2">
      <c r="A96" s="11"/>
      <c r="B96" s="12"/>
      <c r="C96" s="13"/>
      <c r="D96" s="14"/>
      <c r="E96" s="15"/>
      <c r="F96" s="16"/>
      <c r="G96" s="17"/>
      <c r="H96" s="17"/>
      <c r="I96" s="17"/>
    </row>
    <row r="97" spans="1:9" ht="117.75" customHeight="1" x14ac:dyDescent="0.2">
      <c r="A97" s="4"/>
      <c r="B97" s="5"/>
      <c r="C97" s="6"/>
      <c r="D97" s="7"/>
      <c r="E97" s="8"/>
      <c r="F97" s="9"/>
      <c r="G97" s="10"/>
      <c r="H97" s="10"/>
      <c r="I97" s="10"/>
    </row>
    <row r="98" spans="1:9" ht="117.75" customHeight="1" x14ac:dyDescent="0.2">
      <c r="A98" s="11"/>
      <c r="B98" s="12"/>
      <c r="C98" s="13"/>
      <c r="D98" s="14"/>
      <c r="E98" s="15"/>
      <c r="F98" s="16"/>
      <c r="G98" s="17"/>
      <c r="H98" s="17"/>
      <c r="I98" s="17"/>
    </row>
    <row r="99" spans="1:9" ht="105" customHeight="1" x14ac:dyDescent="0.2">
      <c r="A99" s="4"/>
      <c r="B99" s="5"/>
      <c r="C99" s="6"/>
      <c r="D99" s="7"/>
      <c r="E99" s="8"/>
      <c r="F99" s="9"/>
      <c r="G99" s="10"/>
      <c r="H99" s="10"/>
      <c r="I99" s="10"/>
    </row>
    <row r="100" spans="1:9" ht="117.75" customHeight="1" x14ac:dyDescent="0.2">
      <c r="A100" s="11"/>
      <c r="B100" s="12"/>
      <c r="C100" s="13"/>
      <c r="D100" s="14"/>
      <c r="E100" s="15"/>
      <c r="F100" s="16"/>
      <c r="G100" s="17"/>
      <c r="H100" s="17"/>
      <c r="I100" s="17"/>
    </row>
    <row r="101" spans="1:9" ht="117.75" customHeight="1" x14ac:dyDescent="0.2">
      <c r="A101" s="4"/>
      <c r="B101" s="5"/>
      <c r="C101" s="6"/>
      <c r="D101" s="7"/>
      <c r="E101" s="8"/>
      <c r="F101" s="9"/>
      <c r="G101" s="10"/>
      <c r="H101" s="10"/>
      <c r="I101" s="10"/>
    </row>
    <row r="102" spans="1:9" ht="105" customHeight="1" x14ac:dyDescent="0.2">
      <c r="A102" s="11"/>
      <c r="B102" s="12"/>
      <c r="C102" s="13"/>
      <c r="D102" s="14"/>
      <c r="E102" s="15"/>
      <c r="F102" s="16"/>
      <c r="G102" s="17"/>
      <c r="H102" s="17"/>
      <c r="I102" s="17"/>
    </row>
    <row r="103" spans="1:9" ht="120" customHeight="1" x14ac:dyDescent="0.2">
      <c r="A103" s="4"/>
      <c r="B103" s="5"/>
      <c r="C103" s="6"/>
      <c r="D103" s="7"/>
      <c r="E103" s="8"/>
      <c r="F103" s="9"/>
      <c r="G103" s="10"/>
      <c r="H103" s="10"/>
      <c r="I103" s="10"/>
    </row>
    <row r="104" spans="1:9" ht="120" customHeight="1" x14ac:dyDescent="0.2">
      <c r="A104" s="11"/>
      <c r="B104" s="12"/>
      <c r="C104" s="13"/>
      <c r="D104" s="14"/>
      <c r="E104" s="15"/>
      <c r="F104" s="16"/>
      <c r="G104" s="17"/>
      <c r="H104" s="17"/>
      <c r="I104" s="17"/>
    </row>
    <row r="105" spans="1:9" ht="120" customHeight="1" x14ac:dyDescent="0.2">
      <c r="A105" s="4"/>
      <c r="B105" s="5"/>
      <c r="C105" s="6"/>
      <c r="D105" s="7"/>
      <c r="E105" s="8"/>
      <c r="F105" s="9"/>
      <c r="G105" s="10"/>
      <c r="H105" s="10"/>
      <c r="I105" s="10"/>
    </row>
    <row r="106" spans="1:9" ht="120" customHeight="1" x14ac:dyDescent="0.2">
      <c r="A106" s="11"/>
      <c r="B106" s="12"/>
      <c r="C106" s="13"/>
      <c r="D106" s="14"/>
      <c r="E106" s="15"/>
      <c r="F106" s="16"/>
      <c r="G106" s="17"/>
      <c r="H106" s="17"/>
      <c r="I106" s="17"/>
    </row>
    <row r="107" spans="1:9" ht="117.75" customHeight="1" x14ac:dyDescent="0.2">
      <c r="A107" s="4"/>
      <c r="B107" s="5"/>
      <c r="C107" s="31"/>
      <c r="D107" s="7"/>
      <c r="E107" s="8"/>
      <c r="F107" s="9"/>
      <c r="G107" s="10"/>
      <c r="H107" s="10"/>
      <c r="I107" s="10"/>
    </row>
    <row r="108" spans="1:9" ht="120" customHeight="1" x14ac:dyDescent="0.2">
      <c r="A108" s="11"/>
      <c r="B108" s="12"/>
      <c r="C108" s="13"/>
      <c r="D108" s="14"/>
      <c r="E108" s="15"/>
      <c r="F108" s="16"/>
      <c r="G108" s="17"/>
      <c r="H108" s="17"/>
      <c r="I108" s="17"/>
    </row>
    <row r="109" spans="1:9" ht="117.75" customHeight="1" x14ac:dyDescent="0.2">
      <c r="A109" s="4"/>
      <c r="B109" s="5"/>
      <c r="C109" s="6"/>
      <c r="D109" s="7"/>
      <c r="E109" s="8"/>
      <c r="F109" s="9"/>
      <c r="G109" s="10"/>
      <c r="H109" s="10"/>
      <c r="I109" s="10"/>
    </row>
    <row r="110" spans="1:9" ht="117.75" customHeight="1" x14ac:dyDescent="0.2">
      <c r="A110" s="11"/>
      <c r="B110" s="12"/>
      <c r="C110" s="13"/>
      <c r="D110" s="14"/>
      <c r="E110" s="15"/>
      <c r="F110" s="16"/>
      <c r="G110" s="17"/>
      <c r="H110" s="17"/>
      <c r="I110" s="17"/>
    </row>
    <row r="111" spans="1:9" ht="91.5" customHeight="1" x14ac:dyDescent="0.2">
      <c r="A111" s="4"/>
      <c r="B111" s="5"/>
      <c r="C111" s="6"/>
      <c r="D111" s="7"/>
      <c r="E111" s="8"/>
      <c r="F111" s="9"/>
      <c r="G111" s="10"/>
      <c r="H111" s="10"/>
      <c r="I111" s="10"/>
    </row>
    <row r="112" spans="1:9" ht="120" customHeight="1" x14ac:dyDescent="0.2">
      <c r="A112" s="11"/>
      <c r="B112" s="12"/>
      <c r="C112" s="13"/>
      <c r="D112" s="14"/>
      <c r="E112" s="15"/>
      <c r="F112" s="16"/>
      <c r="G112" s="17"/>
      <c r="H112" s="17"/>
      <c r="I112" s="17"/>
    </row>
    <row r="113" spans="1:9" ht="117.75" customHeight="1" x14ac:dyDescent="0.2">
      <c r="A113" s="4"/>
      <c r="B113" s="5"/>
      <c r="C113" s="6"/>
      <c r="D113" s="7"/>
      <c r="E113" s="8"/>
      <c r="F113" s="9"/>
      <c r="G113" s="10"/>
      <c r="H113" s="10"/>
      <c r="I113" s="10"/>
    </row>
    <row r="114" spans="1:9" ht="117.75" customHeight="1" x14ac:dyDescent="0.2">
      <c r="A114" s="11"/>
      <c r="B114" s="12"/>
      <c r="C114" s="13"/>
      <c r="D114" s="14"/>
      <c r="E114" s="15"/>
      <c r="F114" s="16"/>
      <c r="G114" s="17"/>
      <c r="H114" s="17"/>
      <c r="I114" s="17"/>
    </row>
    <row r="115" spans="1:9" ht="120" customHeight="1" x14ac:dyDescent="0.2">
      <c r="A115" s="4"/>
      <c r="B115" s="5"/>
      <c r="C115" s="6"/>
      <c r="D115" s="7"/>
      <c r="E115" s="8"/>
      <c r="F115" s="9"/>
      <c r="G115" s="10"/>
      <c r="H115" s="10"/>
      <c r="I115" s="10"/>
    </row>
    <row r="116" spans="1:9" ht="105" customHeight="1" x14ac:dyDescent="0.2">
      <c r="A116" s="11"/>
      <c r="B116" s="12"/>
      <c r="C116" s="13"/>
      <c r="D116" s="14"/>
      <c r="E116" s="15"/>
      <c r="F116" s="16"/>
      <c r="G116" s="17"/>
      <c r="H116" s="17"/>
      <c r="I116" s="17"/>
    </row>
    <row r="117" spans="1:9" ht="117.75" customHeight="1" x14ac:dyDescent="0.2">
      <c r="A117" s="4"/>
      <c r="B117" s="5"/>
      <c r="C117" s="6"/>
      <c r="D117" s="7"/>
      <c r="E117" s="8"/>
      <c r="F117" s="9"/>
      <c r="G117" s="10"/>
      <c r="H117" s="10"/>
      <c r="I117" s="10"/>
    </row>
    <row r="118" spans="1:9" ht="120" customHeight="1" x14ac:dyDescent="0.2">
      <c r="A118" s="11"/>
      <c r="B118" s="12"/>
      <c r="C118" s="13"/>
      <c r="D118" s="14"/>
      <c r="E118" s="15"/>
      <c r="F118" s="16"/>
      <c r="G118" s="17"/>
      <c r="H118" s="17"/>
      <c r="I118" s="17"/>
    </row>
    <row r="119" spans="1:9" ht="105" customHeight="1" x14ac:dyDescent="0.2">
      <c r="A119" s="4"/>
      <c r="B119" s="5"/>
      <c r="C119" s="6"/>
      <c r="D119" s="7"/>
      <c r="E119" s="8"/>
      <c r="F119" s="9"/>
      <c r="G119" s="10"/>
      <c r="H119" s="10"/>
      <c r="I119" s="10"/>
    </row>
    <row r="120" spans="1:9" ht="120" customHeight="1" x14ac:dyDescent="0.2">
      <c r="A120" s="11"/>
      <c r="B120" s="12"/>
      <c r="C120" s="13"/>
      <c r="D120" s="14"/>
      <c r="E120" s="15"/>
      <c r="F120" s="16"/>
      <c r="G120" s="17"/>
      <c r="H120" s="17"/>
      <c r="I120" s="17"/>
    </row>
    <row r="121" spans="1:9" ht="120" customHeight="1" x14ac:dyDescent="0.2">
      <c r="A121" s="4"/>
      <c r="B121" s="5"/>
      <c r="C121" s="6"/>
      <c r="D121" s="7"/>
      <c r="E121" s="8"/>
      <c r="F121" s="9"/>
      <c r="G121" s="10"/>
      <c r="H121" s="10"/>
      <c r="I121" s="10"/>
    </row>
    <row r="122" spans="1:9" ht="120" customHeight="1" x14ac:dyDescent="0.2">
      <c r="A122" s="11"/>
      <c r="B122" s="12"/>
      <c r="C122" s="13"/>
      <c r="D122" s="14"/>
      <c r="E122" s="15"/>
      <c r="F122" s="16"/>
      <c r="G122" s="17"/>
      <c r="H122" s="17"/>
      <c r="I122" s="17"/>
    </row>
    <row r="123" spans="1:9" ht="120" customHeight="1" x14ac:dyDescent="0.2">
      <c r="A123" s="4"/>
      <c r="B123" s="5"/>
      <c r="C123" s="6"/>
      <c r="D123" s="7"/>
      <c r="E123" s="8"/>
      <c r="F123" s="9"/>
      <c r="G123" s="10"/>
      <c r="H123" s="10"/>
      <c r="I123" s="10"/>
    </row>
    <row r="124" spans="1:9" ht="105" customHeight="1" x14ac:dyDescent="0.2">
      <c r="A124" s="11"/>
      <c r="B124" s="12"/>
      <c r="C124" s="13"/>
      <c r="D124" s="14"/>
      <c r="E124" s="15"/>
      <c r="F124" s="16"/>
      <c r="G124" s="17"/>
      <c r="H124" s="17"/>
      <c r="I124" s="17"/>
    </row>
    <row r="125" spans="1:9" ht="117.75" customHeight="1" x14ac:dyDescent="0.2">
      <c r="A125" s="4"/>
      <c r="B125" s="5"/>
      <c r="C125" s="6"/>
      <c r="D125" s="7"/>
      <c r="E125" s="8"/>
      <c r="F125" s="9"/>
      <c r="G125" s="10"/>
      <c r="H125" s="10"/>
      <c r="I125" s="10"/>
    </row>
    <row r="126" spans="1:9" ht="117.75" customHeight="1" x14ac:dyDescent="0.2">
      <c r="A126" s="11"/>
      <c r="B126" s="12"/>
      <c r="C126" s="13"/>
      <c r="D126" s="14"/>
      <c r="E126" s="15"/>
      <c r="F126" s="16"/>
      <c r="G126" s="17"/>
      <c r="H126" s="17"/>
      <c r="I126" s="17"/>
    </row>
    <row r="127" spans="1:9" ht="105" customHeight="1" x14ac:dyDescent="0.2">
      <c r="A127" s="4"/>
      <c r="B127" s="5"/>
      <c r="C127" s="6"/>
      <c r="D127" s="7"/>
      <c r="E127" s="8"/>
      <c r="F127" s="9"/>
      <c r="G127" s="10"/>
      <c r="H127" s="10"/>
      <c r="I127" s="10"/>
    </row>
    <row r="128" spans="1:9" ht="120" customHeight="1" x14ac:dyDescent="0.2">
      <c r="A128" s="11"/>
      <c r="B128" s="12"/>
      <c r="C128" s="13"/>
      <c r="D128" s="14"/>
      <c r="E128" s="15"/>
      <c r="F128" s="16"/>
      <c r="G128" s="17"/>
      <c r="H128" s="17"/>
      <c r="I128" s="17"/>
    </row>
    <row r="129" spans="1:9" ht="117.75" customHeight="1" x14ac:dyDescent="0.2">
      <c r="A129" s="4"/>
      <c r="B129" s="5"/>
      <c r="C129" s="6"/>
      <c r="D129" s="7"/>
      <c r="E129" s="8"/>
      <c r="F129" s="9"/>
      <c r="G129" s="10"/>
      <c r="H129" s="10"/>
      <c r="I129" s="10"/>
    </row>
    <row r="130" spans="1:9" ht="120" customHeight="1" x14ac:dyDescent="0.2">
      <c r="A130" s="11"/>
      <c r="B130" s="12"/>
      <c r="C130" s="13"/>
      <c r="D130" s="14"/>
      <c r="E130" s="15"/>
      <c r="F130" s="16"/>
      <c r="G130" s="17"/>
      <c r="H130" s="17"/>
      <c r="I130" s="17"/>
    </row>
    <row r="131" spans="1:9" ht="91.5" customHeight="1" x14ac:dyDescent="0.2">
      <c r="A131" s="4"/>
      <c r="B131" s="5"/>
      <c r="C131" s="6"/>
      <c r="D131" s="7"/>
      <c r="E131" s="8"/>
      <c r="F131" s="9"/>
      <c r="G131" s="10"/>
      <c r="H131" s="10"/>
      <c r="I131" s="10"/>
    </row>
    <row r="132" spans="1:9" ht="120" customHeight="1" x14ac:dyDescent="0.2">
      <c r="A132" s="11"/>
      <c r="B132" s="12"/>
      <c r="C132" s="13"/>
      <c r="D132" s="14"/>
      <c r="E132" s="15"/>
      <c r="F132" s="16"/>
      <c r="G132" s="17"/>
      <c r="H132" s="17"/>
      <c r="I132" s="17"/>
    </row>
    <row r="133" spans="1:9" ht="105" customHeight="1" x14ac:dyDescent="0.2">
      <c r="A133" s="4"/>
      <c r="B133" s="5"/>
      <c r="C133" s="6"/>
      <c r="D133" s="7"/>
      <c r="E133" s="8"/>
      <c r="F133" s="9"/>
      <c r="G133" s="10"/>
      <c r="H133" s="10"/>
      <c r="I133" s="10"/>
    </row>
    <row r="134" spans="1:9" ht="120" customHeight="1" x14ac:dyDescent="0.2">
      <c r="A134" s="11"/>
      <c r="B134" s="12"/>
      <c r="C134" s="13"/>
      <c r="D134" s="14"/>
      <c r="E134" s="15"/>
      <c r="F134" s="16"/>
      <c r="G134" s="17"/>
      <c r="H134" s="17"/>
      <c r="I134" s="17"/>
    </row>
    <row r="135" spans="1:9" ht="120" customHeight="1" x14ac:dyDescent="0.2">
      <c r="A135" s="4"/>
      <c r="B135" s="5"/>
      <c r="C135" s="6"/>
      <c r="D135" s="7"/>
      <c r="E135" s="8"/>
      <c r="F135" s="9"/>
      <c r="G135" s="10"/>
      <c r="H135" s="10"/>
      <c r="I135" s="10"/>
    </row>
    <row r="136" spans="1:9" ht="120" customHeight="1" x14ac:dyDescent="0.2">
      <c r="A136" s="11"/>
      <c r="B136" s="12"/>
      <c r="C136" s="13"/>
      <c r="D136" s="14"/>
      <c r="E136" s="15"/>
      <c r="F136" s="16"/>
      <c r="G136" s="17"/>
      <c r="H136" s="17"/>
      <c r="I136" s="17"/>
    </row>
    <row r="137" spans="1:9" ht="91.5" customHeight="1" x14ac:dyDescent="0.2">
      <c r="A137" s="4"/>
      <c r="B137" s="5"/>
      <c r="C137" s="6"/>
      <c r="D137" s="7"/>
      <c r="E137" s="8"/>
      <c r="F137" s="9"/>
      <c r="G137" s="10"/>
      <c r="H137" s="10"/>
      <c r="I137" s="10"/>
    </row>
    <row r="138" spans="1:9" ht="117.75" customHeight="1" x14ac:dyDescent="0.2">
      <c r="A138" s="11"/>
      <c r="B138" s="12"/>
      <c r="C138" s="13"/>
      <c r="D138" s="14"/>
      <c r="E138" s="15"/>
      <c r="F138" s="16"/>
      <c r="G138" s="17"/>
      <c r="H138" s="17"/>
      <c r="I138" s="17"/>
    </row>
    <row r="139" spans="1:9" ht="117.75" customHeight="1" x14ac:dyDescent="0.2">
      <c r="A139" s="4"/>
      <c r="B139" s="5"/>
      <c r="C139" s="6"/>
      <c r="D139" s="7"/>
      <c r="E139" s="8"/>
      <c r="F139" s="9"/>
      <c r="G139" s="10"/>
      <c r="H139" s="10"/>
      <c r="I139" s="10"/>
    </row>
    <row r="140" spans="1:9" ht="120" customHeight="1" x14ac:dyDescent="0.2">
      <c r="A140" s="11"/>
      <c r="B140" s="12"/>
      <c r="C140" s="13"/>
      <c r="D140" s="14"/>
      <c r="E140" s="15"/>
      <c r="F140" s="16"/>
      <c r="G140" s="17"/>
      <c r="H140" s="17"/>
      <c r="I140" s="17"/>
    </row>
    <row r="141" spans="1:9" ht="117.75" customHeight="1" x14ac:dyDescent="0.2">
      <c r="A141" s="4"/>
      <c r="B141" s="5"/>
      <c r="C141" s="6"/>
      <c r="D141" s="7"/>
      <c r="E141" s="8"/>
      <c r="F141" s="9"/>
      <c r="G141" s="10"/>
      <c r="H141" s="10"/>
      <c r="I141" s="10"/>
    </row>
    <row r="142" spans="1:9" ht="120" customHeight="1" x14ac:dyDescent="0.2">
      <c r="A142" s="11"/>
      <c r="B142" s="12"/>
      <c r="C142" s="13"/>
      <c r="D142" s="14"/>
      <c r="E142" s="15"/>
      <c r="F142" s="16"/>
      <c r="G142" s="17"/>
      <c r="H142" s="17"/>
      <c r="I142" s="17"/>
    </row>
    <row r="143" spans="1:9" ht="120" customHeight="1" x14ac:dyDescent="0.2">
      <c r="A143" s="4"/>
      <c r="B143" s="5"/>
      <c r="C143" s="6"/>
      <c r="D143" s="7"/>
      <c r="E143" s="8"/>
      <c r="F143" s="9"/>
      <c r="G143" s="10"/>
      <c r="H143" s="10"/>
      <c r="I143" s="10"/>
    </row>
    <row r="144" spans="1:9" ht="105" customHeight="1" x14ac:dyDescent="0.2">
      <c r="A144" s="11"/>
      <c r="B144" s="12"/>
      <c r="C144" s="13"/>
      <c r="D144" s="14"/>
      <c r="E144" s="15"/>
      <c r="F144" s="16"/>
      <c r="G144" s="17"/>
      <c r="H144" s="17"/>
      <c r="I144" s="17"/>
    </row>
    <row r="145" spans="1:9" ht="120" customHeight="1" x14ac:dyDescent="0.2">
      <c r="A145" s="4"/>
      <c r="B145" s="5"/>
      <c r="C145" s="6"/>
      <c r="D145" s="7"/>
      <c r="E145" s="8"/>
      <c r="F145" s="9"/>
      <c r="G145" s="10"/>
      <c r="H145" s="10"/>
      <c r="I145" s="10"/>
    </row>
    <row r="146" spans="1:9" ht="120" customHeight="1" x14ac:dyDescent="0.2">
      <c r="A146" s="11"/>
      <c r="B146" s="12"/>
      <c r="C146" s="13"/>
      <c r="D146" s="14"/>
      <c r="E146" s="15"/>
      <c r="F146" s="16"/>
      <c r="G146" s="17"/>
      <c r="H146" s="17"/>
      <c r="I146" s="17"/>
    </row>
    <row r="147" spans="1:9" ht="120" customHeight="1" x14ac:dyDescent="0.2">
      <c r="A147" s="4"/>
      <c r="B147" s="5"/>
      <c r="C147" s="6"/>
      <c r="D147" s="7"/>
      <c r="E147" s="8"/>
      <c r="F147" s="9"/>
      <c r="G147" s="10"/>
      <c r="H147" s="10"/>
      <c r="I147" s="10"/>
    </row>
    <row r="148" spans="1:9" ht="117.75" customHeight="1" x14ac:dyDescent="0.2">
      <c r="A148" s="11"/>
      <c r="B148" s="12"/>
      <c r="C148" s="13"/>
      <c r="D148" s="14"/>
      <c r="E148" s="15"/>
      <c r="F148" s="16"/>
      <c r="G148" s="17"/>
      <c r="H148" s="17"/>
      <c r="I148" s="17"/>
    </row>
    <row r="149" spans="1:9" ht="120" customHeight="1" x14ac:dyDescent="0.2">
      <c r="A149" s="4"/>
      <c r="B149" s="5"/>
      <c r="C149" s="6"/>
      <c r="D149" s="7"/>
      <c r="E149" s="8"/>
      <c r="F149" s="9"/>
      <c r="G149" s="10"/>
      <c r="H149" s="10"/>
      <c r="I149" s="10"/>
    </row>
    <row r="150" spans="1:9" ht="91.5" customHeight="1" x14ac:dyDescent="0.2">
      <c r="A150" s="11"/>
      <c r="B150" s="12"/>
      <c r="C150" s="13"/>
      <c r="D150" s="14"/>
      <c r="E150" s="15"/>
      <c r="F150" s="16"/>
      <c r="G150" s="17"/>
      <c r="H150" s="17"/>
      <c r="I150" s="17"/>
    </row>
    <row r="151" spans="1:9" ht="117.75" customHeight="1" x14ac:dyDescent="0.2">
      <c r="A151" s="4"/>
      <c r="B151" s="5"/>
      <c r="C151" s="6"/>
      <c r="D151" s="7"/>
      <c r="E151" s="8"/>
      <c r="F151" s="9"/>
      <c r="G151" s="10"/>
      <c r="H151" s="10"/>
      <c r="I151" s="10"/>
    </row>
    <row r="152" spans="1:9" ht="120" customHeight="1" x14ac:dyDescent="0.2">
      <c r="A152" s="11"/>
      <c r="B152" s="12"/>
      <c r="C152" s="13"/>
      <c r="D152" s="14"/>
      <c r="E152" s="15"/>
      <c r="F152" s="16"/>
      <c r="G152" s="17"/>
      <c r="H152" s="17"/>
      <c r="I152" s="17"/>
    </row>
    <row r="153" spans="1:9" ht="117.75" customHeight="1" x14ac:dyDescent="0.2">
      <c r="A153" s="4"/>
      <c r="B153" s="5"/>
      <c r="C153" s="6"/>
      <c r="D153" s="7"/>
      <c r="E153" s="8"/>
      <c r="F153" s="9"/>
      <c r="G153" s="10"/>
      <c r="H153" s="10"/>
      <c r="I153" s="10"/>
    </row>
    <row r="154" spans="1:9" ht="105" customHeight="1" x14ac:dyDescent="0.2">
      <c r="A154" s="11"/>
      <c r="B154" s="12"/>
      <c r="C154" s="13"/>
      <c r="D154" s="14"/>
      <c r="E154" s="15"/>
      <c r="F154" s="16"/>
      <c r="G154" s="17"/>
      <c r="H154" s="17"/>
      <c r="I154" s="17"/>
    </row>
    <row r="155" spans="1:9" ht="7.5" customHeight="1" x14ac:dyDescent="0.2"/>
    <row r="156" spans="1:9" ht="19.5" customHeight="1" x14ac:dyDescent="0.2">
      <c r="A156" s="19">
        <f ca="1">SUMPRODUCT((A3:A154="AMIF")*SUBTOTAL(103,OFFSET(A3,ROW(A3:A154)-ROW(A3),0)))</f>
        <v>0</v>
      </c>
      <c r="B156" s="20" t="s">
        <v>400</v>
      </c>
      <c r="C156" s="21"/>
      <c r="D156" s="21"/>
      <c r="E156" s="21"/>
      <c r="F156" s="21"/>
      <c r="G156" s="22">
        <f ca="1">SUMPRODUCT((A3:A154="AMIF")*SUBTOTAL(103,OFFSET(A3,ROW(A3:A154)-ROW(A3),0))*G3:G154)</f>
        <v>0</v>
      </c>
      <c r="H156" s="22">
        <f ca="1">SUMPRODUCT((A3:A154="AMIF")*SUBTOTAL(103,OFFSET(A3,ROW(A3:A154)-ROW(A3),0))*H3:H154)</f>
        <v>0</v>
      </c>
      <c r="I156" s="22">
        <f ca="1">SUMPRODUCT((A3:A154="AMIF")*SUBTOTAL(103,OFFSET(A3,ROW(A3:A154)-ROW(A3),0))*I3:I154)</f>
        <v>0</v>
      </c>
    </row>
    <row r="157" spans="1:9" ht="19.5" customHeight="1" x14ac:dyDescent="0.2">
      <c r="A157" s="32">
        <f ca="1">SUMPRODUCT((A3:A154="AMIF-UKR")*SUBTOTAL(103,OFFSET(A3,ROW(A3:A154)-ROW(A3),0)))</f>
        <v>0</v>
      </c>
      <c r="B157" s="33" t="s">
        <v>501</v>
      </c>
      <c r="C157" s="34"/>
      <c r="D157" s="34"/>
      <c r="E157" s="34"/>
      <c r="F157" s="34"/>
      <c r="G157" s="35">
        <f ca="1">SUMPRODUCT((A3:A154="AMIF-UKR")*SUBTOTAL(103,OFFSET(A3,ROW(A3:A154)-ROW(A3),0))*G3:G154)</f>
        <v>0</v>
      </c>
      <c r="H157" s="35">
        <f ca="1">SUMPRODUCT((A3:A154="AMIF-UKR")*SUBTOTAL(103,OFFSET(A3,ROW(A3:A154)-ROW(A3),0))*H3:H154)</f>
        <v>0</v>
      </c>
      <c r="I157" s="35">
        <f ca="1">SUMPRODUCT((A3:A154="AMIF-UKR")*SUBTOTAL(103,OFFSET(A3,ROW(A3:A154)-ROW(A3),0))*I3:I154)</f>
        <v>0</v>
      </c>
    </row>
    <row r="158" spans="1:9" ht="19.5" customHeight="1" x14ac:dyDescent="0.2">
      <c r="A158" s="23">
        <f ca="1">SUMPRODUCT((A3:A154="National")*SUBTOTAL(103,OFFSET(A3,ROW(A3:A154)-ROW(A3),0)))</f>
        <v>0</v>
      </c>
      <c r="B158" s="24" t="s">
        <v>401</v>
      </c>
      <c r="C158" s="25"/>
      <c r="D158" s="25"/>
      <c r="E158" s="25"/>
      <c r="F158" s="25"/>
      <c r="G158" s="26">
        <f ca="1">SUMPRODUCT((A3:A154="National")*SUBTOTAL(103,OFFSET(A3,ROW(A3:A154)-ROW(A3),0))*G3:G154)</f>
        <v>0</v>
      </c>
      <c r="H158" s="26">
        <f ca="1">SUMPRODUCT((A3:A154="National")*SUBTOTAL(103,OFFSET(A3,ROW(A3:A154)-ROW(A3),0))*H3:H154)</f>
        <v>0</v>
      </c>
      <c r="I158" s="26">
        <f ca="1">SUMPRODUCT((A3:A154="National")*SUBTOTAL(103,OFFSET(A3,ROW(A3:A154)-ROW(A3),0))*I3:I154)</f>
        <v>0</v>
      </c>
    </row>
    <row r="159" spans="1:9" ht="24" customHeight="1" x14ac:dyDescent="0.2">
      <c r="A159" s="27">
        <f ca="1">SUMPRODUCT(((A3:A154="AMIF")+(A3:A154="AMIF-UKR")+(A3:A154="NATÜ")+(A3:A154="National"))*SUBTOTAL(103,OFFSET(A3,ROW(A3:A154)-ROW(A3),0)))</f>
        <v>0</v>
      </c>
      <c r="B159" s="28" t="s">
        <v>523</v>
      </c>
      <c r="C159" s="29"/>
      <c r="D159" s="29"/>
      <c r="E159" s="29"/>
      <c r="F159" s="29"/>
      <c r="G159" s="30">
        <f>SUBTOTAL(9,G3:G154)</f>
        <v>0</v>
      </c>
      <c r="H159" s="30">
        <f>SUBTOTAL(9,H3:H154)</f>
        <v>1391000</v>
      </c>
      <c r="I159" s="30">
        <f>SUBTOTAL(9,I3:I154)</f>
        <v>1391000</v>
      </c>
    </row>
    <row r="161" spans="1:9" x14ac:dyDescent="0.2">
      <c r="A161" s="104" t="s">
        <v>524</v>
      </c>
      <c r="B161" s="103"/>
      <c r="C161" s="103"/>
      <c r="D161" s="103"/>
      <c r="E161" s="103"/>
      <c r="F161" s="103"/>
      <c r="G161" s="103"/>
      <c r="H161" s="103"/>
      <c r="I161" s="103"/>
    </row>
  </sheetData>
  <autoFilter ref="A2:I2" xr:uid="{00000000-0009-0000-0000-000005000000}"/>
  <mergeCells count="2">
    <mergeCell ref="A1:I1"/>
    <mergeCell ref="A161:I16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6"/>
  <sheetViews>
    <sheetView zoomScaleNormal="100" workbookViewId="0">
      <pane ySplit="2" topLeftCell="A3" activePane="bottomLeft" state="frozen"/>
      <selection pane="bottomLeft" activeCell="A3" sqref="A3:I5"/>
    </sheetView>
  </sheetViews>
  <sheetFormatPr baseColWidth="10" defaultColWidth="8.5" defaultRowHeight="15" x14ac:dyDescent="0.2"/>
  <cols>
    <col min="1" max="1" width="12" customWidth="1"/>
    <col min="2" max="3" width="34" customWidth="1"/>
    <col min="4" max="4" width="26" customWidth="1"/>
    <col min="5" max="5" width="52" customWidth="1"/>
    <col min="6" max="6" width="24" customWidth="1"/>
    <col min="7" max="9" width="16" customWidth="1"/>
  </cols>
  <sheetData>
    <row r="1" spans="1:9" ht="30" customHeight="1" x14ac:dyDescent="0.2">
      <c r="A1" s="102" t="s">
        <v>525</v>
      </c>
      <c r="B1" s="103"/>
      <c r="C1" s="103"/>
      <c r="D1" s="103"/>
      <c r="E1" s="103"/>
      <c r="F1" s="103"/>
      <c r="G1" s="103"/>
      <c r="H1" s="103"/>
      <c r="I1" s="103"/>
    </row>
    <row r="2" spans="1:9" ht="27.75" customHeight="1" x14ac:dyDescent="0.2">
      <c r="A2" s="1" t="s">
        <v>42</v>
      </c>
      <c r="B2" s="3" t="s">
        <v>43</v>
      </c>
      <c r="C2" s="3" t="s">
        <v>44</v>
      </c>
      <c r="D2" s="3" t="s">
        <v>45</v>
      </c>
      <c r="E2" s="3" t="s">
        <v>46</v>
      </c>
      <c r="F2" s="3" t="s">
        <v>47</v>
      </c>
      <c r="G2" s="1" t="s">
        <v>526</v>
      </c>
      <c r="H2" s="1" t="s">
        <v>527</v>
      </c>
      <c r="I2" s="1" t="s">
        <v>528</v>
      </c>
    </row>
    <row r="3" spans="1:9" ht="105" customHeight="1" x14ac:dyDescent="0.2">
      <c r="A3" s="4"/>
      <c r="B3" s="5" t="s">
        <v>619</v>
      </c>
      <c r="C3" s="85" t="s">
        <v>632</v>
      </c>
      <c r="D3" s="88" t="s">
        <v>98</v>
      </c>
      <c r="E3" s="31" t="s">
        <v>633</v>
      </c>
      <c r="F3" s="87" t="s">
        <v>607</v>
      </c>
      <c r="G3" s="10"/>
      <c r="H3" s="10">
        <v>310000</v>
      </c>
      <c r="I3" s="10">
        <v>310000</v>
      </c>
    </row>
    <row r="4" spans="1:9" ht="120" customHeight="1" x14ac:dyDescent="0.2">
      <c r="A4" s="11"/>
      <c r="B4" s="12" t="s">
        <v>634</v>
      </c>
      <c r="C4" s="18" t="s">
        <v>635</v>
      </c>
      <c r="D4" s="97" t="s">
        <v>636</v>
      </c>
      <c r="E4" s="15" t="s">
        <v>637</v>
      </c>
      <c r="F4" s="90" t="s">
        <v>607</v>
      </c>
      <c r="G4" s="17"/>
      <c r="H4" s="17">
        <v>84000</v>
      </c>
      <c r="I4" s="17">
        <v>84000</v>
      </c>
    </row>
    <row r="5" spans="1:9" ht="120" customHeight="1" x14ac:dyDescent="0.2">
      <c r="A5" s="4"/>
      <c r="B5" s="86" t="s">
        <v>639</v>
      </c>
      <c r="C5" s="6" t="s">
        <v>638</v>
      </c>
      <c r="D5" s="88" t="s">
        <v>98</v>
      </c>
      <c r="E5" s="8" t="s">
        <v>640</v>
      </c>
      <c r="F5" s="87" t="s">
        <v>641</v>
      </c>
      <c r="G5" s="10"/>
      <c r="H5" s="10">
        <v>100000</v>
      </c>
      <c r="I5" s="10">
        <v>100000</v>
      </c>
    </row>
    <row r="6" spans="1:9" ht="120" customHeight="1" x14ac:dyDescent="0.2">
      <c r="A6" s="11"/>
      <c r="B6" s="12"/>
      <c r="C6" s="13"/>
      <c r="D6" s="14"/>
      <c r="E6" s="15"/>
      <c r="F6" s="16"/>
      <c r="G6" s="17"/>
      <c r="H6" s="17"/>
      <c r="I6" s="17"/>
    </row>
    <row r="7" spans="1:9" ht="120" customHeight="1" x14ac:dyDescent="0.2">
      <c r="A7" s="4"/>
      <c r="B7" s="5"/>
      <c r="C7" s="6"/>
      <c r="D7" s="7"/>
      <c r="E7" s="8"/>
      <c r="F7" s="9"/>
      <c r="G7" s="10"/>
      <c r="H7" s="10"/>
      <c r="I7" s="10"/>
    </row>
    <row r="8" spans="1:9" ht="66" customHeight="1" x14ac:dyDescent="0.2">
      <c r="A8" s="11"/>
      <c r="B8" s="12"/>
      <c r="C8" s="13"/>
      <c r="D8" s="14"/>
      <c r="E8" s="15"/>
      <c r="F8" s="16"/>
      <c r="G8" s="17"/>
      <c r="H8" s="17"/>
      <c r="I8" s="17"/>
    </row>
    <row r="9" spans="1:9" ht="120" customHeight="1" x14ac:dyDescent="0.2">
      <c r="A9" s="4"/>
      <c r="B9" s="5"/>
      <c r="C9" s="6"/>
      <c r="D9" s="7"/>
      <c r="E9" s="8"/>
      <c r="F9" s="9"/>
      <c r="G9" s="10"/>
      <c r="H9" s="10"/>
      <c r="I9" s="10"/>
    </row>
    <row r="10" spans="1:9" ht="120" customHeight="1" x14ac:dyDescent="0.2">
      <c r="A10" s="11"/>
      <c r="B10" s="12"/>
      <c r="C10" s="13"/>
      <c r="D10" s="14"/>
      <c r="E10" s="15"/>
      <c r="F10" s="16"/>
      <c r="G10" s="17"/>
      <c r="H10" s="17"/>
      <c r="I10" s="17"/>
    </row>
    <row r="11" spans="1:9" ht="120" customHeight="1" x14ac:dyDescent="0.2">
      <c r="A11" s="4"/>
      <c r="B11" s="5"/>
      <c r="C11" s="6"/>
      <c r="D11" s="7"/>
      <c r="E11" s="8"/>
      <c r="F11" s="9"/>
      <c r="G11" s="10"/>
      <c r="H11" s="10"/>
      <c r="I11" s="10"/>
    </row>
    <row r="12" spans="1:9" ht="91.5" customHeight="1" x14ac:dyDescent="0.2">
      <c r="A12" s="11"/>
      <c r="B12" s="12"/>
      <c r="C12" s="13"/>
      <c r="D12" s="14"/>
      <c r="E12" s="15"/>
      <c r="F12" s="16"/>
      <c r="G12" s="17"/>
      <c r="H12" s="17"/>
      <c r="I12" s="17"/>
    </row>
    <row r="13" spans="1:9" ht="120" customHeight="1" x14ac:dyDescent="0.2">
      <c r="A13" s="4"/>
      <c r="B13" s="5"/>
      <c r="C13" s="6"/>
      <c r="D13" s="7"/>
      <c r="E13" s="8"/>
      <c r="F13" s="9"/>
      <c r="G13" s="10"/>
      <c r="H13" s="10"/>
      <c r="I13" s="10"/>
    </row>
    <row r="14" spans="1:9" ht="120" customHeight="1" x14ac:dyDescent="0.2">
      <c r="A14" s="11"/>
      <c r="B14" s="12"/>
      <c r="C14" s="13"/>
      <c r="D14" s="14"/>
      <c r="E14" s="15"/>
      <c r="F14" s="16"/>
      <c r="G14" s="17"/>
      <c r="H14" s="17"/>
      <c r="I14" s="17"/>
    </row>
    <row r="15" spans="1:9" ht="120" customHeight="1" x14ac:dyDescent="0.2">
      <c r="A15" s="4"/>
      <c r="B15" s="5"/>
      <c r="C15" s="6"/>
      <c r="D15" s="7"/>
      <c r="E15" s="8"/>
      <c r="F15" s="9"/>
      <c r="G15" s="10"/>
      <c r="H15" s="10"/>
      <c r="I15" s="10"/>
    </row>
    <row r="16" spans="1:9" ht="91.5" customHeight="1" x14ac:dyDescent="0.2">
      <c r="A16" s="11"/>
      <c r="B16" s="12"/>
      <c r="C16" s="13"/>
      <c r="D16" s="14"/>
      <c r="E16" s="15"/>
      <c r="F16" s="16"/>
      <c r="G16" s="17"/>
      <c r="H16" s="17"/>
      <c r="I16" s="17"/>
    </row>
    <row r="17" spans="1:9" ht="105" customHeight="1" x14ac:dyDescent="0.2">
      <c r="A17" s="4"/>
      <c r="B17" s="5"/>
      <c r="C17" s="6"/>
      <c r="D17" s="7"/>
      <c r="E17" s="8"/>
      <c r="F17" s="9"/>
      <c r="G17" s="10"/>
      <c r="H17" s="10"/>
      <c r="I17" s="10"/>
    </row>
    <row r="18" spans="1:9" ht="120" customHeight="1" x14ac:dyDescent="0.2">
      <c r="A18" s="11"/>
      <c r="B18" s="12"/>
      <c r="C18" s="13"/>
      <c r="D18" s="14"/>
      <c r="E18" s="15"/>
      <c r="F18" s="16"/>
      <c r="G18" s="17"/>
      <c r="H18" s="17"/>
      <c r="I18" s="17"/>
    </row>
    <row r="19" spans="1:9" ht="117.75" customHeight="1" x14ac:dyDescent="0.2">
      <c r="A19" s="4"/>
      <c r="B19" s="5"/>
      <c r="C19" s="6"/>
      <c r="D19" s="7"/>
      <c r="E19" s="8"/>
      <c r="F19" s="9"/>
      <c r="G19" s="10"/>
      <c r="H19" s="10"/>
      <c r="I19" s="10"/>
    </row>
    <row r="20" spans="1:9" ht="105" customHeight="1" x14ac:dyDescent="0.2">
      <c r="A20" s="11"/>
      <c r="B20" s="12"/>
      <c r="C20" s="13"/>
      <c r="D20" s="14"/>
      <c r="E20" s="15"/>
      <c r="F20" s="16"/>
      <c r="G20" s="17"/>
      <c r="H20" s="17"/>
      <c r="I20" s="17"/>
    </row>
    <row r="21" spans="1:9" ht="117.75" customHeight="1" x14ac:dyDescent="0.2">
      <c r="A21" s="4"/>
      <c r="B21" s="5"/>
      <c r="C21" s="6"/>
      <c r="D21" s="7"/>
      <c r="E21" s="8"/>
      <c r="F21" s="9"/>
      <c r="G21" s="10"/>
      <c r="H21" s="10"/>
      <c r="I21" s="10"/>
    </row>
    <row r="22" spans="1:9" ht="120" customHeight="1" x14ac:dyDescent="0.2">
      <c r="A22" s="11"/>
      <c r="B22" s="12"/>
      <c r="C22" s="13"/>
      <c r="D22" s="14"/>
      <c r="E22" s="15"/>
      <c r="F22" s="16"/>
      <c r="G22" s="17"/>
      <c r="H22" s="17"/>
      <c r="I22" s="17"/>
    </row>
    <row r="23" spans="1:9" ht="120" customHeight="1" x14ac:dyDescent="0.2">
      <c r="A23" s="4"/>
      <c r="B23" s="5"/>
      <c r="C23" s="6"/>
      <c r="D23" s="7"/>
      <c r="E23" s="8"/>
      <c r="F23" s="9"/>
      <c r="G23" s="10"/>
      <c r="H23" s="10"/>
      <c r="I23" s="10"/>
    </row>
    <row r="24" spans="1:9" ht="120" customHeight="1" x14ac:dyDescent="0.2">
      <c r="A24" s="11"/>
      <c r="B24" s="12"/>
      <c r="C24" s="13"/>
      <c r="D24" s="14"/>
      <c r="E24" s="15"/>
      <c r="F24" s="16"/>
      <c r="G24" s="17"/>
      <c r="H24" s="17"/>
      <c r="I24" s="17"/>
    </row>
    <row r="25" spans="1:9" ht="105" customHeight="1" x14ac:dyDescent="0.2">
      <c r="A25" s="4"/>
      <c r="B25" s="5"/>
      <c r="C25" s="6"/>
      <c r="D25" s="7"/>
      <c r="E25" s="8"/>
      <c r="F25" s="9"/>
      <c r="G25" s="10"/>
      <c r="H25" s="10"/>
      <c r="I25" s="10"/>
    </row>
    <row r="26" spans="1:9" ht="117.75" customHeight="1" x14ac:dyDescent="0.2">
      <c r="A26" s="11"/>
      <c r="B26" s="12"/>
      <c r="C26" s="13"/>
      <c r="D26" s="14"/>
      <c r="E26" s="15"/>
      <c r="F26" s="16"/>
      <c r="G26" s="17"/>
      <c r="H26" s="17"/>
      <c r="I26" s="17"/>
    </row>
    <row r="27" spans="1:9" ht="117.75" customHeight="1" x14ac:dyDescent="0.2">
      <c r="A27" s="4"/>
      <c r="B27" s="5"/>
      <c r="C27" s="6"/>
      <c r="D27" s="7"/>
      <c r="E27" s="8"/>
      <c r="F27" s="9"/>
      <c r="G27" s="10"/>
      <c r="H27" s="10"/>
      <c r="I27" s="10"/>
    </row>
    <row r="28" spans="1:9" ht="91.5" customHeight="1" x14ac:dyDescent="0.2">
      <c r="A28" s="11"/>
      <c r="B28" s="12"/>
      <c r="C28" s="13"/>
      <c r="D28" s="14"/>
      <c r="E28" s="15"/>
      <c r="F28" s="16"/>
      <c r="G28" s="17"/>
      <c r="H28" s="17"/>
      <c r="I28" s="17"/>
    </row>
    <row r="29" spans="1:9" ht="117.75" customHeight="1" x14ac:dyDescent="0.2">
      <c r="A29" s="4"/>
      <c r="B29" s="5"/>
      <c r="C29" s="6"/>
      <c r="D29" s="7"/>
      <c r="E29" s="8"/>
      <c r="F29" s="9"/>
      <c r="G29" s="10"/>
      <c r="H29" s="10"/>
      <c r="I29" s="10"/>
    </row>
    <row r="30" spans="1:9" ht="117.75" customHeight="1" x14ac:dyDescent="0.2">
      <c r="A30" s="11"/>
      <c r="B30" s="12"/>
      <c r="C30" s="13"/>
      <c r="D30" s="14"/>
      <c r="E30" s="15"/>
      <c r="F30" s="16"/>
      <c r="G30" s="17"/>
      <c r="H30" s="17"/>
      <c r="I30" s="17"/>
    </row>
    <row r="31" spans="1:9" ht="120" customHeight="1" x14ac:dyDescent="0.2">
      <c r="A31" s="4"/>
      <c r="B31" s="5"/>
      <c r="C31" s="6"/>
      <c r="D31" s="7"/>
      <c r="E31" s="8"/>
      <c r="F31" s="9"/>
      <c r="G31" s="10"/>
      <c r="H31" s="10"/>
      <c r="I31" s="10"/>
    </row>
    <row r="32" spans="1:9" ht="52.5" customHeight="1" x14ac:dyDescent="0.2">
      <c r="A32" s="11"/>
      <c r="B32" s="12"/>
      <c r="C32" s="13"/>
      <c r="D32" s="14"/>
      <c r="E32" s="15"/>
      <c r="F32" s="16"/>
      <c r="G32" s="17"/>
      <c r="H32" s="17"/>
      <c r="I32" s="17"/>
    </row>
    <row r="33" spans="1:9" ht="120" customHeight="1" x14ac:dyDescent="0.2">
      <c r="A33" s="4"/>
      <c r="B33" s="5"/>
      <c r="C33" s="6"/>
      <c r="D33" s="7"/>
      <c r="E33" s="8"/>
      <c r="F33" s="9"/>
      <c r="G33" s="10"/>
      <c r="H33" s="10"/>
      <c r="I33" s="10"/>
    </row>
    <row r="34" spans="1:9" ht="120" customHeight="1" x14ac:dyDescent="0.2">
      <c r="A34" s="11"/>
      <c r="B34" s="12"/>
      <c r="C34" s="13"/>
      <c r="D34" s="14"/>
      <c r="E34" s="15"/>
      <c r="F34" s="16"/>
      <c r="G34" s="17"/>
      <c r="H34" s="17"/>
      <c r="I34" s="17"/>
    </row>
    <row r="35" spans="1:9" ht="117.75" customHeight="1" x14ac:dyDescent="0.2">
      <c r="A35" s="4"/>
      <c r="B35" s="5"/>
      <c r="C35" s="6"/>
      <c r="D35" s="7"/>
      <c r="E35" s="8"/>
      <c r="F35" s="9"/>
      <c r="G35" s="10"/>
      <c r="H35" s="10"/>
      <c r="I35" s="10"/>
    </row>
    <row r="36" spans="1:9" ht="120" customHeight="1" x14ac:dyDescent="0.2">
      <c r="A36" s="11"/>
      <c r="B36" s="12"/>
      <c r="C36" s="13"/>
      <c r="D36" s="14"/>
      <c r="E36" s="15"/>
      <c r="F36" s="16"/>
      <c r="G36" s="17"/>
      <c r="H36" s="17"/>
      <c r="I36" s="17"/>
    </row>
    <row r="37" spans="1:9" ht="120" customHeight="1" x14ac:dyDescent="0.2">
      <c r="A37" s="4"/>
      <c r="B37" s="5"/>
      <c r="C37" s="6"/>
      <c r="D37" s="7"/>
      <c r="E37" s="8"/>
      <c r="F37" s="9"/>
      <c r="G37" s="10"/>
      <c r="H37" s="10"/>
      <c r="I37" s="10"/>
    </row>
    <row r="38" spans="1:9" ht="120" customHeight="1" x14ac:dyDescent="0.2">
      <c r="A38" s="11"/>
      <c r="B38" s="12"/>
      <c r="C38" s="13"/>
      <c r="D38" s="14"/>
      <c r="E38" s="15"/>
      <c r="F38" s="16"/>
      <c r="G38" s="17"/>
      <c r="H38" s="17"/>
      <c r="I38" s="17"/>
    </row>
    <row r="39" spans="1:9" ht="120" customHeight="1" x14ac:dyDescent="0.2">
      <c r="A39" s="4"/>
      <c r="B39" s="5"/>
      <c r="C39" s="6"/>
      <c r="D39" s="7"/>
      <c r="E39" s="8"/>
      <c r="F39" s="9"/>
      <c r="G39" s="10"/>
      <c r="H39" s="10"/>
      <c r="I39" s="10"/>
    </row>
    <row r="40" spans="1:9" ht="120" customHeight="1" x14ac:dyDescent="0.2">
      <c r="A40" s="11"/>
      <c r="B40" s="12"/>
      <c r="C40" s="13"/>
      <c r="D40" s="14"/>
      <c r="E40" s="15"/>
      <c r="F40" s="16"/>
      <c r="G40" s="17"/>
      <c r="H40" s="17"/>
      <c r="I40" s="17"/>
    </row>
    <row r="41" spans="1:9" ht="117.75" customHeight="1" x14ac:dyDescent="0.2">
      <c r="A41" s="4"/>
      <c r="B41" s="5"/>
      <c r="C41" s="6"/>
      <c r="D41" s="7"/>
      <c r="E41" s="8"/>
      <c r="F41" s="9"/>
      <c r="G41" s="10"/>
      <c r="H41" s="10"/>
      <c r="I41" s="10"/>
    </row>
    <row r="42" spans="1:9" ht="117.75" customHeight="1" x14ac:dyDescent="0.2">
      <c r="A42" s="11"/>
      <c r="B42" s="12"/>
      <c r="C42" s="13"/>
      <c r="D42" s="14"/>
      <c r="E42" s="15"/>
      <c r="F42" s="16"/>
      <c r="G42" s="17"/>
      <c r="H42" s="17"/>
      <c r="I42" s="17"/>
    </row>
    <row r="43" spans="1:9" ht="105" customHeight="1" x14ac:dyDescent="0.2">
      <c r="A43" s="4"/>
      <c r="B43" s="5"/>
      <c r="C43" s="6"/>
      <c r="D43" s="7"/>
      <c r="E43" s="8"/>
      <c r="F43" s="9"/>
      <c r="G43" s="10"/>
      <c r="H43" s="10"/>
      <c r="I43" s="10"/>
    </row>
    <row r="44" spans="1:9" ht="52.5" customHeight="1" x14ac:dyDescent="0.2">
      <c r="A44" s="11"/>
      <c r="B44" s="12"/>
      <c r="C44" s="13"/>
      <c r="D44" s="14"/>
      <c r="E44" s="15"/>
      <c r="F44" s="16"/>
      <c r="G44" s="17"/>
      <c r="H44" s="17"/>
      <c r="I44" s="17"/>
    </row>
    <row r="45" spans="1:9" ht="120" customHeight="1" x14ac:dyDescent="0.2">
      <c r="A45" s="4"/>
      <c r="B45" s="5"/>
      <c r="C45" s="6"/>
      <c r="D45" s="7"/>
      <c r="E45" s="8"/>
      <c r="F45" s="9"/>
      <c r="G45" s="10"/>
      <c r="H45" s="10"/>
      <c r="I45" s="10"/>
    </row>
    <row r="46" spans="1:9" ht="117.75" customHeight="1" x14ac:dyDescent="0.2">
      <c r="A46" s="11"/>
      <c r="B46" s="12"/>
      <c r="C46" s="13"/>
      <c r="D46" s="14"/>
      <c r="E46" s="15"/>
      <c r="F46" s="16"/>
      <c r="G46" s="17"/>
      <c r="H46" s="17"/>
      <c r="I46" s="17"/>
    </row>
    <row r="47" spans="1:9" ht="105" customHeight="1" x14ac:dyDescent="0.2">
      <c r="A47" s="4"/>
      <c r="B47" s="5"/>
      <c r="C47" s="6"/>
      <c r="D47" s="7"/>
      <c r="E47" s="8"/>
      <c r="F47" s="9"/>
      <c r="G47" s="10"/>
      <c r="H47" s="10"/>
      <c r="I47" s="10"/>
    </row>
    <row r="48" spans="1:9" ht="105" customHeight="1" x14ac:dyDescent="0.2">
      <c r="A48" s="11"/>
      <c r="B48" s="12"/>
      <c r="C48" s="13"/>
      <c r="D48" s="14"/>
      <c r="E48" s="15"/>
      <c r="F48" s="16"/>
      <c r="G48" s="17"/>
      <c r="H48" s="17"/>
      <c r="I48" s="17"/>
    </row>
    <row r="49" spans="1:9" ht="105" customHeight="1" x14ac:dyDescent="0.2">
      <c r="A49" s="4"/>
      <c r="B49" s="5"/>
      <c r="C49" s="6"/>
      <c r="D49" s="7"/>
      <c r="E49" s="8"/>
      <c r="F49" s="9"/>
      <c r="G49" s="10"/>
      <c r="H49" s="10"/>
      <c r="I49" s="10"/>
    </row>
    <row r="50" spans="1:9" ht="120" customHeight="1" x14ac:dyDescent="0.2">
      <c r="A50" s="11"/>
      <c r="B50" s="12"/>
      <c r="C50" s="13"/>
      <c r="D50" s="14"/>
      <c r="E50" s="15"/>
      <c r="F50" s="16"/>
      <c r="G50" s="17"/>
      <c r="H50" s="17"/>
      <c r="I50" s="17"/>
    </row>
    <row r="51" spans="1:9" ht="117.75" customHeight="1" x14ac:dyDescent="0.2">
      <c r="A51" s="4"/>
      <c r="B51" s="5"/>
      <c r="C51" s="6"/>
      <c r="D51" s="7"/>
      <c r="E51" s="8"/>
      <c r="F51" s="9"/>
      <c r="G51" s="10"/>
      <c r="H51" s="10"/>
      <c r="I51" s="10"/>
    </row>
    <row r="52" spans="1:9" ht="120" customHeight="1" x14ac:dyDescent="0.2">
      <c r="A52" s="11"/>
      <c r="B52" s="12"/>
      <c r="C52" s="13"/>
      <c r="D52" s="14"/>
      <c r="E52" s="15"/>
      <c r="F52" s="16"/>
      <c r="G52" s="17"/>
      <c r="H52" s="17"/>
      <c r="I52" s="17"/>
    </row>
    <row r="53" spans="1:9" ht="120" customHeight="1" x14ac:dyDescent="0.2">
      <c r="A53" s="4"/>
      <c r="B53" s="5"/>
      <c r="C53" s="6"/>
      <c r="D53" s="7"/>
      <c r="E53" s="8"/>
      <c r="F53" s="9"/>
      <c r="G53" s="10"/>
      <c r="H53" s="10"/>
      <c r="I53" s="10"/>
    </row>
    <row r="54" spans="1:9" ht="117.75" customHeight="1" x14ac:dyDescent="0.2">
      <c r="A54" s="11"/>
      <c r="B54" s="39"/>
      <c r="C54" s="13"/>
      <c r="D54" s="14"/>
      <c r="E54" s="15"/>
      <c r="F54" s="16"/>
      <c r="G54" s="17"/>
      <c r="H54" s="17"/>
      <c r="I54" s="17"/>
    </row>
    <row r="55" spans="1:9" ht="120" customHeight="1" x14ac:dyDescent="0.2">
      <c r="A55" s="4"/>
      <c r="B55" s="5"/>
      <c r="C55" s="6"/>
      <c r="D55" s="7"/>
      <c r="E55" s="8"/>
      <c r="F55" s="9"/>
      <c r="G55" s="10"/>
      <c r="H55" s="10"/>
      <c r="I55" s="10"/>
    </row>
    <row r="56" spans="1:9" ht="120" customHeight="1" x14ac:dyDescent="0.2">
      <c r="A56" s="11"/>
      <c r="B56" s="12"/>
      <c r="C56" s="13"/>
      <c r="D56" s="14"/>
      <c r="E56" s="15"/>
      <c r="F56" s="16"/>
      <c r="G56" s="17"/>
      <c r="H56" s="17"/>
      <c r="I56" s="17"/>
    </row>
    <row r="57" spans="1:9" ht="120" customHeight="1" x14ac:dyDescent="0.2">
      <c r="A57" s="4"/>
      <c r="B57" s="5"/>
      <c r="C57" s="31"/>
      <c r="D57" s="7"/>
      <c r="E57" s="8"/>
      <c r="F57" s="9"/>
      <c r="G57" s="10"/>
      <c r="H57" s="10"/>
      <c r="I57" s="10"/>
    </row>
    <row r="58" spans="1:9" ht="105" customHeight="1" x14ac:dyDescent="0.2">
      <c r="A58" s="11"/>
      <c r="B58" s="12"/>
      <c r="C58" s="13"/>
      <c r="D58" s="14"/>
      <c r="E58" s="15"/>
      <c r="F58" s="16"/>
      <c r="G58" s="17"/>
      <c r="H58" s="17"/>
      <c r="I58" s="17"/>
    </row>
    <row r="59" spans="1:9" ht="78.75" customHeight="1" x14ac:dyDescent="0.2">
      <c r="A59" s="4"/>
      <c r="B59" s="5"/>
      <c r="C59" s="6"/>
      <c r="D59" s="7"/>
      <c r="E59" s="8"/>
      <c r="F59" s="9"/>
      <c r="G59" s="10"/>
      <c r="H59" s="10"/>
      <c r="I59" s="10"/>
    </row>
    <row r="60" spans="1:9" ht="120" customHeight="1" x14ac:dyDescent="0.2">
      <c r="A60" s="11"/>
      <c r="B60" s="12"/>
      <c r="C60" s="13"/>
      <c r="D60" s="14"/>
      <c r="E60" s="15"/>
      <c r="F60" s="16"/>
      <c r="G60" s="17"/>
      <c r="H60" s="17"/>
      <c r="I60" s="17"/>
    </row>
    <row r="61" spans="1:9" ht="120" customHeight="1" x14ac:dyDescent="0.2">
      <c r="A61" s="4"/>
      <c r="B61" s="5"/>
      <c r="C61" s="6"/>
      <c r="D61" s="7"/>
      <c r="E61" s="8"/>
      <c r="F61" s="9"/>
      <c r="G61" s="10"/>
      <c r="H61" s="10"/>
      <c r="I61" s="10"/>
    </row>
    <row r="62" spans="1:9" ht="120" customHeight="1" x14ac:dyDescent="0.2">
      <c r="A62" s="11"/>
      <c r="B62" s="12"/>
      <c r="C62" s="13"/>
      <c r="D62" s="14"/>
      <c r="E62" s="15"/>
      <c r="F62" s="16"/>
      <c r="G62" s="17"/>
      <c r="H62" s="17"/>
      <c r="I62" s="17"/>
    </row>
    <row r="63" spans="1:9" ht="105" customHeight="1" x14ac:dyDescent="0.2">
      <c r="A63" s="4"/>
      <c r="B63" s="5"/>
      <c r="C63" s="6"/>
      <c r="D63" s="7"/>
      <c r="E63" s="8"/>
      <c r="F63" s="9"/>
      <c r="G63" s="10"/>
      <c r="H63" s="10"/>
      <c r="I63" s="10"/>
    </row>
    <row r="64" spans="1:9" ht="120" customHeight="1" x14ac:dyDescent="0.2">
      <c r="A64" s="11"/>
      <c r="B64" s="12"/>
      <c r="C64" s="13"/>
      <c r="D64" s="14"/>
      <c r="E64" s="15"/>
      <c r="F64" s="16"/>
      <c r="G64" s="17"/>
      <c r="H64" s="17"/>
      <c r="I64" s="17"/>
    </row>
    <row r="65" spans="1:9" ht="66" customHeight="1" x14ac:dyDescent="0.2">
      <c r="A65" s="4"/>
      <c r="B65" s="5"/>
      <c r="C65" s="6"/>
      <c r="D65" s="7"/>
      <c r="E65" s="8"/>
      <c r="F65" s="9"/>
      <c r="G65" s="10"/>
      <c r="H65" s="10"/>
      <c r="I65" s="10"/>
    </row>
    <row r="66" spans="1:9" ht="120" customHeight="1" x14ac:dyDescent="0.2">
      <c r="A66" s="11"/>
      <c r="B66" s="12"/>
      <c r="C66" s="13"/>
      <c r="D66" s="14"/>
      <c r="E66" s="15"/>
      <c r="F66" s="16"/>
      <c r="G66" s="17"/>
      <c r="H66" s="17"/>
      <c r="I66" s="17"/>
    </row>
    <row r="67" spans="1:9" ht="78.75" customHeight="1" x14ac:dyDescent="0.2">
      <c r="A67" s="4"/>
      <c r="B67" s="5"/>
      <c r="C67" s="6"/>
      <c r="D67" s="7"/>
      <c r="E67" s="8"/>
      <c r="F67" s="9"/>
      <c r="G67" s="10"/>
      <c r="H67" s="10"/>
      <c r="I67" s="10"/>
    </row>
    <row r="68" spans="1:9" ht="120" customHeight="1" x14ac:dyDescent="0.2">
      <c r="A68" s="11"/>
      <c r="B68" s="12"/>
      <c r="C68" s="13"/>
      <c r="D68" s="14"/>
      <c r="E68" s="15"/>
      <c r="F68" s="16"/>
      <c r="G68" s="17"/>
      <c r="H68" s="17"/>
      <c r="I68" s="17"/>
    </row>
    <row r="69" spans="1:9" ht="91.5" customHeight="1" x14ac:dyDescent="0.2">
      <c r="A69" s="4"/>
      <c r="B69" s="5"/>
      <c r="C69" s="6"/>
      <c r="D69" s="7"/>
      <c r="E69" s="8"/>
      <c r="F69" s="9"/>
      <c r="G69" s="10"/>
      <c r="H69" s="10"/>
      <c r="I69" s="10"/>
    </row>
    <row r="70" spans="1:9" ht="91.5" customHeight="1" x14ac:dyDescent="0.2">
      <c r="A70" s="11"/>
      <c r="B70" s="12"/>
      <c r="C70" s="13"/>
      <c r="D70" s="14"/>
      <c r="E70" s="15"/>
      <c r="F70" s="16"/>
      <c r="G70" s="17"/>
      <c r="H70" s="17"/>
      <c r="I70" s="17"/>
    </row>
    <row r="71" spans="1:9" ht="120" customHeight="1" x14ac:dyDescent="0.2">
      <c r="A71" s="4"/>
      <c r="B71" s="5"/>
      <c r="C71" s="6"/>
      <c r="D71" s="7"/>
      <c r="E71" s="8"/>
      <c r="F71" s="9"/>
      <c r="G71" s="10"/>
      <c r="H71" s="10"/>
      <c r="I71" s="10"/>
    </row>
    <row r="72" spans="1:9" ht="91.5" customHeight="1" x14ac:dyDescent="0.2">
      <c r="A72" s="11"/>
      <c r="B72" s="12"/>
      <c r="C72" s="18"/>
      <c r="D72" s="14"/>
      <c r="E72" s="15"/>
      <c r="F72" s="16"/>
      <c r="G72" s="17"/>
      <c r="H72" s="17"/>
      <c r="I72" s="17"/>
    </row>
    <row r="73" spans="1:9" ht="117.75" customHeight="1" x14ac:dyDescent="0.2">
      <c r="A73" s="4"/>
      <c r="B73" s="5"/>
      <c r="C73" s="6"/>
      <c r="D73" s="7"/>
      <c r="E73" s="8"/>
      <c r="F73" s="9"/>
      <c r="G73" s="10"/>
      <c r="H73" s="10"/>
      <c r="I73" s="10"/>
    </row>
    <row r="74" spans="1:9" ht="117.75" customHeight="1" x14ac:dyDescent="0.2">
      <c r="A74" s="11"/>
      <c r="B74" s="12"/>
      <c r="C74" s="13"/>
      <c r="D74" s="14"/>
      <c r="E74" s="15"/>
      <c r="F74" s="16"/>
      <c r="G74" s="17"/>
      <c r="H74" s="17"/>
      <c r="I74" s="17"/>
    </row>
    <row r="75" spans="1:9" ht="105" customHeight="1" x14ac:dyDescent="0.2">
      <c r="A75" s="4"/>
      <c r="B75" s="5"/>
      <c r="C75" s="6"/>
      <c r="D75" s="7"/>
      <c r="E75" s="8"/>
      <c r="F75" s="9"/>
      <c r="G75" s="10"/>
      <c r="H75" s="10"/>
      <c r="I75" s="10"/>
    </row>
    <row r="76" spans="1:9" ht="91.5" customHeight="1" x14ac:dyDescent="0.2">
      <c r="A76" s="11"/>
      <c r="B76" s="12"/>
      <c r="C76" s="13"/>
      <c r="D76" s="14"/>
      <c r="E76" s="15"/>
      <c r="F76" s="16"/>
      <c r="G76" s="17"/>
      <c r="H76" s="17"/>
      <c r="I76" s="17"/>
    </row>
    <row r="77" spans="1:9" ht="117.75" customHeight="1" x14ac:dyDescent="0.2">
      <c r="A77" s="4"/>
      <c r="B77" s="5"/>
      <c r="C77" s="6"/>
      <c r="D77" s="7"/>
      <c r="E77" s="8"/>
      <c r="F77" s="9"/>
      <c r="G77" s="10"/>
      <c r="H77" s="10"/>
      <c r="I77" s="10"/>
    </row>
    <row r="78" spans="1:9" ht="117.75" customHeight="1" x14ac:dyDescent="0.2">
      <c r="A78" s="11"/>
      <c r="B78" s="12"/>
      <c r="C78" s="13"/>
      <c r="D78" s="14"/>
      <c r="E78" s="15"/>
      <c r="F78" s="16"/>
      <c r="G78" s="17"/>
      <c r="H78" s="17"/>
      <c r="I78" s="17"/>
    </row>
    <row r="79" spans="1:9" ht="105" customHeight="1" x14ac:dyDescent="0.2">
      <c r="A79" s="4"/>
      <c r="B79" s="5"/>
      <c r="C79" s="6"/>
      <c r="D79" s="7"/>
      <c r="E79" s="8"/>
      <c r="F79" s="9"/>
      <c r="G79" s="10"/>
      <c r="H79" s="10"/>
      <c r="I79" s="10"/>
    </row>
    <row r="80" spans="1:9" ht="78.75" customHeight="1" x14ac:dyDescent="0.2">
      <c r="A80" s="11"/>
      <c r="B80" s="12"/>
      <c r="C80" s="13"/>
      <c r="D80" s="14"/>
      <c r="E80" s="15"/>
      <c r="F80" s="16"/>
      <c r="G80" s="17"/>
      <c r="H80" s="17"/>
      <c r="I80" s="17"/>
    </row>
    <row r="81" spans="1:9" ht="117.75" customHeight="1" x14ac:dyDescent="0.2">
      <c r="A81" s="4"/>
      <c r="B81" s="5"/>
      <c r="C81" s="6"/>
      <c r="D81" s="7"/>
      <c r="E81" s="8"/>
      <c r="F81" s="9"/>
      <c r="G81" s="10"/>
      <c r="H81" s="10"/>
      <c r="I81" s="10"/>
    </row>
    <row r="82" spans="1:9" ht="117.75" customHeight="1" x14ac:dyDescent="0.2">
      <c r="A82" s="11"/>
      <c r="B82" s="12"/>
      <c r="C82" s="13"/>
      <c r="D82" s="14"/>
      <c r="E82" s="15"/>
      <c r="F82" s="16"/>
      <c r="G82" s="17"/>
      <c r="H82" s="17"/>
      <c r="I82" s="17"/>
    </row>
    <row r="83" spans="1:9" ht="91.5" customHeight="1" x14ac:dyDescent="0.2">
      <c r="A83" s="4"/>
      <c r="B83" s="5"/>
      <c r="C83" s="31"/>
      <c r="D83" s="7"/>
      <c r="E83" s="8"/>
      <c r="F83" s="9"/>
      <c r="G83" s="10"/>
      <c r="H83" s="10"/>
      <c r="I83" s="10"/>
    </row>
    <row r="84" spans="1:9" ht="117.75" customHeight="1" x14ac:dyDescent="0.2">
      <c r="A84" s="11"/>
      <c r="B84" s="12"/>
      <c r="C84" s="13"/>
      <c r="D84" s="14"/>
      <c r="E84" s="15"/>
      <c r="F84" s="16"/>
      <c r="G84" s="17"/>
      <c r="H84" s="17"/>
      <c r="I84" s="17"/>
    </row>
    <row r="85" spans="1:9" ht="105" customHeight="1" x14ac:dyDescent="0.2">
      <c r="A85" s="4"/>
      <c r="B85" s="5"/>
      <c r="C85" s="31"/>
      <c r="D85" s="7"/>
      <c r="E85" s="8"/>
      <c r="F85" s="9"/>
      <c r="G85" s="10"/>
      <c r="H85" s="10"/>
      <c r="I85" s="10"/>
    </row>
    <row r="86" spans="1:9" ht="91.5" customHeight="1" x14ac:dyDescent="0.2">
      <c r="A86" s="11"/>
      <c r="B86" s="12"/>
      <c r="C86" s="13"/>
      <c r="D86" s="14"/>
      <c r="E86" s="15"/>
      <c r="F86" s="16"/>
      <c r="G86" s="17"/>
      <c r="H86" s="17"/>
      <c r="I86" s="17"/>
    </row>
    <row r="87" spans="1:9" ht="78.75" customHeight="1" x14ac:dyDescent="0.2">
      <c r="A87" s="4"/>
      <c r="B87" s="5"/>
      <c r="C87" s="6"/>
      <c r="D87" s="7"/>
      <c r="E87" s="8"/>
      <c r="F87" s="9"/>
      <c r="G87" s="10"/>
      <c r="H87" s="10"/>
      <c r="I87" s="10"/>
    </row>
    <row r="88" spans="1:9" ht="120" customHeight="1" x14ac:dyDescent="0.2">
      <c r="A88" s="11"/>
      <c r="B88" s="12"/>
      <c r="C88" s="13"/>
      <c r="D88" s="14"/>
      <c r="E88" s="15"/>
      <c r="F88" s="16"/>
      <c r="G88" s="17"/>
      <c r="H88" s="17"/>
      <c r="I88" s="17"/>
    </row>
    <row r="89" spans="1:9" ht="120" customHeight="1" x14ac:dyDescent="0.2">
      <c r="A89" s="4"/>
      <c r="B89" s="5"/>
      <c r="C89" s="6"/>
      <c r="D89" s="7"/>
      <c r="E89" s="8"/>
      <c r="F89" s="9"/>
      <c r="G89" s="10"/>
      <c r="H89" s="10"/>
      <c r="I89" s="10"/>
    </row>
    <row r="90" spans="1:9" ht="120" customHeight="1" x14ac:dyDescent="0.2">
      <c r="A90" s="11"/>
      <c r="B90" s="12"/>
      <c r="C90" s="13"/>
      <c r="D90" s="14"/>
      <c r="E90" s="15"/>
      <c r="F90" s="16"/>
      <c r="G90" s="17"/>
      <c r="H90" s="17"/>
      <c r="I90" s="17"/>
    </row>
    <row r="91" spans="1:9" ht="120" customHeight="1" x14ac:dyDescent="0.2">
      <c r="A91" s="4"/>
      <c r="B91" s="5"/>
      <c r="C91" s="6"/>
      <c r="D91" s="7"/>
      <c r="E91" s="8"/>
      <c r="F91" s="9"/>
      <c r="G91" s="10"/>
      <c r="H91" s="10"/>
      <c r="I91" s="10"/>
    </row>
    <row r="92" spans="1:9" ht="117.75" customHeight="1" x14ac:dyDescent="0.2">
      <c r="A92" s="11"/>
      <c r="B92" s="12"/>
      <c r="C92" s="13"/>
      <c r="D92" s="14"/>
      <c r="E92" s="15"/>
      <c r="F92" s="16"/>
      <c r="G92" s="17"/>
      <c r="H92" s="17"/>
      <c r="I92" s="17"/>
    </row>
    <row r="93" spans="1:9" ht="117.75" customHeight="1" x14ac:dyDescent="0.2">
      <c r="A93" s="4"/>
      <c r="B93" s="5"/>
      <c r="C93" s="6"/>
      <c r="D93" s="7"/>
      <c r="E93" s="8"/>
      <c r="F93" s="9"/>
      <c r="G93" s="10"/>
      <c r="H93" s="10"/>
      <c r="I93" s="10"/>
    </row>
    <row r="94" spans="1:9" ht="120" customHeight="1" x14ac:dyDescent="0.2">
      <c r="A94" s="11"/>
      <c r="B94" s="12"/>
      <c r="C94" s="13"/>
      <c r="D94" s="14"/>
      <c r="E94" s="15"/>
      <c r="F94" s="16"/>
      <c r="G94" s="17"/>
      <c r="H94" s="17"/>
      <c r="I94" s="17"/>
    </row>
    <row r="95" spans="1:9" ht="91.5" customHeight="1" x14ac:dyDescent="0.2">
      <c r="A95" s="4"/>
      <c r="B95" s="5"/>
      <c r="C95" s="6"/>
      <c r="D95" s="7"/>
      <c r="E95" s="8"/>
      <c r="F95" s="9"/>
      <c r="G95" s="10"/>
      <c r="H95" s="10"/>
      <c r="I95" s="10"/>
    </row>
    <row r="96" spans="1:9" ht="120" customHeight="1" x14ac:dyDescent="0.2">
      <c r="A96" s="11"/>
      <c r="B96" s="12"/>
      <c r="C96" s="13"/>
      <c r="D96" s="14"/>
      <c r="E96" s="15"/>
      <c r="F96" s="16"/>
      <c r="G96" s="17"/>
      <c r="H96" s="17"/>
      <c r="I96" s="17"/>
    </row>
    <row r="97" spans="1:9" ht="120" customHeight="1" x14ac:dyDescent="0.2">
      <c r="A97" s="4"/>
      <c r="B97" s="5"/>
      <c r="C97" s="6"/>
      <c r="D97" s="7"/>
      <c r="E97" s="8"/>
      <c r="F97" s="9"/>
      <c r="G97" s="10"/>
      <c r="H97" s="10"/>
      <c r="I97" s="10"/>
    </row>
    <row r="98" spans="1:9" ht="120" customHeight="1" x14ac:dyDescent="0.2">
      <c r="A98" s="11"/>
      <c r="B98" s="12"/>
      <c r="C98" s="13"/>
      <c r="D98" s="14"/>
      <c r="E98" s="15"/>
      <c r="F98" s="16"/>
      <c r="G98" s="17"/>
      <c r="H98" s="17"/>
      <c r="I98" s="17"/>
    </row>
    <row r="99" spans="1:9" ht="78.75" customHeight="1" x14ac:dyDescent="0.2">
      <c r="A99" s="4"/>
      <c r="B99" s="5"/>
      <c r="C99" s="6"/>
      <c r="D99" s="7"/>
      <c r="E99" s="8"/>
      <c r="F99" s="9"/>
      <c r="G99" s="10"/>
      <c r="H99" s="10"/>
      <c r="I99" s="10"/>
    </row>
    <row r="100" spans="1:9" ht="120" customHeight="1" x14ac:dyDescent="0.2">
      <c r="A100" s="11"/>
      <c r="B100" s="12"/>
      <c r="C100" s="18"/>
      <c r="D100" s="14"/>
      <c r="E100" s="15"/>
      <c r="F100" s="16"/>
      <c r="G100" s="17"/>
      <c r="H100" s="17"/>
      <c r="I100" s="17"/>
    </row>
    <row r="101" spans="1:9" ht="91.5" customHeight="1" x14ac:dyDescent="0.2">
      <c r="A101" s="4"/>
      <c r="B101" s="5"/>
      <c r="C101" s="6"/>
      <c r="D101" s="7"/>
      <c r="E101" s="8"/>
      <c r="F101" s="9"/>
      <c r="G101" s="10"/>
      <c r="H101" s="10"/>
      <c r="I101" s="10"/>
    </row>
    <row r="102" spans="1:9" ht="117.75" customHeight="1" x14ac:dyDescent="0.2">
      <c r="A102" s="11"/>
      <c r="B102" s="12"/>
      <c r="C102" s="13"/>
      <c r="D102" s="14"/>
      <c r="E102" s="15"/>
      <c r="F102" s="16"/>
      <c r="G102" s="17"/>
      <c r="H102" s="17"/>
      <c r="I102" s="17"/>
    </row>
    <row r="103" spans="1:9" ht="117.75" customHeight="1" x14ac:dyDescent="0.2">
      <c r="A103" s="4"/>
      <c r="B103" s="5"/>
      <c r="C103" s="6"/>
      <c r="D103" s="7"/>
      <c r="E103" s="8"/>
      <c r="F103" s="9"/>
      <c r="G103" s="10"/>
      <c r="H103" s="10"/>
      <c r="I103" s="10"/>
    </row>
    <row r="104" spans="1:9" ht="105" customHeight="1" x14ac:dyDescent="0.2">
      <c r="A104" s="11"/>
      <c r="B104" s="12"/>
      <c r="C104" s="13"/>
      <c r="D104" s="14"/>
      <c r="E104" s="15"/>
      <c r="F104" s="16"/>
      <c r="G104" s="17"/>
      <c r="H104" s="17"/>
      <c r="I104" s="17"/>
    </row>
    <row r="105" spans="1:9" ht="120" customHeight="1" x14ac:dyDescent="0.2">
      <c r="A105" s="4"/>
      <c r="B105" s="5"/>
      <c r="C105" s="6"/>
      <c r="D105" s="7"/>
      <c r="E105" s="8"/>
      <c r="F105" s="9"/>
      <c r="G105" s="10"/>
      <c r="H105" s="10"/>
      <c r="I105" s="10"/>
    </row>
    <row r="106" spans="1:9" ht="105" customHeight="1" x14ac:dyDescent="0.2">
      <c r="A106" s="11"/>
      <c r="B106" s="12"/>
      <c r="C106" s="18"/>
      <c r="D106" s="14"/>
      <c r="E106" s="15"/>
      <c r="F106" s="16"/>
      <c r="G106" s="17"/>
      <c r="H106" s="17"/>
      <c r="I106" s="17"/>
    </row>
    <row r="107" spans="1:9" ht="105" customHeight="1" x14ac:dyDescent="0.2">
      <c r="A107" s="4"/>
      <c r="B107" s="5"/>
      <c r="C107" s="6"/>
      <c r="D107" s="7"/>
      <c r="E107" s="8"/>
      <c r="F107" s="9"/>
      <c r="G107" s="10"/>
      <c r="H107" s="10"/>
      <c r="I107" s="10"/>
    </row>
    <row r="108" spans="1:9" ht="120" customHeight="1" x14ac:dyDescent="0.2">
      <c r="A108" s="11"/>
      <c r="B108" s="12"/>
      <c r="C108" s="13"/>
      <c r="D108" s="14"/>
      <c r="E108" s="15"/>
      <c r="F108" s="16"/>
      <c r="G108" s="17"/>
      <c r="H108" s="17"/>
      <c r="I108" s="17"/>
    </row>
    <row r="109" spans="1:9" ht="105" customHeight="1" x14ac:dyDescent="0.2">
      <c r="A109" s="4"/>
      <c r="B109" s="5"/>
      <c r="C109" s="6"/>
      <c r="D109" s="7"/>
      <c r="E109" s="8"/>
      <c r="F109" s="9"/>
      <c r="G109" s="10"/>
      <c r="H109" s="10"/>
      <c r="I109" s="10"/>
    </row>
    <row r="110" spans="1:9" ht="105" customHeight="1" x14ac:dyDescent="0.2">
      <c r="A110" s="11"/>
      <c r="B110" s="12"/>
      <c r="C110" s="13"/>
      <c r="D110" s="14"/>
      <c r="E110" s="15"/>
      <c r="F110" s="16"/>
      <c r="G110" s="17"/>
      <c r="H110" s="17"/>
      <c r="I110" s="17"/>
    </row>
    <row r="111" spans="1:9" ht="120" customHeight="1" x14ac:dyDescent="0.2">
      <c r="A111" s="4"/>
      <c r="B111" s="5"/>
      <c r="C111" s="6"/>
      <c r="D111" s="7"/>
      <c r="E111" s="8"/>
      <c r="F111" s="9"/>
      <c r="G111" s="10"/>
      <c r="H111" s="10"/>
      <c r="I111" s="10"/>
    </row>
    <row r="112" spans="1:9" ht="120" customHeight="1" x14ac:dyDescent="0.2">
      <c r="A112" s="11"/>
      <c r="B112" s="12"/>
      <c r="C112" s="13"/>
      <c r="D112" s="14"/>
      <c r="E112" s="15"/>
      <c r="F112" s="16"/>
      <c r="G112" s="17"/>
      <c r="H112" s="17"/>
      <c r="I112" s="17"/>
    </row>
    <row r="113" spans="1:9" ht="120" customHeight="1" x14ac:dyDescent="0.2">
      <c r="A113" s="4"/>
      <c r="B113" s="5"/>
      <c r="C113" s="6"/>
      <c r="D113" s="7"/>
      <c r="E113" s="8"/>
      <c r="F113" s="9"/>
      <c r="G113" s="10"/>
      <c r="H113" s="10"/>
      <c r="I113" s="10"/>
    </row>
    <row r="114" spans="1:9" ht="120" customHeight="1" x14ac:dyDescent="0.2">
      <c r="A114" s="11"/>
      <c r="B114" s="12"/>
      <c r="C114" s="18"/>
      <c r="D114" s="14"/>
      <c r="E114" s="15"/>
      <c r="F114" s="16"/>
      <c r="G114" s="17"/>
      <c r="H114" s="17"/>
      <c r="I114" s="17"/>
    </row>
    <row r="115" spans="1:9" ht="120" customHeight="1" x14ac:dyDescent="0.2">
      <c r="A115" s="4"/>
      <c r="B115" s="5"/>
      <c r="C115" s="6"/>
      <c r="D115" s="7"/>
      <c r="E115" s="8"/>
      <c r="F115" s="9"/>
      <c r="G115" s="10"/>
      <c r="H115" s="10"/>
      <c r="I115" s="10"/>
    </row>
    <row r="116" spans="1:9" ht="117.75" customHeight="1" x14ac:dyDescent="0.2">
      <c r="A116" s="11"/>
      <c r="B116" s="12"/>
      <c r="C116" s="13"/>
      <c r="D116" s="14"/>
      <c r="E116" s="15"/>
      <c r="F116" s="16"/>
      <c r="G116" s="17"/>
      <c r="H116" s="17"/>
      <c r="I116" s="17"/>
    </row>
    <row r="117" spans="1:9" ht="105" customHeight="1" x14ac:dyDescent="0.2">
      <c r="A117" s="4"/>
      <c r="B117" s="5"/>
      <c r="C117" s="6"/>
      <c r="D117" s="7"/>
      <c r="E117" s="8"/>
      <c r="F117" s="9"/>
      <c r="G117" s="10"/>
      <c r="H117" s="10"/>
      <c r="I117" s="10"/>
    </row>
    <row r="118" spans="1:9" ht="78.75" customHeight="1" x14ac:dyDescent="0.2">
      <c r="A118" s="11"/>
      <c r="B118" s="12"/>
      <c r="C118" s="13"/>
      <c r="D118" s="14"/>
      <c r="E118" s="15"/>
      <c r="F118" s="16"/>
      <c r="G118" s="17"/>
      <c r="H118" s="17"/>
      <c r="I118" s="17"/>
    </row>
    <row r="119" spans="1:9" ht="117.75" customHeight="1" x14ac:dyDescent="0.2">
      <c r="A119" s="4"/>
      <c r="B119" s="5"/>
      <c r="C119" s="6"/>
      <c r="D119" s="7"/>
      <c r="E119" s="8"/>
      <c r="F119" s="9"/>
      <c r="G119" s="10"/>
      <c r="H119" s="10"/>
      <c r="I119" s="10"/>
    </row>
    <row r="120" spans="1:9" ht="117.75" customHeight="1" x14ac:dyDescent="0.2">
      <c r="A120" s="11"/>
      <c r="B120" s="12"/>
      <c r="C120" s="18"/>
      <c r="D120" s="14"/>
      <c r="E120" s="15"/>
      <c r="F120" s="16"/>
      <c r="G120" s="17"/>
      <c r="H120" s="17"/>
      <c r="I120" s="17"/>
    </row>
    <row r="121" spans="1:9" ht="105" customHeight="1" x14ac:dyDescent="0.2">
      <c r="A121" s="4"/>
      <c r="B121" s="5"/>
      <c r="C121" s="6"/>
      <c r="D121" s="7"/>
      <c r="E121" s="8"/>
      <c r="F121" s="9"/>
      <c r="G121" s="10"/>
      <c r="H121" s="10"/>
      <c r="I121" s="10"/>
    </row>
    <row r="122" spans="1:9" ht="117.75" customHeight="1" x14ac:dyDescent="0.2">
      <c r="A122" s="11"/>
      <c r="B122" s="12"/>
      <c r="C122" s="13"/>
      <c r="D122" s="14"/>
      <c r="E122" s="15"/>
      <c r="F122" s="16"/>
      <c r="G122" s="17"/>
      <c r="H122" s="17"/>
      <c r="I122" s="17"/>
    </row>
    <row r="123" spans="1:9" ht="117.75" customHeight="1" x14ac:dyDescent="0.2">
      <c r="A123" s="4"/>
      <c r="B123" s="5"/>
      <c r="C123" s="6"/>
      <c r="D123" s="7"/>
      <c r="E123" s="8"/>
      <c r="F123" s="9"/>
      <c r="G123" s="10"/>
      <c r="H123" s="10"/>
      <c r="I123" s="10"/>
    </row>
    <row r="124" spans="1:9" ht="117.75" customHeight="1" x14ac:dyDescent="0.2">
      <c r="A124" s="11"/>
      <c r="B124" s="12"/>
      <c r="C124" s="13"/>
      <c r="D124" s="14"/>
      <c r="E124" s="15"/>
      <c r="F124" s="16"/>
      <c r="G124" s="17"/>
      <c r="H124" s="17"/>
      <c r="I124" s="17"/>
    </row>
    <row r="125" spans="1:9" ht="117.75" customHeight="1" x14ac:dyDescent="0.2">
      <c r="A125" s="4"/>
      <c r="B125" s="5"/>
      <c r="C125" s="6"/>
      <c r="D125" s="7"/>
      <c r="E125" s="8"/>
      <c r="F125" s="9"/>
      <c r="G125" s="10"/>
      <c r="H125" s="10"/>
      <c r="I125" s="10"/>
    </row>
    <row r="126" spans="1:9" ht="91.5" customHeight="1" x14ac:dyDescent="0.2">
      <c r="A126" s="11"/>
      <c r="B126" s="12"/>
      <c r="C126" s="13"/>
      <c r="D126" s="14"/>
      <c r="E126" s="15"/>
      <c r="F126" s="16"/>
      <c r="G126" s="17"/>
      <c r="H126" s="17"/>
      <c r="I126" s="17"/>
    </row>
    <row r="127" spans="1:9" ht="120" customHeight="1" x14ac:dyDescent="0.2">
      <c r="A127" s="4"/>
      <c r="B127" s="5"/>
      <c r="C127" s="6"/>
      <c r="D127" s="7"/>
      <c r="E127" s="8"/>
      <c r="F127" s="9"/>
      <c r="G127" s="10"/>
      <c r="H127" s="10"/>
      <c r="I127" s="10"/>
    </row>
    <row r="128" spans="1:9" ht="120" customHeight="1" x14ac:dyDescent="0.2">
      <c r="A128" s="11"/>
      <c r="B128" s="12"/>
      <c r="C128" s="13"/>
      <c r="D128" s="14"/>
      <c r="E128" s="15"/>
      <c r="F128" s="16"/>
      <c r="G128" s="17"/>
      <c r="H128" s="17"/>
      <c r="I128" s="17"/>
    </row>
    <row r="129" spans="1:9" ht="91.5" customHeight="1" x14ac:dyDescent="0.2">
      <c r="A129" s="4"/>
      <c r="B129" s="5"/>
      <c r="C129" s="6"/>
      <c r="D129" s="7"/>
      <c r="E129" s="8"/>
      <c r="F129" s="9"/>
      <c r="G129" s="10"/>
      <c r="H129" s="10"/>
      <c r="I129" s="10"/>
    </row>
    <row r="130" spans="1:9" ht="91.5" customHeight="1" x14ac:dyDescent="0.2">
      <c r="A130" s="11"/>
      <c r="B130" s="12"/>
      <c r="C130" s="13"/>
      <c r="D130" s="14"/>
      <c r="E130" s="15"/>
      <c r="F130" s="16"/>
      <c r="G130" s="17"/>
      <c r="H130" s="17"/>
      <c r="I130" s="17"/>
    </row>
    <row r="131" spans="1:9" ht="78.75" customHeight="1" x14ac:dyDescent="0.2">
      <c r="A131" s="4"/>
      <c r="B131" s="5"/>
      <c r="C131" s="6"/>
      <c r="D131" s="7"/>
      <c r="E131" s="8"/>
      <c r="F131" s="9"/>
      <c r="G131" s="10"/>
      <c r="H131" s="10"/>
      <c r="I131" s="10"/>
    </row>
    <row r="132" spans="1:9" ht="117.75" customHeight="1" x14ac:dyDescent="0.2">
      <c r="A132" s="11"/>
      <c r="B132" s="12"/>
      <c r="C132" s="13"/>
      <c r="D132" s="14"/>
      <c r="E132" s="15"/>
      <c r="F132" s="16"/>
      <c r="G132" s="17"/>
      <c r="H132" s="17"/>
      <c r="I132" s="17"/>
    </row>
    <row r="133" spans="1:9" ht="105" customHeight="1" x14ac:dyDescent="0.2">
      <c r="A133" s="4"/>
      <c r="B133" s="5"/>
      <c r="C133" s="6"/>
      <c r="D133" s="7"/>
      <c r="E133" s="8"/>
      <c r="F133" s="9"/>
      <c r="G133" s="10"/>
      <c r="H133" s="10"/>
      <c r="I133" s="10"/>
    </row>
    <row r="134" spans="1:9" ht="120" customHeight="1" x14ac:dyDescent="0.2">
      <c r="A134" s="11"/>
      <c r="B134" s="12"/>
      <c r="C134" s="13"/>
      <c r="D134" s="14"/>
      <c r="E134" s="15"/>
      <c r="F134" s="16"/>
      <c r="G134" s="17"/>
      <c r="H134" s="17"/>
      <c r="I134" s="17"/>
    </row>
    <row r="135" spans="1:9" ht="117.75" customHeight="1" x14ac:dyDescent="0.2">
      <c r="A135" s="4"/>
      <c r="B135" s="5"/>
      <c r="C135" s="6"/>
      <c r="D135" s="7"/>
      <c r="E135" s="8"/>
      <c r="F135" s="9"/>
      <c r="G135" s="10"/>
      <c r="H135" s="10"/>
      <c r="I135" s="10"/>
    </row>
    <row r="136" spans="1:9" ht="66" customHeight="1" x14ac:dyDescent="0.2">
      <c r="A136" s="11"/>
      <c r="B136" s="12"/>
      <c r="C136" s="13"/>
      <c r="D136" s="14"/>
      <c r="E136" s="15"/>
      <c r="F136" s="16"/>
      <c r="G136" s="17"/>
      <c r="H136" s="17"/>
      <c r="I136" s="17"/>
    </row>
    <row r="137" spans="1:9" ht="105" customHeight="1" x14ac:dyDescent="0.2">
      <c r="A137" s="4"/>
      <c r="B137" s="5"/>
      <c r="C137" s="6"/>
      <c r="D137" s="7"/>
      <c r="E137" s="8"/>
      <c r="F137" s="9"/>
      <c r="G137" s="10"/>
      <c r="H137" s="10"/>
      <c r="I137" s="10"/>
    </row>
    <row r="138" spans="1:9" ht="117.75" customHeight="1" x14ac:dyDescent="0.2">
      <c r="A138" s="11"/>
      <c r="B138" s="12"/>
      <c r="C138" s="13"/>
      <c r="D138" s="14"/>
      <c r="E138" s="15"/>
      <c r="F138" s="16"/>
      <c r="G138" s="17"/>
      <c r="H138" s="17"/>
      <c r="I138" s="17"/>
    </row>
    <row r="139" spans="1:9" ht="117.75" customHeight="1" x14ac:dyDescent="0.2">
      <c r="A139" s="4"/>
      <c r="B139" s="5"/>
      <c r="C139" s="6"/>
      <c r="D139" s="7"/>
      <c r="E139" s="8"/>
      <c r="F139" s="9"/>
      <c r="G139" s="10"/>
      <c r="H139" s="10"/>
      <c r="I139" s="10"/>
    </row>
    <row r="140" spans="1:9" ht="117.75" customHeight="1" x14ac:dyDescent="0.2">
      <c r="A140" s="11"/>
      <c r="B140" s="12"/>
      <c r="C140" s="13"/>
      <c r="D140" s="14"/>
      <c r="E140" s="15"/>
      <c r="F140" s="16"/>
      <c r="G140" s="17"/>
      <c r="H140" s="17"/>
      <c r="I140" s="17"/>
    </row>
    <row r="141" spans="1:9" ht="120" customHeight="1" x14ac:dyDescent="0.2">
      <c r="A141" s="4"/>
      <c r="B141" s="5"/>
      <c r="C141" s="6"/>
      <c r="D141" s="7"/>
      <c r="E141" s="8"/>
      <c r="F141" s="9"/>
      <c r="G141" s="10"/>
      <c r="H141" s="10"/>
      <c r="I141" s="10"/>
    </row>
    <row r="142" spans="1:9" ht="78.75" customHeight="1" x14ac:dyDescent="0.2">
      <c r="A142" s="11"/>
      <c r="B142" s="12"/>
      <c r="C142" s="13"/>
      <c r="D142" s="14"/>
      <c r="E142" s="15"/>
      <c r="F142" s="16"/>
      <c r="G142" s="17"/>
      <c r="H142" s="17"/>
      <c r="I142" s="17"/>
    </row>
    <row r="143" spans="1:9" ht="117.75" customHeight="1" x14ac:dyDescent="0.2">
      <c r="A143" s="4"/>
      <c r="B143" s="5"/>
      <c r="C143" s="6"/>
      <c r="D143" s="7"/>
      <c r="E143" s="8"/>
      <c r="F143" s="9"/>
      <c r="G143" s="10"/>
      <c r="H143" s="10"/>
      <c r="I143" s="10"/>
    </row>
    <row r="144" spans="1:9" ht="120" customHeight="1" x14ac:dyDescent="0.2">
      <c r="A144" s="11"/>
      <c r="B144" s="12"/>
      <c r="C144" s="13"/>
      <c r="D144" s="14"/>
      <c r="E144" s="15"/>
      <c r="F144" s="16"/>
      <c r="G144" s="17"/>
      <c r="H144" s="17"/>
      <c r="I144" s="17"/>
    </row>
    <row r="145" spans="1:9" ht="120" customHeight="1" x14ac:dyDescent="0.2">
      <c r="A145" s="4"/>
      <c r="B145" s="5"/>
      <c r="C145" s="6"/>
      <c r="D145" s="7"/>
      <c r="E145" s="8"/>
      <c r="F145" s="9"/>
      <c r="G145" s="10"/>
      <c r="H145" s="10"/>
      <c r="I145" s="10"/>
    </row>
    <row r="146" spans="1:9" ht="117.75" customHeight="1" x14ac:dyDescent="0.2">
      <c r="A146" s="11"/>
      <c r="B146" s="12"/>
      <c r="C146" s="13"/>
      <c r="D146" s="14"/>
      <c r="E146" s="15"/>
      <c r="F146" s="16"/>
      <c r="G146" s="17"/>
      <c r="H146" s="17"/>
      <c r="I146" s="17"/>
    </row>
    <row r="147" spans="1:9" ht="117.75" customHeight="1" x14ac:dyDescent="0.2">
      <c r="A147" s="4"/>
      <c r="B147" s="5"/>
      <c r="C147" s="6"/>
      <c r="D147" s="7"/>
      <c r="E147" s="8"/>
      <c r="F147" s="9"/>
      <c r="G147" s="10"/>
      <c r="H147" s="10"/>
      <c r="I147" s="10"/>
    </row>
    <row r="148" spans="1:9" ht="91.5" customHeight="1" x14ac:dyDescent="0.2">
      <c r="A148" s="11"/>
      <c r="B148" s="12"/>
      <c r="C148" s="13"/>
      <c r="D148" s="14"/>
      <c r="E148" s="15"/>
      <c r="F148" s="16"/>
      <c r="G148" s="17"/>
      <c r="H148" s="17"/>
      <c r="I148" s="17"/>
    </row>
    <row r="149" spans="1:9" ht="120" customHeight="1" x14ac:dyDescent="0.2">
      <c r="A149" s="4"/>
      <c r="B149" s="5"/>
      <c r="C149" s="6"/>
      <c r="D149" s="7"/>
      <c r="E149" s="8"/>
      <c r="F149" s="9"/>
      <c r="G149" s="10"/>
      <c r="H149" s="10"/>
      <c r="I149" s="10"/>
    </row>
    <row r="150" spans="1:9" ht="105" customHeight="1" x14ac:dyDescent="0.2">
      <c r="A150" s="11"/>
      <c r="B150" s="12"/>
      <c r="C150" s="13"/>
      <c r="D150" s="14"/>
      <c r="E150" s="15"/>
      <c r="F150" s="16"/>
      <c r="G150" s="17"/>
      <c r="H150" s="17"/>
      <c r="I150" s="17"/>
    </row>
    <row r="151" spans="1:9" ht="7.5" customHeight="1" x14ac:dyDescent="0.2"/>
    <row r="152" spans="1:9" ht="19.5" customHeight="1" x14ac:dyDescent="0.2">
      <c r="A152" s="19">
        <f ca="1">SUMPRODUCT((A3:A150="AMIF")*SUBTOTAL(103,OFFSET(A3,ROW(A3:A150)-ROW(A3),0)))</f>
        <v>0</v>
      </c>
      <c r="B152" s="20" t="s">
        <v>400</v>
      </c>
      <c r="C152" s="21"/>
      <c r="D152" s="21"/>
      <c r="E152" s="21"/>
      <c r="F152" s="21"/>
      <c r="G152" s="22">
        <f ca="1">SUMPRODUCT((A3:A150="AMIF")*SUBTOTAL(103,OFFSET(A3,ROW(A3:A150)-ROW(A3),0))*G3:G150)</f>
        <v>0</v>
      </c>
      <c r="H152" s="22">
        <f ca="1">SUMPRODUCT((A3:A150="AMIF")*SUBTOTAL(103,OFFSET(A3,ROW(A3:A150)-ROW(A3),0))*H3:H150)</f>
        <v>0</v>
      </c>
      <c r="I152" s="22">
        <f ca="1">SUMPRODUCT((A3:A150="AMIF")*SUBTOTAL(103,OFFSET(A3,ROW(A3:A150)-ROW(A3),0))*I3:I150)</f>
        <v>0</v>
      </c>
    </row>
    <row r="153" spans="1:9" ht="19.5" customHeight="1" x14ac:dyDescent="0.2">
      <c r="A153" s="23">
        <f ca="1">SUMPRODUCT((A3:A150="National")*SUBTOTAL(103,OFFSET(A3,ROW(A3:A150)-ROW(A3),0)))</f>
        <v>0</v>
      </c>
      <c r="B153" s="24" t="s">
        <v>401</v>
      </c>
      <c r="C153" s="25"/>
      <c r="D153" s="25"/>
      <c r="E153" s="25"/>
      <c r="F153" s="25"/>
      <c r="G153" s="26">
        <f ca="1">SUMPRODUCT((A3:A150="National")*SUBTOTAL(103,OFFSET(A3,ROW(A3:A150)-ROW(A3),0))*G3:G150)</f>
        <v>0</v>
      </c>
      <c r="H153" s="26">
        <f ca="1">SUMPRODUCT((A3:A150="National")*SUBTOTAL(103,OFFSET(A3,ROW(A3:A150)-ROW(A3),0))*H3:H150)</f>
        <v>0</v>
      </c>
      <c r="I153" s="26">
        <f ca="1">SUMPRODUCT((A3:A150="National")*SUBTOTAL(103,OFFSET(A3,ROW(A3:A150)-ROW(A3),0))*I3:I150)</f>
        <v>0</v>
      </c>
    </row>
    <row r="154" spans="1:9" ht="24" customHeight="1" x14ac:dyDescent="0.2">
      <c r="A154" s="27">
        <f ca="1">SUMPRODUCT(((A3:A150="AMIF")+(A3:A150="AMIF-UKR")+(A3:A150="NATÜ")+(A3:A150="National"))*SUBTOTAL(103,OFFSET(A3,ROW(A3:A150)-ROW(A3),0)))</f>
        <v>0</v>
      </c>
      <c r="B154" s="28" t="s">
        <v>537</v>
      </c>
      <c r="C154" s="29"/>
      <c r="D154" s="29"/>
      <c r="E154" s="29"/>
      <c r="F154" s="29"/>
      <c r="G154" s="30">
        <f>SUBTOTAL(9,G3:G150)</f>
        <v>0</v>
      </c>
      <c r="H154" s="30">
        <f>SUBTOTAL(9,H3:H150)</f>
        <v>494000</v>
      </c>
      <c r="I154" s="30">
        <f>SUBTOTAL(9,I3:I150)</f>
        <v>494000</v>
      </c>
    </row>
    <row r="156" spans="1:9" x14ac:dyDescent="0.2">
      <c r="A156" s="104" t="s">
        <v>538</v>
      </c>
      <c r="B156" s="103"/>
      <c r="C156" s="103"/>
      <c r="D156" s="103"/>
      <c r="E156" s="103"/>
      <c r="F156" s="103"/>
      <c r="G156" s="103"/>
      <c r="H156" s="103"/>
      <c r="I156" s="103"/>
    </row>
  </sheetData>
  <autoFilter ref="A2:I2" xr:uid="{00000000-0009-0000-0000-000006000000}"/>
  <mergeCells count="2">
    <mergeCell ref="A1:I1"/>
    <mergeCell ref="A156:I15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56"/>
  <sheetViews>
    <sheetView zoomScale="75" zoomScaleNormal="100" workbookViewId="0">
      <pane ySplit="2" topLeftCell="A50" activePane="bottomLeft" state="frozen"/>
      <selection pane="bottomLeft" activeCell="D5" sqref="D5"/>
    </sheetView>
  </sheetViews>
  <sheetFormatPr baseColWidth="10" defaultColWidth="8.5" defaultRowHeight="15" x14ac:dyDescent="0.2"/>
  <cols>
    <col min="1" max="1" width="12" customWidth="1"/>
    <col min="2" max="3" width="34" customWidth="1"/>
    <col min="4" max="4" width="26" customWidth="1"/>
    <col min="5" max="5" width="52" customWidth="1"/>
    <col min="6" max="6" width="24" customWidth="1"/>
    <col min="7" max="9" width="16" customWidth="1"/>
  </cols>
  <sheetData>
    <row r="1" spans="1:9" ht="30" customHeight="1" x14ac:dyDescent="0.2">
      <c r="A1" s="102" t="s">
        <v>539</v>
      </c>
      <c r="B1" s="103"/>
      <c r="C1" s="103"/>
      <c r="D1" s="103"/>
      <c r="E1" s="103"/>
      <c r="F1" s="103"/>
      <c r="G1" s="103"/>
      <c r="H1" s="103"/>
      <c r="I1" s="103"/>
    </row>
    <row r="2" spans="1:9" ht="27.75" customHeight="1" x14ac:dyDescent="0.2">
      <c r="A2" s="1" t="s">
        <v>42</v>
      </c>
      <c r="B2" s="3" t="s">
        <v>43</v>
      </c>
      <c r="C2" s="3" t="s">
        <v>44</v>
      </c>
      <c r="D2" s="3" t="s">
        <v>45</v>
      </c>
      <c r="E2" s="3" t="s">
        <v>46</v>
      </c>
      <c r="F2" s="3" t="s">
        <v>47</v>
      </c>
      <c r="G2" s="1" t="s">
        <v>540</v>
      </c>
      <c r="H2" s="1" t="s">
        <v>541</v>
      </c>
      <c r="I2" s="1" t="s">
        <v>542</v>
      </c>
    </row>
    <row r="3" spans="1:9" ht="120" customHeight="1" x14ac:dyDescent="0.2">
      <c r="A3" s="4"/>
      <c r="B3" s="5" t="s">
        <v>619</v>
      </c>
      <c r="C3" s="85" t="s">
        <v>632</v>
      </c>
      <c r="D3" s="88" t="s">
        <v>98</v>
      </c>
      <c r="E3" s="31" t="s">
        <v>633</v>
      </c>
      <c r="F3" s="87" t="s">
        <v>607</v>
      </c>
      <c r="G3" s="10"/>
      <c r="H3" s="10">
        <v>310000</v>
      </c>
      <c r="I3" s="10">
        <v>310000</v>
      </c>
    </row>
    <row r="4" spans="1:9" ht="91.5" customHeight="1" x14ac:dyDescent="0.2">
      <c r="A4" s="11"/>
      <c r="B4" s="12" t="s">
        <v>634</v>
      </c>
      <c r="C4" s="18" t="s">
        <v>635</v>
      </c>
      <c r="D4" s="97" t="s">
        <v>636</v>
      </c>
      <c r="E4" s="15" t="s">
        <v>637</v>
      </c>
      <c r="F4" s="90" t="s">
        <v>607</v>
      </c>
      <c r="G4" s="17"/>
      <c r="H4" s="17">
        <v>84000</v>
      </c>
      <c r="I4" s="17">
        <v>84000</v>
      </c>
    </row>
    <row r="5" spans="1:9" ht="120" customHeight="1" x14ac:dyDescent="0.2">
      <c r="A5" s="4"/>
      <c r="B5" s="86" t="s">
        <v>639</v>
      </c>
      <c r="C5" s="6" t="s">
        <v>638</v>
      </c>
      <c r="D5" s="88" t="s">
        <v>98</v>
      </c>
      <c r="E5" s="8" t="s">
        <v>640</v>
      </c>
      <c r="F5" s="87" t="s">
        <v>641</v>
      </c>
      <c r="G5" s="10"/>
      <c r="H5" s="10">
        <v>100000</v>
      </c>
      <c r="I5" s="10">
        <v>100000</v>
      </c>
    </row>
    <row r="6" spans="1:9" ht="120" customHeight="1" x14ac:dyDescent="0.2">
      <c r="A6" s="11"/>
      <c r="B6" s="12"/>
      <c r="C6" s="13"/>
      <c r="D6" s="14"/>
      <c r="E6" s="15"/>
      <c r="F6" s="16"/>
      <c r="G6" s="17"/>
      <c r="H6" s="17"/>
      <c r="I6" s="17"/>
    </row>
    <row r="7" spans="1:9" ht="105" customHeight="1" x14ac:dyDescent="0.2">
      <c r="A7" s="4"/>
      <c r="B7" s="5"/>
      <c r="C7" s="6"/>
      <c r="D7" s="7"/>
      <c r="E7" s="8"/>
      <c r="F7" s="9"/>
      <c r="G7" s="10"/>
      <c r="H7" s="10"/>
      <c r="I7" s="10"/>
    </row>
    <row r="8" spans="1:9" ht="105" customHeight="1" x14ac:dyDescent="0.2">
      <c r="A8" s="11"/>
      <c r="B8" s="12"/>
      <c r="C8" s="13"/>
      <c r="D8" s="14"/>
      <c r="E8" s="15"/>
      <c r="F8" s="16"/>
      <c r="G8" s="17"/>
      <c r="H8" s="17"/>
      <c r="I8" s="17"/>
    </row>
    <row r="9" spans="1:9" ht="78.75" customHeight="1" x14ac:dyDescent="0.2">
      <c r="A9" s="4"/>
      <c r="B9" s="5"/>
      <c r="C9" s="6"/>
      <c r="D9" s="7"/>
      <c r="E9" s="8"/>
      <c r="F9" s="9"/>
      <c r="G9" s="10"/>
      <c r="H9" s="10"/>
      <c r="I9" s="10"/>
    </row>
    <row r="10" spans="1:9" ht="78.75" customHeight="1" x14ac:dyDescent="0.2">
      <c r="A10" s="11"/>
      <c r="B10" s="12"/>
      <c r="C10" s="13"/>
      <c r="D10" s="14"/>
      <c r="E10" s="15"/>
      <c r="F10" s="16"/>
      <c r="G10" s="17"/>
      <c r="H10" s="17"/>
      <c r="I10" s="17"/>
    </row>
    <row r="11" spans="1:9" ht="120" customHeight="1" x14ac:dyDescent="0.2">
      <c r="A11" s="4"/>
      <c r="B11" s="5"/>
      <c r="C11" s="6"/>
      <c r="D11" s="7"/>
      <c r="E11" s="8"/>
      <c r="F11" s="9"/>
      <c r="G11" s="10"/>
      <c r="H11" s="10"/>
      <c r="I11" s="10"/>
    </row>
    <row r="12" spans="1:9" ht="117.75" customHeight="1" x14ac:dyDescent="0.2">
      <c r="A12" s="11"/>
      <c r="B12" s="12"/>
      <c r="C12" s="13"/>
      <c r="D12" s="14"/>
      <c r="E12" s="15"/>
      <c r="F12" s="16"/>
      <c r="G12" s="17"/>
      <c r="H12" s="17"/>
      <c r="I12" s="17"/>
    </row>
    <row r="13" spans="1:9" ht="117.75" customHeight="1" x14ac:dyDescent="0.2">
      <c r="A13" s="4"/>
      <c r="B13" s="5"/>
      <c r="C13" s="6"/>
      <c r="D13" s="7"/>
      <c r="E13" s="8"/>
      <c r="F13" s="9"/>
      <c r="G13" s="10"/>
      <c r="H13" s="10"/>
      <c r="I13" s="10"/>
    </row>
    <row r="14" spans="1:9" ht="91.5" customHeight="1" x14ac:dyDescent="0.2">
      <c r="A14" s="11"/>
      <c r="B14" s="12"/>
      <c r="C14" s="13"/>
      <c r="D14" s="14"/>
      <c r="E14" s="15"/>
      <c r="F14" s="16"/>
      <c r="G14" s="17"/>
      <c r="H14" s="17"/>
      <c r="I14" s="17"/>
    </row>
    <row r="15" spans="1:9" ht="120" customHeight="1" x14ac:dyDescent="0.2">
      <c r="A15" s="4"/>
      <c r="B15" s="5"/>
      <c r="C15" s="6"/>
      <c r="D15" s="7"/>
      <c r="E15" s="8"/>
      <c r="F15" s="9"/>
      <c r="G15" s="10"/>
      <c r="H15" s="10"/>
      <c r="I15" s="10"/>
    </row>
    <row r="16" spans="1:9" ht="91.5" customHeight="1" x14ac:dyDescent="0.2">
      <c r="A16" s="11"/>
      <c r="B16" s="12"/>
      <c r="C16" s="13"/>
      <c r="D16" s="14"/>
      <c r="E16" s="15"/>
      <c r="F16" s="16"/>
      <c r="G16" s="17"/>
      <c r="H16" s="17"/>
      <c r="I16" s="17"/>
    </row>
    <row r="17" spans="1:9" ht="105" customHeight="1" x14ac:dyDescent="0.2">
      <c r="A17" s="4"/>
      <c r="B17" s="5"/>
      <c r="C17" s="6"/>
      <c r="D17" s="7"/>
      <c r="E17" s="8"/>
      <c r="F17" s="9"/>
      <c r="G17" s="10"/>
      <c r="H17" s="10"/>
      <c r="I17" s="10"/>
    </row>
    <row r="18" spans="1:9" ht="117.75" customHeight="1" x14ac:dyDescent="0.2">
      <c r="A18" s="11"/>
      <c r="B18" s="12"/>
      <c r="C18" s="13"/>
      <c r="D18" s="14"/>
      <c r="E18" s="15"/>
      <c r="F18" s="16"/>
      <c r="G18" s="17"/>
      <c r="H18" s="17"/>
      <c r="I18" s="17"/>
    </row>
    <row r="19" spans="1:9" ht="120" customHeight="1" x14ac:dyDescent="0.2">
      <c r="A19" s="4"/>
      <c r="B19" s="5"/>
      <c r="C19" s="6"/>
      <c r="D19" s="7"/>
      <c r="E19" s="8"/>
      <c r="F19" s="9"/>
      <c r="G19" s="10"/>
      <c r="H19" s="10"/>
      <c r="I19" s="10"/>
    </row>
    <row r="20" spans="1:9" ht="120" customHeight="1" x14ac:dyDescent="0.2">
      <c r="A20" s="11"/>
      <c r="B20" s="12"/>
      <c r="C20" s="13"/>
      <c r="D20" s="14"/>
      <c r="E20" s="15"/>
      <c r="F20" s="16"/>
      <c r="G20" s="17"/>
      <c r="H20" s="17"/>
      <c r="I20" s="17"/>
    </row>
    <row r="21" spans="1:9" ht="120" customHeight="1" x14ac:dyDescent="0.2">
      <c r="A21" s="4"/>
      <c r="B21" s="5"/>
      <c r="C21" s="6"/>
      <c r="D21" s="7"/>
      <c r="E21" s="8"/>
      <c r="F21" s="9"/>
      <c r="G21" s="10"/>
      <c r="H21" s="10"/>
      <c r="I21" s="10"/>
    </row>
    <row r="22" spans="1:9" ht="120" customHeight="1" x14ac:dyDescent="0.2">
      <c r="A22" s="11"/>
      <c r="B22" s="12"/>
      <c r="C22" s="13"/>
      <c r="D22" s="14"/>
      <c r="E22" s="15"/>
      <c r="F22" s="16"/>
      <c r="G22" s="17"/>
      <c r="H22" s="17"/>
      <c r="I22" s="17"/>
    </row>
    <row r="23" spans="1:9" ht="91.5" customHeight="1" x14ac:dyDescent="0.2">
      <c r="A23" s="4"/>
      <c r="B23" s="5"/>
      <c r="C23" s="6"/>
      <c r="D23" s="7"/>
      <c r="E23" s="8"/>
      <c r="F23" s="9"/>
      <c r="G23" s="10"/>
      <c r="H23" s="10"/>
      <c r="I23" s="10"/>
    </row>
    <row r="24" spans="1:9" ht="120" customHeight="1" x14ac:dyDescent="0.2">
      <c r="A24" s="11"/>
      <c r="B24" s="12"/>
      <c r="C24" s="13"/>
      <c r="D24" s="14"/>
      <c r="E24" s="15"/>
      <c r="F24" s="16"/>
      <c r="G24" s="17"/>
      <c r="H24" s="17"/>
      <c r="I24" s="17"/>
    </row>
    <row r="25" spans="1:9" ht="105" customHeight="1" x14ac:dyDescent="0.2">
      <c r="A25" s="4"/>
      <c r="B25" s="5"/>
      <c r="C25" s="6"/>
      <c r="D25" s="7"/>
      <c r="E25" s="8"/>
      <c r="F25" s="9"/>
      <c r="G25" s="10"/>
      <c r="H25" s="10"/>
      <c r="I25" s="10"/>
    </row>
    <row r="26" spans="1:9" ht="120" customHeight="1" x14ac:dyDescent="0.2">
      <c r="A26" s="11"/>
      <c r="B26" s="12"/>
      <c r="C26" s="13"/>
      <c r="D26" s="14"/>
      <c r="E26" s="15"/>
      <c r="F26" s="16"/>
      <c r="G26" s="17"/>
      <c r="H26" s="17"/>
      <c r="I26" s="17"/>
    </row>
    <row r="27" spans="1:9" ht="120" customHeight="1" x14ac:dyDescent="0.2">
      <c r="A27" s="4"/>
      <c r="B27" s="5"/>
      <c r="C27" s="6"/>
      <c r="D27" s="7"/>
      <c r="E27" s="8"/>
      <c r="F27" s="9"/>
      <c r="G27" s="10"/>
      <c r="H27" s="10"/>
      <c r="I27" s="10"/>
    </row>
    <row r="28" spans="1:9" ht="120" customHeight="1" x14ac:dyDescent="0.2">
      <c r="A28" s="11"/>
      <c r="B28" s="12"/>
      <c r="C28" s="13"/>
      <c r="D28" s="14"/>
      <c r="E28" s="15"/>
      <c r="F28" s="16"/>
      <c r="G28" s="17"/>
      <c r="H28" s="17"/>
      <c r="I28" s="17"/>
    </row>
    <row r="29" spans="1:9" ht="120" customHeight="1" x14ac:dyDescent="0.2">
      <c r="A29" s="4"/>
      <c r="B29" s="5"/>
      <c r="C29" s="6"/>
      <c r="D29" s="7"/>
      <c r="E29" s="8"/>
      <c r="F29" s="9"/>
      <c r="G29" s="10"/>
      <c r="H29" s="10"/>
      <c r="I29" s="10"/>
    </row>
    <row r="30" spans="1:9" ht="105" customHeight="1" x14ac:dyDescent="0.2">
      <c r="A30" s="11"/>
      <c r="B30" s="12"/>
      <c r="C30" s="13"/>
      <c r="D30" s="14"/>
      <c r="E30" s="15"/>
      <c r="F30" s="16"/>
      <c r="G30" s="17"/>
      <c r="H30" s="17"/>
      <c r="I30" s="17"/>
    </row>
    <row r="31" spans="1:9" ht="91.5" customHeight="1" x14ac:dyDescent="0.2">
      <c r="A31" s="4"/>
      <c r="B31" s="5"/>
      <c r="C31" s="6"/>
      <c r="D31" s="7"/>
      <c r="E31" s="8"/>
      <c r="F31" s="9"/>
      <c r="G31" s="10"/>
      <c r="H31" s="10"/>
      <c r="I31" s="10"/>
    </row>
    <row r="32" spans="1:9" ht="120" customHeight="1" x14ac:dyDescent="0.2">
      <c r="A32" s="11"/>
      <c r="B32" s="12"/>
      <c r="C32" s="13"/>
      <c r="D32" s="14"/>
      <c r="E32" s="15"/>
      <c r="F32" s="16"/>
      <c r="G32" s="17"/>
      <c r="H32" s="17"/>
      <c r="I32" s="17"/>
    </row>
    <row r="33" spans="1:9" ht="105" customHeight="1" x14ac:dyDescent="0.2">
      <c r="A33" s="4"/>
      <c r="B33" s="5"/>
      <c r="C33" s="6"/>
      <c r="D33" s="7"/>
      <c r="E33" s="8"/>
      <c r="F33" s="9"/>
      <c r="G33" s="10"/>
      <c r="H33" s="10"/>
      <c r="I33" s="10"/>
    </row>
    <row r="34" spans="1:9" ht="117.75" customHeight="1" x14ac:dyDescent="0.2">
      <c r="A34" s="11"/>
      <c r="B34" s="12"/>
      <c r="C34" s="13"/>
      <c r="D34" s="14"/>
      <c r="E34" s="15"/>
      <c r="F34" s="16"/>
      <c r="G34" s="17"/>
      <c r="H34" s="17"/>
      <c r="I34" s="17"/>
    </row>
    <row r="35" spans="1:9" ht="117.75" customHeight="1" x14ac:dyDescent="0.2">
      <c r="A35" s="4"/>
      <c r="B35" s="5"/>
      <c r="C35" s="6"/>
      <c r="D35" s="7"/>
      <c r="E35" s="8"/>
      <c r="F35" s="9"/>
      <c r="G35" s="10"/>
      <c r="H35" s="10"/>
      <c r="I35" s="10"/>
    </row>
    <row r="36" spans="1:9" ht="117.75" customHeight="1" x14ac:dyDescent="0.2">
      <c r="A36" s="11"/>
      <c r="B36" s="12"/>
      <c r="C36" s="13"/>
      <c r="D36" s="14"/>
      <c r="E36" s="15"/>
      <c r="F36" s="16"/>
      <c r="G36" s="17"/>
      <c r="H36" s="17"/>
      <c r="I36" s="17"/>
    </row>
    <row r="37" spans="1:9" ht="117.75" customHeight="1" x14ac:dyDescent="0.2">
      <c r="A37" s="4"/>
      <c r="B37" s="5"/>
      <c r="C37" s="6"/>
      <c r="D37" s="7"/>
      <c r="E37" s="8"/>
      <c r="F37" s="9"/>
      <c r="G37" s="10"/>
      <c r="H37" s="10"/>
      <c r="I37" s="10"/>
    </row>
    <row r="38" spans="1:9" ht="117.75" customHeight="1" x14ac:dyDescent="0.2">
      <c r="A38" s="11"/>
      <c r="B38" s="12"/>
      <c r="C38" s="13"/>
      <c r="D38" s="14"/>
      <c r="E38" s="15"/>
      <c r="F38" s="16"/>
      <c r="G38" s="17"/>
      <c r="H38" s="17"/>
      <c r="I38" s="17"/>
    </row>
    <row r="39" spans="1:9" ht="91.5" customHeight="1" x14ac:dyDescent="0.2">
      <c r="A39" s="4"/>
      <c r="B39" s="5"/>
      <c r="C39" s="6"/>
      <c r="D39" s="7"/>
      <c r="E39" s="8"/>
      <c r="F39" s="9"/>
      <c r="G39" s="10"/>
      <c r="H39" s="10"/>
      <c r="I39" s="10"/>
    </row>
    <row r="40" spans="1:9" ht="120" customHeight="1" x14ac:dyDescent="0.2">
      <c r="A40" s="11"/>
      <c r="B40" s="12"/>
      <c r="C40" s="13"/>
      <c r="D40" s="14"/>
      <c r="E40" s="15"/>
      <c r="F40" s="16"/>
      <c r="G40" s="17"/>
      <c r="H40" s="17"/>
      <c r="I40" s="17"/>
    </row>
    <row r="41" spans="1:9" ht="105" customHeight="1" x14ac:dyDescent="0.2">
      <c r="A41" s="4"/>
      <c r="B41" s="5"/>
      <c r="C41" s="6"/>
      <c r="D41" s="7"/>
      <c r="E41" s="8"/>
      <c r="F41" s="9"/>
      <c r="G41" s="10"/>
      <c r="H41" s="10"/>
      <c r="I41" s="10"/>
    </row>
    <row r="42" spans="1:9" ht="105" customHeight="1" x14ac:dyDescent="0.2">
      <c r="A42" s="11"/>
      <c r="B42" s="12"/>
      <c r="C42" s="13"/>
      <c r="D42" s="14"/>
      <c r="E42" s="15"/>
      <c r="F42" s="16"/>
      <c r="G42" s="17"/>
      <c r="H42" s="17"/>
      <c r="I42" s="17"/>
    </row>
    <row r="43" spans="1:9" ht="117.75" customHeight="1" x14ac:dyDescent="0.2">
      <c r="A43" s="4"/>
      <c r="B43" s="5"/>
      <c r="C43" s="6"/>
      <c r="D43" s="7"/>
      <c r="E43" s="8"/>
      <c r="F43" s="9"/>
      <c r="G43" s="10"/>
      <c r="H43" s="10"/>
      <c r="I43" s="10"/>
    </row>
    <row r="44" spans="1:9" ht="117.75" customHeight="1" x14ac:dyDescent="0.2">
      <c r="A44" s="11"/>
      <c r="B44" s="12"/>
      <c r="C44" s="13"/>
      <c r="D44" s="14"/>
      <c r="E44" s="15"/>
      <c r="F44" s="16"/>
      <c r="G44" s="17"/>
      <c r="H44" s="17"/>
      <c r="I44" s="17"/>
    </row>
    <row r="45" spans="1:9" ht="120" customHeight="1" x14ac:dyDescent="0.2">
      <c r="A45" s="4"/>
      <c r="B45" s="5"/>
      <c r="C45" s="6"/>
      <c r="D45" s="7"/>
      <c r="E45" s="8"/>
      <c r="F45" s="9"/>
      <c r="G45" s="10"/>
      <c r="H45" s="10"/>
      <c r="I45" s="10"/>
    </row>
    <row r="46" spans="1:9" ht="120" customHeight="1" x14ac:dyDescent="0.2">
      <c r="A46" s="11"/>
      <c r="B46" s="12"/>
      <c r="C46" s="13"/>
      <c r="D46" s="14"/>
      <c r="E46" s="15"/>
      <c r="F46" s="16"/>
      <c r="G46" s="17"/>
      <c r="H46" s="17"/>
      <c r="I46" s="17"/>
    </row>
    <row r="47" spans="1:9" ht="52.5" customHeight="1" x14ac:dyDescent="0.2">
      <c r="A47" s="4"/>
      <c r="B47" s="5"/>
      <c r="C47" s="6"/>
      <c r="D47" s="7"/>
      <c r="E47" s="8"/>
      <c r="F47" s="9"/>
      <c r="G47" s="10"/>
      <c r="H47" s="10"/>
      <c r="I47" s="10"/>
    </row>
    <row r="48" spans="1:9" ht="52.5" customHeight="1" x14ac:dyDescent="0.2">
      <c r="A48" s="11"/>
      <c r="B48" s="12"/>
      <c r="C48" s="13"/>
      <c r="D48" s="14"/>
      <c r="E48" s="15"/>
      <c r="F48" s="16"/>
      <c r="G48" s="17"/>
      <c r="H48" s="17"/>
      <c r="I48" s="17"/>
    </row>
    <row r="49" spans="1:9" ht="105" customHeight="1" x14ac:dyDescent="0.2">
      <c r="A49" s="4"/>
      <c r="B49" s="5"/>
      <c r="C49" s="6"/>
      <c r="D49" s="7"/>
      <c r="E49" s="8"/>
      <c r="F49" s="9"/>
      <c r="G49" s="10"/>
      <c r="H49" s="10"/>
      <c r="I49" s="10"/>
    </row>
    <row r="50" spans="1:9" ht="120" customHeight="1" x14ac:dyDescent="0.2">
      <c r="A50" s="11"/>
      <c r="B50" s="12"/>
      <c r="C50" s="13"/>
      <c r="D50" s="14"/>
      <c r="E50" s="15"/>
      <c r="F50" s="16"/>
      <c r="G50" s="17"/>
      <c r="H50" s="17"/>
      <c r="I50" s="17"/>
    </row>
    <row r="51" spans="1:9" ht="105" customHeight="1" x14ac:dyDescent="0.2">
      <c r="A51" s="4"/>
      <c r="B51" s="5"/>
      <c r="C51" s="6"/>
      <c r="D51" s="7"/>
      <c r="E51" s="8"/>
      <c r="F51" s="9"/>
      <c r="G51" s="10"/>
      <c r="H51" s="10"/>
      <c r="I51" s="10"/>
    </row>
    <row r="52" spans="1:9" ht="105" customHeight="1" x14ac:dyDescent="0.2">
      <c r="A52" s="11"/>
      <c r="B52" s="12"/>
      <c r="C52" s="13"/>
      <c r="D52" s="14"/>
      <c r="E52" s="15"/>
      <c r="F52" s="16"/>
      <c r="G52" s="17"/>
      <c r="H52" s="17"/>
      <c r="I52" s="17"/>
    </row>
    <row r="53" spans="1:9" ht="120" customHeight="1" x14ac:dyDescent="0.2">
      <c r="A53" s="4"/>
      <c r="B53" s="5"/>
      <c r="C53" s="6"/>
      <c r="D53" s="7"/>
      <c r="E53" s="8"/>
      <c r="F53" s="9"/>
      <c r="G53" s="10"/>
      <c r="H53" s="10"/>
      <c r="I53" s="10"/>
    </row>
    <row r="54" spans="1:9" ht="105" customHeight="1" x14ac:dyDescent="0.2">
      <c r="A54" s="11"/>
      <c r="B54" s="12"/>
      <c r="C54" s="13"/>
      <c r="D54" s="14"/>
      <c r="E54" s="15"/>
      <c r="F54" s="16"/>
      <c r="G54" s="17"/>
      <c r="H54" s="17"/>
      <c r="I54" s="17"/>
    </row>
    <row r="55" spans="1:9" ht="120" customHeight="1" x14ac:dyDescent="0.2">
      <c r="A55" s="4"/>
      <c r="B55" s="5"/>
      <c r="C55" s="6"/>
      <c r="D55" s="7"/>
      <c r="E55" s="8"/>
      <c r="F55" s="9"/>
      <c r="G55" s="10"/>
      <c r="H55" s="10"/>
      <c r="I55" s="10"/>
    </row>
    <row r="56" spans="1:9" ht="120" customHeight="1" x14ac:dyDescent="0.2">
      <c r="A56" s="11"/>
      <c r="B56" s="12"/>
      <c r="C56" s="13"/>
      <c r="D56" s="14"/>
      <c r="E56" s="15"/>
      <c r="F56" s="16"/>
      <c r="G56" s="17"/>
      <c r="H56" s="17"/>
      <c r="I56" s="17"/>
    </row>
    <row r="57" spans="1:9" ht="120" customHeight="1" x14ac:dyDescent="0.2">
      <c r="A57" s="4"/>
      <c r="B57" s="5"/>
      <c r="C57" s="6"/>
      <c r="D57" s="7"/>
      <c r="E57" s="8"/>
      <c r="F57" s="9"/>
      <c r="G57" s="10"/>
      <c r="H57" s="10"/>
      <c r="I57" s="10"/>
    </row>
    <row r="58" spans="1:9" ht="105" customHeight="1" x14ac:dyDescent="0.2">
      <c r="A58" s="11"/>
      <c r="B58" s="12"/>
      <c r="C58" s="13"/>
      <c r="D58" s="14"/>
      <c r="E58" s="15"/>
      <c r="F58" s="16"/>
      <c r="G58" s="17"/>
      <c r="H58" s="17"/>
      <c r="I58" s="17"/>
    </row>
    <row r="59" spans="1:9" ht="39.75" customHeight="1" x14ac:dyDescent="0.2">
      <c r="A59" s="4"/>
      <c r="B59" s="5"/>
      <c r="C59" s="6"/>
      <c r="D59" s="7"/>
      <c r="E59" s="8"/>
      <c r="F59" s="9"/>
      <c r="G59" s="10"/>
      <c r="H59" s="10"/>
      <c r="I59" s="10"/>
    </row>
    <row r="60" spans="1:9" ht="78.75" customHeight="1" x14ac:dyDescent="0.2">
      <c r="A60" s="11"/>
      <c r="B60" s="12"/>
      <c r="C60" s="13"/>
      <c r="D60" s="14"/>
      <c r="E60" s="15"/>
      <c r="F60" s="16"/>
      <c r="G60" s="17"/>
      <c r="H60" s="17"/>
      <c r="I60" s="17"/>
    </row>
    <row r="61" spans="1:9" ht="105" customHeight="1" x14ac:dyDescent="0.2">
      <c r="A61" s="4"/>
      <c r="B61" s="5"/>
      <c r="C61" s="6"/>
      <c r="D61" s="7"/>
      <c r="E61" s="8"/>
      <c r="F61" s="9"/>
      <c r="G61" s="10"/>
      <c r="H61" s="10"/>
      <c r="I61" s="10"/>
    </row>
    <row r="62" spans="1:9" ht="120" customHeight="1" x14ac:dyDescent="0.2">
      <c r="A62" s="11"/>
      <c r="B62" s="12"/>
      <c r="C62" s="13"/>
      <c r="D62" s="14"/>
      <c r="E62" s="15"/>
      <c r="F62" s="16"/>
      <c r="G62" s="17"/>
      <c r="H62" s="17"/>
      <c r="I62" s="17"/>
    </row>
    <row r="63" spans="1:9" ht="120" customHeight="1" x14ac:dyDescent="0.2">
      <c r="A63" s="4"/>
      <c r="B63" s="5"/>
      <c r="C63" s="6"/>
      <c r="D63" s="7"/>
      <c r="E63" s="8"/>
      <c r="F63" s="9"/>
      <c r="G63" s="10"/>
      <c r="H63" s="10"/>
      <c r="I63" s="10"/>
    </row>
    <row r="64" spans="1:9" ht="52.5" customHeight="1" x14ac:dyDescent="0.2">
      <c r="A64" s="11"/>
      <c r="B64" s="12"/>
      <c r="C64" s="13"/>
      <c r="D64" s="14"/>
      <c r="E64" s="15"/>
      <c r="F64" s="16"/>
      <c r="G64" s="17"/>
      <c r="H64" s="17"/>
      <c r="I64" s="17"/>
    </row>
    <row r="65" spans="1:9" ht="120" customHeight="1" x14ac:dyDescent="0.2">
      <c r="A65" s="4"/>
      <c r="B65" s="5"/>
      <c r="C65" s="6"/>
      <c r="D65" s="7"/>
      <c r="E65" s="8"/>
      <c r="F65" s="9"/>
      <c r="G65" s="10"/>
      <c r="H65" s="10"/>
      <c r="I65" s="10"/>
    </row>
    <row r="66" spans="1:9" ht="117.75" customHeight="1" x14ac:dyDescent="0.2">
      <c r="A66" s="11"/>
      <c r="B66" s="12"/>
      <c r="C66" s="13"/>
      <c r="D66" s="14"/>
      <c r="E66" s="15"/>
      <c r="F66" s="16"/>
      <c r="G66" s="17"/>
      <c r="H66" s="17"/>
      <c r="I66" s="17"/>
    </row>
    <row r="67" spans="1:9" ht="66" customHeight="1" x14ac:dyDescent="0.2">
      <c r="A67" s="4"/>
      <c r="B67" s="5"/>
      <c r="C67" s="6"/>
      <c r="D67" s="7"/>
      <c r="E67" s="8"/>
      <c r="F67" s="9"/>
      <c r="G67" s="10"/>
      <c r="H67" s="10"/>
      <c r="I67" s="10"/>
    </row>
    <row r="68" spans="1:9" ht="120" customHeight="1" x14ac:dyDescent="0.2">
      <c r="A68" s="11"/>
      <c r="B68" s="12"/>
      <c r="C68" s="13"/>
      <c r="D68" s="14"/>
      <c r="E68" s="15"/>
      <c r="F68" s="16"/>
      <c r="G68" s="17"/>
      <c r="H68" s="17"/>
      <c r="I68" s="17"/>
    </row>
    <row r="69" spans="1:9" ht="91.5" customHeight="1" x14ac:dyDescent="0.2">
      <c r="A69" s="4"/>
      <c r="B69" s="5"/>
      <c r="C69" s="6"/>
      <c r="D69" s="7"/>
      <c r="E69" s="8"/>
      <c r="F69" s="9"/>
      <c r="G69" s="10"/>
      <c r="H69" s="10"/>
      <c r="I69" s="10"/>
    </row>
    <row r="70" spans="1:9" ht="91.5" customHeight="1" x14ac:dyDescent="0.2">
      <c r="A70" s="11"/>
      <c r="B70" s="12"/>
      <c r="C70" s="13"/>
      <c r="D70" s="14"/>
      <c r="E70" s="15"/>
      <c r="F70" s="16"/>
      <c r="G70" s="17"/>
      <c r="H70" s="17"/>
      <c r="I70" s="17"/>
    </row>
    <row r="71" spans="1:9" ht="120" customHeight="1" x14ac:dyDescent="0.2">
      <c r="A71" s="4"/>
      <c r="B71" s="5"/>
      <c r="C71" s="6"/>
      <c r="D71" s="7"/>
      <c r="E71" s="8"/>
      <c r="F71" s="9"/>
      <c r="G71" s="10"/>
      <c r="H71" s="10"/>
      <c r="I71" s="10"/>
    </row>
    <row r="72" spans="1:9" ht="117.75" customHeight="1" x14ac:dyDescent="0.2">
      <c r="A72" s="11"/>
      <c r="B72" s="12"/>
      <c r="C72" s="13"/>
      <c r="D72" s="14"/>
      <c r="E72" s="15"/>
      <c r="F72" s="16"/>
      <c r="G72" s="17"/>
      <c r="H72" s="17"/>
      <c r="I72" s="17"/>
    </row>
    <row r="73" spans="1:9" ht="117.75" customHeight="1" x14ac:dyDescent="0.2">
      <c r="A73" s="4"/>
      <c r="B73" s="5"/>
      <c r="C73" s="6"/>
      <c r="D73" s="7"/>
      <c r="E73" s="8"/>
      <c r="F73" s="9"/>
      <c r="G73" s="10"/>
      <c r="H73" s="10"/>
      <c r="I73" s="10"/>
    </row>
    <row r="74" spans="1:9" ht="117.75" customHeight="1" x14ac:dyDescent="0.2">
      <c r="A74" s="11"/>
      <c r="B74" s="12"/>
      <c r="C74" s="13"/>
      <c r="D74" s="14"/>
      <c r="E74" s="15"/>
      <c r="F74" s="16"/>
      <c r="G74" s="17"/>
      <c r="H74" s="17"/>
      <c r="I74" s="17"/>
    </row>
    <row r="75" spans="1:9" ht="117.75" customHeight="1" x14ac:dyDescent="0.2">
      <c r="A75" s="4"/>
      <c r="B75" s="5"/>
      <c r="C75" s="6"/>
      <c r="D75" s="7"/>
      <c r="E75" s="8"/>
      <c r="F75" s="9"/>
      <c r="G75" s="10"/>
      <c r="H75" s="10"/>
      <c r="I75" s="10"/>
    </row>
    <row r="76" spans="1:9" ht="91.5" customHeight="1" x14ac:dyDescent="0.2">
      <c r="A76" s="11"/>
      <c r="B76" s="12"/>
      <c r="C76" s="13"/>
      <c r="D76" s="14"/>
      <c r="E76" s="15"/>
      <c r="F76" s="16"/>
      <c r="G76" s="17"/>
      <c r="H76" s="17"/>
      <c r="I76" s="17"/>
    </row>
    <row r="77" spans="1:9" ht="117.75" customHeight="1" x14ac:dyDescent="0.2">
      <c r="A77" s="4"/>
      <c r="B77" s="5"/>
      <c r="C77" s="6"/>
      <c r="D77" s="7"/>
      <c r="E77" s="8"/>
      <c r="F77" s="9"/>
      <c r="G77" s="10"/>
      <c r="H77" s="10"/>
      <c r="I77" s="10"/>
    </row>
    <row r="78" spans="1:9" ht="117.75" customHeight="1" x14ac:dyDescent="0.2">
      <c r="A78" s="11"/>
      <c r="B78" s="12"/>
      <c r="C78" s="13"/>
      <c r="D78" s="14"/>
      <c r="E78" s="15"/>
      <c r="F78" s="16"/>
      <c r="G78" s="17"/>
      <c r="H78" s="17"/>
      <c r="I78" s="17"/>
    </row>
    <row r="79" spans="1:9" ht="105" customHeight="1" x14ac:dyDescent="0.2">
      <c r="A79" s="4"/>
      <c r="B79" s="5"/>
      <c r="C79" s="6"/>
      <c r="D79" s="7"/>
      <c r="E79" s="8"/>
      <c r="F79" s="9"/>
      <c r="G79" s="10"/>
      <c r="H79" s="10"/>
      <c r="I79" s="10"/>
    </row>
    <row r="80" spans="1:9" ht="78.75" customHeight="1" x14ac:dyDescent="0.2">
      <c r="A80" s="11"/>
      <c r="B80" s="12"/>
      <c r="C80" s="13"/>
      <c r="D80" s="14"/>
      <c r="E80" s="15"/>
      <c r="F80" s="16"/>
      <c r="G80" s="17"/>
      <c r="H80" s="17"/>
      <c r="I80" s="17"/>
    </row>
    <row r="81" spans="1:9" ht="117.75" customHeight="1" x14ac:dyDescent="0.2">
      <c r="A81" s="4"/>
      <c r="B81" s="5"/>
      <c r="C81" s="6"/>
      <c r="D81" s="7"/>
      <c r="E81" s="8"/>
      <c r="F81" s="9"/>
      <c r="G81" s="10"/>
      <c r="H81" s="10"/>
      <c r="I81" s="10"/>
    </row>
    <row r="82" spans="1:9" ht="117.75" customHeight="1" x14ac:dyDescent="0.2">
      <c r="A82" s="11"/>
      <c r="B82" s="12"/>
      <c r="C82" s="13"/>
      <c r="D82" s="14"/>
      <c r="E82" s="15"/>
      <c r="F82" s="16"/>
      <c r="G82" s="17"/>
      <c r="H82" s="17"/>
      <c r="I82" s="17"/>
    </row>
    <row r="83" spans="1:9" ht="91.5" customHeight="1" x14ac:dyDescent="0.2">
      <c r="A83" s="4"/>
      <c r="B83" s="5"/>
      <c r="C83" s="6"/>
      <c r="D83" s="7"/>
      <c r="E83" s="8"/>
      <c r="F83" s="9"/>
      <c r="G83" s="10"/>
      <c r="H83" s="10"/>
      <c r="I83" s="10"/>
    </row>
    <row r="84" spans="1:9" ht="117.75" customHeight="1" x14ac:dyDescent="0.2">
      <c r="A84" s="11"/>
      <c r="B84" s="12"/>
      <c r="C84" s="13"/>
      <c r="D84" s="14"/>
      <c r="E84" s="15"/>
      <c r="F84" s="16"/>
      <c r="G84" s="17"/>
      <c r="H84" s="17"/>
      <c r="I84" s="17"/>
    </row>
    <row r="85" spans="1:9" ht="105" customHeight="1" x14ac:dyDescent="0.2">
      <c r="A85" s="4"/>
      <c r="B85" s="5"/>
      <c r="C85" s="6"/>
      <c r="D85" s="7"/>
      <c r="E85" s="8"/>
      <c r="F85" s="9"/>
      <c r="G85" s="10"/>
      <c r="H85" s="10"/>
      <c r="I85" s="10"/>
    </row>
    <row r="86" spans="1:9" ht="91.5" customHeight="1" x14ac:dyDescent="0.2">
      <c r="A86" s="11"/>
      <c r="B86" s="12"/>
      <c r="C86" s="13"/>
      <c r="D86" s="14"/>
      <c r="E86" s="15"/>
      <c r="F86" s="16"/>
      <c r="G86" s="17"/>
      <c r="H86" s="17"/>
      <c r="I86" s="17"/>
    </row>
    <row r="87" spans="1:9" ht="78.75" customHeight="1" x14ac:dyDescent="0.2">
      <c r="A87" s="4"/>
      <c r="B87" s="5"/>
      <c r="C87" s="6"/>
      <c r="D87" s="7"/>
      <c r="E87" s="8"/>
      <c r="F87" s="9"/>
      <c r="G87" s="10"/>
      <c r="H87" s="10"/>
      <c r="I87" s="10"/>
    </row>
    <row r="88" spans="1:9" ht="120" customHeight="1" x14ac:dyDescent="0.2">
      <c r="A88" s="11"/>
      <c r="B88" s="12"/>
      <c r="C88" s="13"/>
      <c r="D88" s="14"/>
      <c r="E88" s="15"/>
      <c r="F88" s="16"/>
      <c r="G88" s="17"/>
      <c r="H88" s="17"/>
      <c r="I88" s="17"/>
    </row>
    <row r="89" spans="1:9" ht="120" customHeight="1" x14ac:dyDescent="0.2">
      <c r="A89" s="4"/>
      <c r="B89" s="5"/>
      <c r="C89" s="6"/>
      <c r="D89" s="7"/>
      <c r="E89" s="8"/>
      <c r="F89" s="9"/>
      <c r="G89" s="10"/>
      <c r="H89" s="10"/>
      <c r="I89" s="10"/>
    </row>
    <row r="90" spans="1:9" ht="120" customHeight="1" x14ac:dyDescent="0.2">
      <c r="A90" s="11"/>
      <c r="B90" s="12"/>
      <c r="C90" s="13"/>
      <c r="D90" s="14"/>
      <c r="E90" s="15"/>
      <c r="F90" s="16"/>
      <c r="G90" s="17"/>
      <c r="H90" s="17"/>
      <c r="I90" s="17"/>
    </row>
    <row r="91" spans="1:9" ht="120" customHeight="1" x14ac:dyDescent="0.2">
      <c r="A91" s="4"/>
      <c r="B91" s="5"/>
      <c r="C91" s="6"/>
      <c r="D91" s="7"/>
      <c r="E91" s="8"/>
      <c r="F91" s="9"/>
      <c r="G91" s="10"/>
      <c r="H91" s="10"/>
      <c r="I91" s="10"/>
    </row>
    <row r="92" spans="1:9" ht="117.75" customHeight="1" x14ac:dyDescent="0.2">
      <c r="A92" s="11"/>
      <c r="B92" s="12"/>
      <c r="C92" s="13"/>
      <c r="D92" s="14"/>
      <c r="E92" s="15"/>
      <c r="F92" s="16"/>
      <c r="G92" s="17"/>
      <c r="H92" s="17"/>
      <c r="I92" s="17"/>
    </row>
    <row r="93" spans="1:9" ht="117.75" customHeight="1" x14ac:dyDescent="0.2">
      <c r="A93" s="4"/>
      <c r="B93" s="5"/>
      <c r="C93" s="6"/>
      <c r="D93" s="7"/>
      <c r="E93" s="8"/>
      <c r="F93" s="9"/>
      <c r="G93" s="10"/>
      <c r="H93" s="10"/>
      <c r="I93" s="10"/>
    </row>
    <row r="94" spans="1:9" ht="120" customHeight="1" x14ac:dyDescent="0.2">
      <c r="A94" s="11"/>
      <c r="B94" s="12"/>
      <c r="C94" s="13"/>
      <c r="D94" s="14"/>
      <c r="E94" s="15"/>
      <c r="F94" s="16"/>
      <c r="G94" s="17"/>
      <c r="H94" s="17"/>
      <c r="I94" s="17"/>
    </row>
    <row r="95" spans="1:9" ht="91.5" customHeight="1" x14ac:dyDescent="0.2">
      <c r="A95" s="4"/>
      <c r="B95" s="5"/>
      <c r="C95" s="6"/>
      <c r="D95" s="7"/>
      <c r="E95" s="8"/>
      <c r="F95" s="9"/>
      <c r="G95" s="10"/>
      <c r="H95" s="10"/>
      <c r="I95" s="10"/>
    </row>
    <row r="96" spans="1:9" ht="120" customHeight="1" x14ac:dyDescent="0.2">
      <c r="A96" s="11"/>
      <c r="B96" s="12"/>
      <c r="C96" s="13"/>
      <c r="D96" s="14"/>
      <c r="E96" s="15"/>
      <c r="F96" s="16"/>
      <c r="G96" s="17"/>
      <c r="H96" s="17"/>
      <c r="I96" s="17"/>
    </row>
    <row r="97" spans="1:9" ht="120" customHeight="1" x14ac:dyDescent="0.2">
      <c r="A97" s="4"/>
      <c r="B97" s="5"/>
      <c r="C97" s="6"/>
      <c r="D97" s="7"/>
      <c r="E97" s="8"/>
      <c r="F97" s="9"/>
      <c r="G97" s="10"/>
      <c r="H97" s="10"/>
      <c r="I97" s="10"/>
    </row>
    <row r="98" spans="1:9" ht="120" customHeight="1" x14ac:dyDescent="0.2">
      <c r="A98" s="11"/>
      <c r="B98" s="12"/>
      <c r="C98" s="13"/>
      <c r="D98" s="14"/>
      <c r="E98" s="15"/>
      <c r="F98" s="16"/>
      <c r="G98" s="17"/>
      <c r="H98" s="17"/>
      <c r="I98" s="17"/>
    </row>
    <row r="99" spans="1:9" ht="78.75" customHeight="1" x14ac:dyDescent="0.2">
      <c r="A99" s="4"/>
      <c r="B99" s="5"/>
      <c r="C99" s="6"/>
      <c r="D99" s="7"/>
      <c r="E99" s="8"/>
      <c r="F99" s="9"/>
      <c r="G99" s="10"/>
      <c r="H99" s="10"/>
      <c r="I99" s="10"/>
    </row>
    <row r="100" spans="1:9" ht="120" customHeight="1" x14ac:dyDescent="0.2">
      <c r="A100" s="11"/>
      <c r="B100" s="12"/>
      <c r="C100" s="13"/>
      <c r="D100" s="14"/>
      <c r="E100" s="15"/>
      <c r="F100" s="16"/>
      <c r="G100" s="17"/>
      <c r="H100" s="17"/>
      <c r="I100" s="17"/>
    </row>
    <row r="101" spans="1:9" ht="91.5" customHeight="1" x14ac:dyDescent="0.2">
      <c r="A101" s="4"/>
      <c r="B101" s="5"/>
      <c r="C101" s="6"/>
      <c r="D101" s="7"/>
      <c r="E101" s="8"/>
      <c r="F101" s="9"/>
      <c r="G101" s="10"/>
      <c r="H101" s="10"/>
      <c r="I101" s="10"/>
    </row>
    <row r="102" spans="1:9" ht="117.75" customHeight="1" x14ac:dyDescent="0.2">
      <c r="A102" s="11"/>
      <c r="B102" s="12"/>
      <c r="C102" s="13"/>
      <c r="D102" s="14"/>
      <c r="E102" s="15"/>
      <c r="F102" s="16"/>
      <c r="G102" s="17"/>
      <c r="H102" s="17"/>
      <c r="I102" s="17"/>
    </row>
    <row r="103" spans="1:9" ht="117.75" customHeight="1" x14ac:dyDescent="0.2">
      <c r="A103" s="4"/>
      <c r="B103" s="5"/>
      <c r="C103" s="6"/>
      <c r="D103" s="7"/>
      <c r="E103" s="8"/>
      <c r="F103" s="9"/>
      <c r="G103" s="10"/>
      <c r="H103" s="10"/>
      <c r="I103" s="10"/>
    </row>
    <row r="104" spans="1:9" ht="105" customHeight="1" x14ac:dyDescent="0.2">
      <c r="A104" s="11"/>
      <c r="B104" s="12"/>
      <c r="C104" s="13"/>
      <c r="D104" s="14"/>
      <c r="E104" s="15"/>
      <c r="F104" s="16"/>
      <c r="G104" s="17"/>
      <c r="H104" s="17"/>
      <c r="I104" s="17"/>
    </row>
    <row r="105" spans="1:9" ht="120" customHeight="1" x14ac:dyDescent="0.2">
      <c r="A105" s="4"/>
      <c r="B105" s="5"/>
      <c r="C105" s="6"/>
      <c r="D105" s="7"/>
      <c r="E105" s="8"/>
      <c r="F105" s="9"/>
      <c r="G105" s="10"/>
      <c r="H105" s="10"/>
      <c r="I105" s="10"/>
    </row>
    <row r="106" spans="1:9" ht="105" customHeight="1" x14ac:dyDescent="0.2">
      <c r="A106" s="11"/>
      <c r="B106" s="12"/>
      <c r="C106" s="13"/>
      <c r="D106" s="14"/>
      <c r="E106" s="15"/>
      <c r="F106" s="16"/>
      <c r="G106" s="17"/>
      <c r="H106" s="17"/>
      <c r="I106" s="17"/>
    </row>
    <row r="107" spans="1:9" ht="105" customHeight="1" x14ac:dyDescent="0.2">
      <c r="A107" s="4"/>
      <c r="B107" s="5"/>
      <c r="C107" s="6"/>
      <c r="D107" s="7"/>
      <c r="E107" s="8"/>
      <c r="F107" s="9"/>
      <c r="G107" s="10"/>
      <c r="H107" s="10"/>
      <c r="I107" s="10"/>
    </row>
    <row r="108" spans="1:9" ht="120" customHeight="1" x14ac:dyDescent="0.2">
      <c r="A108" s="11"/>
      <c r="B108" s="12"/>
      <c r="C108" s="13"/>
      <c r="D108" s="14"/>
      <c r="E108" s="15"/>
      <c r="F108" s="16"/>
      <c r="G108" s="17"/>
      <c r="H108" s="17"/>
      <c r="I108" s="17"/>
    </row>
    <row r="109" spans="1:9" ht="78.75" customHeight="1" x14ac:dyDescent="0.2">
      <c r="A109" s="4"/>
      <c r="B109" s="5"/>
      <c r="C109" s="6"/>
      <c r="D109" s="7"/>
      <c r="E109" s="8"/>
      <c r="F109" s="9"/>
      <c r="G109" s="10"/>
      <c r="H109" s="10"/>
      <c r="I109" s="10"/>
    </row>
    <row r="110" spans="1:9" ht="105" customHeight="1" x14ac:dyDescent="0.2">
      <c r="A110" s="11"/>
      <c r="B110" s="12"/>
      <c r="C110" s="13"/>
      <c r="D110" s="14"/>
      <c r="E110" s="15"/>
      <c r="F110" s="16"/>
      <c r="G110" s="17"/>
      <c r="H110" s="17"/>
      <c r="I110" s="17"/>
    </row>
    <row r="111" spans="1:9" ht="120" customHeight="1" x14ac:dyDescent="0.2">
      <c r="A111" s="4"/>
      <c r="B111" s="5"/>
      <c r="C111" s="6"/>
      <c r="D111" s="7"/>
      <c r="E111" s="8"/>
      <c r="F111" s="9"/>
      <c r="G111" s="10"/>
      <c r="H111" s="10"/>
      <c r="I111" s="10"/>
    </row>
    <row r="112" spans="1:9" ht="120" customHeight="1" x14ac:dyDescent="0.2">
      <c r="A112" s="11"/>
      <c r="B112" s="12"/>
      <c r="C112" s="13"/>
      <c r="D112" s="14"/>
      <c r="E112" s="15"/>
      <c r="F112" s="16"/>
      <c r="G112" s="17"/>
      <c r="H112" s="17"/>
      <c r="I112" s="17"/>
    </row>
    <row r="113" spans="1:9" ht="120" customHeight="1" x14ac:dyDescent="0.2">
      <c r="A113" s="4"/>
      <c r="B113" s="5"/>
      <c r="C113" s="6"/>
      <c r="D113" s="7"/>
      <c r="E113" s="8"/>
      <c r="F113" s="9"/>
      <c r="G113" s="10"/>
      <c r="H113" s="10"/>
      <c r="I113" s="10"/>
    </row>
    <row r="114" spans="1:9" ht="120" customHeight="1" x14ac:dyDescent="0.2">
      <c r="A114" s="11"/>
      <c r="B114" s="12"/>
      <c r="C114" s="13"/>
      <c r="D114" s="14"/>
      <c r="E114" s="15"/>
      <c r="F114" s="16"/>
      <c r="G114" s="17"/>
      <c r="H114" s="17"/>
      <c r="I114" s="17"/>
    </row>
    <row r="115" spans="1:9" ht="120" customHeight="1" x14ac:dyDescent="0.2">
      <c r="A115" s="4"/>
      <c r="B115" s="5"/>
      <c r="C115" s="6"/>
      <c r="D115" s="7"/>
      <c r="E115" s="8"/>
      <c r="F115" s="9"/>
      <c r="G115" s="10"/>
      <c r="H115" s="10"/>
      <c r="I115" s="10"/>
    </row>
    <row r="116" spans="1:9" ht="117.75" customHeight="1" x14ac:dyDescent="0.2">
      <c r="A116" s="11"/>
      <c r="B116" s="12"/>
      <c r="C116" s="13"/>
      <c r="D116" s="14"/>
      <c r="E116" s="15"/>
      <c r="F116" s="16"/>
      <c r="G116" s="17"/>
      <c r="H116" s="17"/>
      <c r="I116" s="17"/>
    </row>
    <row r="117" spans="1:9" ht="105" customHeight="1" x14ac:dyDescent="0.2">
      <c r="A117" s="4"/>
      <c r="B117" s="5"/>
      <c r="C117" s="6"/>
      <c r="D117" s="7"/>
      <c r="E117" s="8"/>
      <c r="F117" s="9"/>
      <c r="G117" s="10"/>
      <c r="H117" s="10"/>
      <c r="I117" s="10"/>
    </row>
    <row r="118" spans="1:9" ht="78.75" customHeight="1" x14ac:dyDescent="0.2">
      <c r="A118" s="11"/>
      <c r="B118" s="12"/>
      <c r="C118" s="13"/>
      <c r="D118" s="14"/>
      <c r="E118" s="15"/>
      <c r="F118" s="16"/>
      <c r="G118" s="17"/>
      <c r="H118" s="17"/>
      <c r="I118" s="17"/>
    </row>
    <row r="119" spans="1:9" ht="117.75" customHeight="1" x14ac:dyDescent="0.2">
      <c r="A119" s="4"/>
      <c r="B119" s="5"/>
      <c r="C119" s="6"/>
      <c r="D119" s="7"/>
      <c r="E119" s="8"/>
      <c r="F119" s="9"/>
      <c r="G119" s="10"/>
      <c r="H119" s="10"/>
      <c r="I119" s="10"/>
    </row>
    <row r="120" spans="1:9" ht="117.75" customHeight="1" x14ac:dyDescent="0.2">
      <c r="A120" s="11"/>
      <c r="B120" s="12"/>
      <c r="C120" s="13"/>
      <c r="D120" s="14"/>
      <c r="E120" s="15"/>
      <c r="F120" s="16"/>
      <c r="G120" s="17"/>
      <c r="H120" s="17"/>
      <c r="I120" s="17"/>
    </row>
    <row r="121" spans="1:9" ht="105" customHeight="1" x14ac:dyDescent="0.2">
      <c r="A121" s="4"/>
      <c r="B121" s="5"/>
      <c r="C121" s="6"/>
      <c r="D121" s="7"/>
      <c r="E121" s="8"/>
      <c r="F121" s="9"/>
      <c r="G121" s="10"/>
      <c r="H121" s="10"/>
      <c r="I121" s="10"/>
    </row>
    <row r="122" spans="1:9" ht="117.75" customHeight="1" x14ac:dyDescent="0.2">
      <c r="A122" s="11"/>
      <c r="B122" s="12"/>
      <c r="C122" s="13"/>
      <c r="D122" s="14"/>
      <c r="E122" s="15"/>
      <c r="F122" s="16"/>
      <c r="G122" s="17"/>
      <c r="H122" s="17"/>
      <c r="I122" s="17"/>
    </row>
    <row r="123" spans="1:9" ht="66" customHeight="1" x14ac:dyDescent="0.2">
      <c r="A123" s="4"/>
      <c r="B123" s="5"/>
      <c r="C123" s="6"/>
      <c r="D123" s="7"/>
      <c r="E123" s="8"/>
      <c r="F123" s="9"/>
      <c r="G123" s="10"/>
      <c r="H123" s="10"/>
      <c r="I123" s="10"/>
    </row>
    <row r="124" spans="1:9" ht="117.75" customHeight="1" x14ac:dyDescent="0.2">
      <c r="A124" s="11"/>
      <c r="B124" s="12"/>
      <c r="C124" s="13"/>
      <c r="D124" s="14"/>
      <c r="E124" s="15"/>
      <c r="F124" s="16"/>
      <c r="G124" s="17"/>
      <c r="H124" s="17"/>
      <c r="I124" s="17"/>
    </row>
    <row r="125" spans="1:9" ht="117.75" customHeight="1" x14ac:dyDescent="0.2">
      <c r="A125" s="4"/>
      <c r="B125" s="5"/>
      <c r="C125" s="6"/>
      <c r="D125" s="7"/>
      <c r="E125" s="8"/>
      <c r="F125" s="9"/>
      <c r="G125" s="10"/>
      <c r="H125" s="10"/>
      <c r="I125" s="10"/>
    </row>
    <row r="126" spans="1:9" ht="91.5" customHeight="1" x14ac:dyDescent="0.2">
      <c r="A126" s="11"/>
      <c r="B126" s="12"/>
      <c r="C126" s="13"/>
      <c r="D126" s="14"/>
      <c r="E126" s="15"/>
      <c r="F126" s="16"/>
      <c r="G126" s="17"/>
      <c r="H126" s="17"/>
      <c r="I126" s="17"/>
    </row>
    <row r="127" spans="1:9" ht="105" customHeight="1" x14ac:dyDescent="0.2">
      <c r="A127" s="4"/>
      <c r="B127" s="5"/>
      <c r="C127" s="6"/>
      <c r="D127" s="7"/>
      <c r="E127" s="8"/>
      <c r="F127" s="9"/>
      <c r="G127" s="10"/>
      <c r="H127" s="10"/>
      <c r="I127" s="10"/>
    </row>
    <row r="128" spans="1:9" ht="78.75" customHeight="1" x14ac:dyDescent="0.2">
      <c r="A128" s="11"/>
      <c r="B128" s="12"/>
      <c r="C128" s="13"/>
      <c r="D128" s="14"/>
      <c r="E128" s="15"/>
      <c r="F128" s="16"/>
      <c r="G128" s="17"/>
      <c r="H128" s="17"/>
      <c r="I128" s="17"/>
    </row>
    <row r="129" spans="1:9" ht="91.5" customHeight="1" x14ac:dyDescent="0.2">
      <c r="A129" s="4"/>
      <c r="B129" s="5"/>
      <c r="C129" s="6"/>
      <c r="D129" s="7"/>
      <c r="E129" s="8"/>
      <c r="F129" s="9"/>
      <c r="G129" s="10"/>
      <c r="H129" s="10"/>
      <c r="I129" s="10"/>
    </row>
    <row r="130" spans="1:9" ht="78.75" customHeight="1" x14ac:dyDescent="0.2">
      <c r="A130" s="11"/>
      <c r="B130" s="12"/>
      <c r="C130" s="13"/>
      <c r="D130" s="14"/>
      <c r="E130" s="15"/>
      <c r="F130" s="16"/>
      <c r="G130" s="17"/>
      <c r="H130" s="17"/>
      <c r="I130" s="17"/>
    </row>
    <row r="131" spans="1:9" ht="78.75" customHeight="1" x14ac:dyDescent="0.2">
      <c r="A131" s="4"/>
      <c r="B131" s="5"/>
      <c r="C131" s="6"/>
      <c r="D131" s="7"/>
      <c r="E131" s="8"/>
      <c r="F131" s="9"/>
      <c r="G131" s="10"/>
      <c r="H131" s="10"/>
      <c r="I131" s="10"/>
    </row>
    <row r="132" spans="1:9" ht="117.75" customHeight="1" x14ac:dyDescent="0.2">
      <c r="A132" s="11"/>
      <c r="B132" s="12"/>
      <c r="C132" s="13"/>
      <c r="D132" s="14"/>
      <c r="E132" s="15"/>
      <c r="F132" s="16"/>
      <c r="G132" s="17"/>
      <c r="H132" s="17"/>
      <c r="I132" s="17"/>
    </row>
    <row r="133" spans="1:9" ht="105" customHeight="1" x14ac:dyDescent="0.2">
      <c r="A133" s="4"/>
      <c r="B133" s="5"/>
      <c r="C133" s="6"/>
      <c r="D133" s="7"/>
      <c r="E133" s="8"/>
      <c r="F133" s="9"/>
      <c r="G133" s="10"/>
      <c r="H133" s="10"/>
      <c r="I133" s="10"/>
    </row>
    <row r="134" spans="1:9" ht="120" customHeight="1" x14ac:dyDescent="0.2">
      <c r="A134" s="11"/>
      <c r="B134" s="12"/>
      <c r="C134" s="13"/>
      <c r="D134" s="14"/>
      <c r="E134" s="15"/>
      <c r="F134" s="16"/>
      <c r="G134" s="17"/>
      <c r="H134" s="17"/>
      <c r="I134" s="17"/>
    </row>
    <row r="135" spans="1:9" ht="117.75" customHeight="1" x14ac:dyDescent="0.2">
      <c r="A135" s="4"/>
      <c r="B135" s="5"/>
      <c r="C135" s="6"/>
      <c r="D135" s="7"/>
      <c r="E135" s="8"/>
      <c r="F135" s="9"/>
      <c r="G135" s="10"/>
      <c r="H135" s="10"/>
      <c r="I135" s="10"/>
    </row>
    <row r="136" spans="1:9" ht="66" customHeight="1" x14ac:dyDescent="0.2">
      <c r="A136" s="11"/>
      <c r="B136" s="12"/>
      <c r="C136" s="13"/>
      <c r="D136" s="14"/>
      <c r="E136" s="15"/>
      <c r="F136" s="16"/>
      <c r="G136" s="17"/>
      <c r="H136" s="17"/>
      <c r="I136" s="17"/>
    </row>
    <row r="137" spans="1:9" ht="105" customHeight="1" x14ac:dyDescent="0.2">
      <c r="A137" s="4"/>
      <c r="B137" s="5"/>
      <c r="C137" s="6"/>
      <c r="D137" s="7"/>
      <c r="E137" s="8"/>
      <c r="F137" s="9"/>
      <c r="G137" s="10"/>
      <c r="H137" s="10"/>
      <c r="I137" s="10"/>
    </row>
    <row r="138" spans="1:9" ht="117.75" customHeight="1" x14ac:dyDescent="0.2">
      <c r="A138" s="11"/>
      <c r="B138" s="12"/>
      <c r="C138" s="13"/>
      <c r="D138" s="14"/>
      <c r="E138" s="15"/>
      <c r="F138" s="16"/>
      <c r="G138" s="17"/>
      <c r="H138" s="17"/>
      <c r="I138" s="17"/>
    </row>
    <row r="139" spans="1:9" ht="117.75" customHeight="1" x14ac:dyDescent="0.2">
      <c r="A139" s="4"/>
      <c r="B139" s="5"/>
      <c r="C139" s="6"/>
      <c r="D139" s="7"/>
      <c r="E139" s="8"/>
      <c r="F139" s="9"/>
      <c r="G139" s="10"/>
      <c r="H139" s="10"/>
      <c r="I139" s="10"/>
    </row>
    <row r="140" spans="1:9" ht="117.75" customHeight="1" x14ac:dyDescent="0.2">
      <c r="A140" s="11"/>
      <c r="B140" s="12"/>
      <c r="C140" s="13"/>
      <c r="D140" s="14"/>
      <c r="E140" s="15"/>
      <c r="F140" s="16"/>
      <c r="G140" s="17"/>
      <c r="H140" s="17"/>
      <c r="I140" s="17"/>
    </row>
    <row r="141" spans="1:9" ht="78.75" customHeight="1" x14ac:dyDescent="0.2">
      <c r="A141" s="4"/>
      <c r="B141" s="5"/>
      <c r="C141" s="6"/>
      <c r="D141" s="7"/>
      <c r="E141" s="8"/>
      <c r="F141" s="9"/>
      <c r="G141" s="10"/>
      <c r="H141" s="10"/>
      <c r="I141" s="10"/>
    </row>
    <row r="142" spans="1:9" ht="78.75" customHeight="1" x14ac:dyDescent="0.2">
      <c r="A142" s="11"/>
      <c r="B142" s="12"/>
      <c r="C142" s="13"/>
      <c r="D142" s="14"/>
      <c r="E142" s="15"/>
      <c r="F142" s="16"/>
      <c r="G142" s="17"/>
      <c r="H142" s="17"/>
      <c r="I142" s="17"/>
    </row>
    <row r="143" spans="1:9" ht="117.75" customHeight="1" x14ac:dyDescent="0.2">
      <c r="A143" s="4"/>
      <c r="B143" s="5"/>
      <c r="C143" s="6"/>
      <c r="D143" s="7"/>
      <c r="E143" s="8"/>
      <c r="F143" s="9"/>
      <c r="G143" s="10"/>
      <c r="H143" s="10"/>
      <c r="I143" s="10"/>
    </row>
    <row r="144" spans="1:9" ht="120" customHeight="1" x14ac:dyDescent="0.2">
      <c r="A144" s="11"/>
      <c r="B144" s="12"/>
      <c r="C144" s="13"/>
      <c r="D144" s="14"/>
      <c r="E144" s="15"/>
      <c r="F144" s="16"/>
      <c r="G144" s="17"/>
      <c r="H144" s="17"/>
      <c r="I144" s="17"/>
    </row>
    <row r="145" spans="1:9" ht="120" customHeight="1" x14ac:dyDescent="0.2">
      <c r="A145" s="4"/>
      <c r="B145" s="5"/>
      <c r="C145" s="6"/>
      <c r="D145" s="7"/>
      <c r="E145" s="8"/>
      <c r="F145" s="9"/>
      <c r="G145" s="10"/>
      <c r="H145" s="10"/>
      <c r="I145" s="10"/>
    </row>
    <row r="146" spans="1:9" ht="117.75" customHeight="1" x14ac:dyDescent="0.2">
      <c r="A146" s="11"/>
      <c r="B146" s="12"/>
      <c r="C146" s="13"/>
      <c r="D146" s="14"/>
      <c r="E146" s="15"/>
      <c r="F146" s="16"/>
      <c r="G146" s="17"/>
      <c r="H146" s="17"/>
      <c r="I146" s="17"/>
    </row>
    <row r="147" spans="1:9" ht="78.75" customHeight="1" x14ac:dyDescent="0.2">
      <c r="A147" s="4"/>
      <c r="B147" s="5"/>
      <c r="C147" s="6"/>
      <c r="D147" s="7"/>
      <c r="E147" s="8"/>
      <c r="F147" s="9"/>
      <c r="G147" s="10"/>
      <c r="H147" s="10"/>
      <c r="I147" s="10"/>
    </row>
    <row r="148" spans="1:9" ht="91.5" customHeight="1" x14ac:dyDescent="0.2">
      <c r="A148" s="11"/>
      <c r="B148" s="12"/>
      <c r="C148" s="13"/>
      <c r="D148" s="14"/>
      <c r="E148" s="15"/>
      <c r="F148" s="16"/>
      <c r="G148" s="17"/>
      <c r="H148" s="17"/>
      <c r="I148" s="17"/>
    </row>
    <row r="149" spans="1:9" ht="120" customHeight="1" x14ac:dyDescent="0.2">
      <c r="A149" s="4"/>
      <c r="B149" s="5"/>
      <c r="C149" s="6"/>
      <c r="D149" s="7"/>
      <c r="E149" s="8"/>
      <c r="F149" s="9"/>
      <c r="G149" s="10"/>
      <c r="H149" s="10"/>
      <c r="I149" s="10"/>
    </row>
    <row r="150" spans="1:9" ht="105" customHeight="1" x14ac:dyDescent="0.2">
      <c r="A150" s="11"/>
      <c r="B150" s="12"/>
      <c r="C150" s="13"/>
      <c r="D150" s="14"/>
      <c r="E150" s="15"/>
      <c r="F150" s="16"/>
      <c r="G150" s="17"/>
      <c r="H150" s="17"/>
      <c r="I150" s="17"/>
    </row>
    <row r="151" spans="1:9" ht="7.5" customHeight="1" x14ac:dyDescent="0.2"/>
    <row r="152" spans="1:9" ht="19.5" customHeight="1" x14ac:dyDescent="0.2">
      <c r="A152" s="19">
        <f ca="1">SUMPRODUCT((A3:A150="AMIF")*SUBTOTAL(103,OFFSET(A3,ROW(A3:A150)-ROW(A3),0)))</f>
        <v>0</v>
      </c>
      <c r="B152" s="20" t="s">
        <v>400</v>
      </c>
      <c r="C152" s="21"/>
      <c r="D152" s="21"/>
      <c r="E152" s="21"/>
      <c r="F152" s="21"/>
      <c r="G152" s="22">
        <f ca="1">SUMPRODUCT((A3:A150="AMIF")*SUBTOTAL(103,OFFSET(A3,ROW(A3:A150)-ROW(A3),0))*G3:G150)</f>
        <v>0</v>
      </c>
      <c r="H152" s="22">
        <f ca="1">SUMPRODUCT((A3:A150="AMIF")*SUBTOTAL(103,OFFSET(A3,ROW(A3:A150)-ROW(A3),0))*H3:H150)</f>
        <v>0</v>
      </c>
      <c r="I152" s="22">
        <f ca="1">SUMPRODUCT((A3:A150="AMIF")*SUBTOTAL(103,OFFSET(A3,ROW(A3:A150)-ROW(A3),0))*I3:I150)</f>
        <v>0</v>
      </c>
    </row>
    <row r="153" spans="1:9" ht="19.5" customHeight="1" x14ac:dyDescent="0.2">
      <c r="A153" s="23">
        <f ca="1">SUMPRODUCT((A3:A150="National")*SUBTOTAL(103,OFFSET(A3,ROW(A3:A150)-ROW(A3),0)))</f>
        <v>0</v>
      </c>
      <c r="B153" s="24" t="s">
        <v>401</v>
      </c>
      <c r="C153" s="25"/>
      <c r="D153" s="25"/>
      <c r="E153" s="25"/>
      <c r="F153" s="25"/>
      <c r="G153" s="26">
        <f ca="1">SUMPRODUCT((A3:A150="National")*SUBTOTAL(103,OFFSET(A3,ROW(A3:A150)-ROW(A3),0))*G3:G150)</f>
        <v>0</v>
      </c>
      <c r="H153" s="26">
        <f ca="1">SUMPRODUCT((A3:A150="National")*SUBTOTAL(103,OFFSET(A3,ROW(A3:A150)-ROW(A3),0))*H3:H150)</f>
        <v>0</v>
      </c>
      <c r="I153" s="26">
        <f ca="1">SUMPRODUCT((A3:A150="National")*SUBTOTAL(103,OFFSET(A3,ROW(A3:A150)-ROW(A3),0))*I3:I150)</f>
        <v>0</v>
      </c>
    </row>
    <row r="154" spans="1:9" ht="24" customHeight="1" x14ac:dyDescent="0.2">
      <c r="A154" s="27">
        <f ca="1">SUMPRODUCT(((A3:A150="AMIF")+(A3:A150="AMIF-UKR")+(A3:A150="NATÜ")+(A3:A150="National"))*SUBTOTAL(103,OFFSET(A3,ROW(A3:A150)-ROW(A3),0)))</f>
        <v>0</v>
      </c>
      <c r="B154" s="28" t="s">
        <v>546</v>
      </c>
      <c r="C154" s="29"/>
      <c r="D154" s="29"/>
      <c r="E154" s="29"/>
      <c r="F154" s="29"/>
      <c r="G154" s="30">
        <f>SUBTOTAL(9,G3:G150)</f>
        <v>0</v>
      </c>
      <c r="H154" s="30">
        <f>SUBTOTAL(9,H3:H150)</f>
        <v>494000</v>
      </c>
      <c r="I154" s="30">
        <f>SUBTOTAL(9,I3:I150)</f>
        <v>494000</v>
      </c>
    </row>
    <row r="156" spans="1:9" x14ac:dyDescent="0.2">
      <c r="A156" s="104" t="s">
        <v>547</v>
      </c>
      <c r="B156" s="103"/>
      <c r="C156" s="103"/>
      <c r="D156" s="103"/>
      <c r="E156" s="103"/>
      <c r="F156" s="103"/>
      <c r="G156" s="103"/>
      <c r="H156" s="103"/>
      <c r="I156" s="103"/>
    </row>
  </sheetData>
  <autoFilter ref="A2:I2" xr:uid="{00000000-0009-0000-0000-000007000000}"/>
  <mergeCells count="2">
    <mergeCell ref="A1:I1"/>
    <mergeCell ref="A156:I15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40"/>
  <sheetViews>
    <sheetView tabSelected="1" zoomScaleNormal="100" workbookViewId="0">
      <pane ySplit="2" topLeftCell="A28" activePane="bottomLeft" state="frozen"/>
      <selection pane="bottomLeft" activeCell="C29" sqref="C29"/>
    </sheetView>
  </sheetViews>
  <sheetFormatPr baseColWidth="10" defaultColWidth="8.5" defaultRowHeight="15" x14ac:dyDescent="0.2"/>
  <cols>
    <col min="1" max="1" width="12" customWidth="1"/>
    <col min="2" max="3" width="34" customWidth="1"/>
    <col min="4" max="4" width="26" customWidth="1"/>
    <col min="5" max="5" width="52" customWidth="1"/>
    <col min="6" max="6" width="24" customWidth="1"/>
    <col min="7" max="9" width="16" customWidth="1"/>
    <col min="10" max="10" width="30" customWidth="1"/>
  </cols>
  <sheetData>
    <row r="1" spans="1:10" ht="30" customHeight="1" x14ac:dyDescent="0.2">
      <c r="A1" s="102" t="s">
        <v>548</v>
      </c>
      <c r="B1" s="103"/>
      <c r="C1" s="103"/>
      <c r="D1" s="103"/>
      <c r="E1" s="103"/>
      <c r="F1" s="103"/>
      <c r="G1" s="103"/>
      <c r="H1" s="103"/>
      <c r="I1" s="103"/>
      <c r="J1" s="103"/>
    </row>
    <row r="2" spans="1:10" ht="27.75" customHeight="1" x14ac:dyDescent="0.2">
      <c r="A2" s="1" t="s">
        <v>42</v>
      </c>
      <c r="B2" s="3" t="s">
        <v>43</v>
      </c>
      <c r="C2" s="3" t="s">
        <v>44</v>
      </c>
      <c r="D2" s="3" t="s">
        <v>45</v>
      </c>
      <c r="E2" s="3" t="s">
        <v>46</v>
      </c>
      <c r="F2" s="3" t="s">
        <v>47</v>
      </c>
      <c r="G2" s="1" t="s">
        <v>549</v>
      </c>
      <c r="H2" s="1" t="s">
        <v>550</v>
      </c>
      <c r="I2" s="1" t="s">
        <v>551</v>
      </c>
      <c r="J2" s="1" t="s">
        <v>552</v>
      </c>
    </row>
    <row r="3" spans="1:10" ht="120" customHeight="1" x14ac:dyDescent="0.2">
      <c r="A3" s="4"/>
      <c r="B3" s="5" t="s">
        <v>642</v>
      </c>
      <c r="C3" s="6" t="s">
        <v>643</v>
      </c>
      <c r="D3" s="7" t="s">
        <v>98</v>
      </c>
      <c r="E3" s="8" t="s">
        <v>644</v>
      </c>
      <c r="F3" s="9" t="s">
        <v>645</v>
      </c>
      <c r="G3" s="10"/>
      <c r="H3" s="10">
        <v>50000</v>
      </c>
      <c r="I3" s="10">
        <v>50000</v>
      </c>
      <c r="J3" s="40"/>
    </row>
    <row r="4" spans="1:10" ht="120" customHeight="1" x14ac:dyDescent="0.2">
      <c r="A4" s="11"/>
      <c r="B4" s="12" t="s">
        <v>619</v>
      </c>
      <c r="C4" s="13" t="s">
        <v>620</v>
      </c>
      <c r="D4" s="14" t="s">
        <v>98</v>
      </c>
      <c r="E4" s="15" t="s">
        <v>646</v>
      </c>
      <c r="F4" s="16" t="s">
        <v>607</v>
      </c>
      <c r="G4" s="17"/>
      <c r="H4" s="17">
        <v>275000</v>
      </c>
      <c r="I4" s="17">
        <v>275000</v>
      </c>
      <c r="J4" s="41"/>
    </row>
    <row r="5" spans="1:10" ht="105" customHeight="1" x14ac:dyDescent="0.2">
      <c r="A5" s="4"/>
      <c r="B5" s="5" t="s">
        <v>647</v>
      </c>
      <c r="C5" s="6" t="s">
        <v>648</v>
      </c>
      <c r="D5" s="7" t="s">
        <v>11</v>
      </c>
      <c r="E5" s="99" t="s">
        <v>650</v>
      </c>
      <c r="F5" s="9" t="s">
        <v>649</v>
      </c>
      <c r="G5" s="10"/>
      <c r="H5" s="10">
        <v>54000</v>
      </c>
      <c r="I5" s="10">
        <v>54000</v>
      </c>
      <c r="J5" s="40"/>
    </row>
    <row r="6" spans="1:10" ht="120" customHeight="1" x14ac:dyDescent="0.2">
      <c r="A6" s="11"/>
      <c r="B6" s="12"/>
      <c r="C6" s="13"/>
      <c r="D6" s="14"/>
      <c r="E6" s="15"/>
      <c r="F6" s="16"/>
      <c r="G6" s="17"/>
      <c r="H6" s="17"/>
      <c r="I6" s="17"/>
      <c r="J6" s="41"/>
    </row>
    <row r="7" spans="1:10" ht="105" customHeight="1" x14ac:dyDescent="0.2">
      <c r="A7" s="4"/>
      <c r="B7" s="5"/>
      <c r="C7" s="6"/>
      <c r="D7" s="7"/>
      <c r="E7" s="8"/>
      <c r="F7" s="9"/>
      <c r="G7" s="10"/>
      <c r="H7" s="10"/>
      <c r="I7" s="10"/>
      <c r="J7" s="40"/>
    </row>
    <row r="8" spans="1:10" ht="105" customHeight="1" x14ac:dyDescent="0.2">
      <c r="A8" s="11"/>
      <c r="B8" s="12"/>
      <c r="C8" s="13"/>
      <c r="D8" s="14"/>
      <c r="E8" s="15"/>
      <c r="F8" s="16"/>
      <c r="G8" s="17"/>
      <c r="H8" s="17"/>
      <c r="I8" s="17"/>
      <c r="J8" s="41"/>
    </row>
    <row r="9" spans="1:10" ht="78.75" customHeight="1" x14ac:dyDescent="0.2">
      <c r="A9" s="4"/>
      <c r="B9" s="5"/>
      <c r="C9" s="6"/>
      <c r="D9" s="7"/>
      <c r="E9" s="8"/>
      <c r="F9" s="9"/>
      <c r="G9" s="10"/>
      <c r="H9" s="10"/>
      <c r="I9" s="10"/>
      <c r="J9" s="40"/>
    </row>
    <row r="10" spans="1:10" ht="78.75" customHeight="1" x14ac:dyDescent="0.2">
      <c r="A10" s="11"/>
      <c r="B10" s="12"/>
      <c r="C10" s="13"/>
      <c r="D10" s="14"/>
      <c r="E10" s="15"/>
      <c r="F10" s="16"/>
      <c r="G10" s="17"/>
      <c r="H10" s="17"/>
      <c r="I10" s="17"/>
      <c r="J10" s="41"/>
    </row>
    <row r="11" spans="1:10" ht="120" customHeight="1" x14ac:dyDescent="0.2">
      <c r="A11" s="4"/>
      <c r="B11" s="5"/>
      <c r="C11" s="6"/>
      <c r="D11" s="7"/>
      <c r="E11" s="8"/>
      <c r="F11" s="9"/>
      <c r="G11" s="10"/>
      <c r="H11" s="10"/>
      <c r="I11" s="10"/>
      <c r="J11" s="40"/>
    </row>
    <row r="12" spans="1:10" ht="117.75" customHeight="1" x14ac:dyDescent="0.2">
      <c r="A12" s="11"/>
      <c r="B12" s="12"/>
      <c r="C12" s="13"/>
      <c r="D12" s="14"/>
      <c r="E12" s="15"/>
      <c r="F12" s="16"/>
      <c r="G12" s="17"/>
      <c r="H12" s="17"/>
      <c r="I12" s="17"/>
      <c r="J12" s="41"/>
    </row>
    <row r="13" spans="1:10" ht="117.75" customHeight="1" x14ac:dyDescent="0.2">
      <c r="A13" s="4"/>
      <c r="B13" s="5"/>
      <c r="C13" s="6"/>
      <c r="D13" s="7"/>
      <c r="E13" s="8"/>
      <c r="F13" s="9"/>
      <c r="G13" s="10"/>
      <c r="H13" s="10"/>
      <c r="I13" s="10"/>
      <c r="J13" s="40"/>
    </row>
    <row r="14" spans="1:10" ht="91.5" customHeight="1" x14ac:dyDescent="0.2">
      <c r="A14" s="11"/>
      <c r="B14" s="12"/>
      <c r="C14" s="13"/>
      <c r="D14" s="14"/>
      <c r="E14" s="15"/>
      <c r="F14" s="16"/>
      <c r="G14" s="17"/>
      <c r="H14" s="17"/>
      <c r="I14" s="17"/>
      <c r="J14" s="41"/>
    </row>
    <row r="15" spans="1:10" ht="120" customHeight="1" x14ac:dyDescent="0.2">
      <c r="A15" s="4"/>
      <c r="B15" s="5"/>
      <c r="C15" s="6"/>
      <c r="D15" s="7"/>
      <c r="E15" s="8"/>
      <c r="F15" s="9"/>
      <c r="G15" s="10"/>
      <c r="H15" s="10"/>
      <c r="I15" s="10"/>
      <c r="J15" s="40"/>
    </row>
    <row r="16" spans="1:10" ht="91.5" customHeight="1" x14ac:dyDescent="0.2">
      <c r="A16" s="11"/>
      <c r="B16" s="12"/>
      <c r="C16" s="13"/>
      <c r="D16" s="14"/>
      <c r="E16" s="15"/>
      <c r="F16" s="16"/>
      <c r="G16" s="17"/>
      <c r="H16" s="17"/>
      <c r="I16" s="17"/>
      <c r="J16" s="41"/>
    </row>
    <row r="17" spans="1:10" ht="105" customHeight="1" x14ac:dyDescent="0.2">
      <c r="A17" s="4"/>
      <c r="B17" s="5"/>
      <c r="C17" s="6"/>
      <c r="D17" s="7"/>
      <c r="E17" s="8"/>
      <c r="F17" s="9"/>
      <c r="G17" s="10"/>
      <c r="H17" s="10"/>
      <c r="I17" s="10"/>
      <c r="J17" s="40"/>
    </row>
    <row r="18" spans="1:10" ht="117.75" customHeight="1" x14ac:dyDescent="0.2">
      <c r="A18" s="11"/>
      <c r="B18" s="12"/>
      <c r="C18" s="13"/>
      <c r="D18" s="14"/>
      <c r="E18" s="15"/>
      <c r="F18" s="16"/>
      <c r="G18" s="17"/>
      <c r="H18" s="17"/>
      <c r="I18" s="17"/>
      <c r="J18" s="41"/>
    </row>
    <row r="19" spans="1:10" ht="120" customHeight="1" x14ac:dyDescent="0.2">
      <c r="A19" s="4"/>
      <c r="B19" s="5"/>
      <c r="C19" s="6"/>
      <c r="D19" s="7"/>
      <c r="E19" s="8"/>
      <c r="F19" s="9"/>
      <c r="G19" s="10"/>
      <c r="H19" s="10"/>
      <c r="I19" s="10"/>
      <c r="J19" s="40"/>
    </row>
    <row r="20" spans="1:10" ht="120" customHeight="1" x14ac:dyDescent="0.2">
      <c r="A20" s="11"/>
      <c r="B20" s="12"/>
      <c r="C20" s="13"/>
      <c r="D20" s="14"/>
      <c r="E20" s="15"/>
      <c r="F20" s="16"/>
      <c r="G20" s="17"/>
      <c r="H20" s="17"/>
      <c r="I20" s="17"/>
      <c r="J20" s="41"/>
    </row>
    <row r="21" spans="1:10" ht="120" customHeight="1" x14ac:dyDescent="0.2">
      <c r="A21" s="4"/>
      <c r="B21" s="5"/>
      <c r="C21" s="6"/>
      <c r="D21" s="7"/>
      <c r="E21" s="8"/>
      <c r="F21" s="9"/>
      <c r="G21" s="10"/>
      <c r="H21" s="10"/>
      <c r="I21" s="10"/>
      <c r="J21" s="40"/>
    </row>
    <row r="22" spans="1:10" ht="120" customHeight="1" x14ac:dyDescent="0.2">
      <c r="A22" s="11"/>
      <c r="B22" s="12"/>
      <c r="C22" s="13"/>
      <c r="D22" s="14"/>
      <c r="E22" s="15"/>
      <c r="F22" s="16"/>
      <c r="G22" s="17"/>
      <c r="H22" s="17"/>
      <c r="I22" s="17"/>
      <c r="J22" s="41"/>
    </row>
    <row r="23" spans="1:10" ht="91.5" customHeight="1" x14ac:dyDescent="0.2">
      <c r="A23" s="4"/>
      <c r="B23" s="5"/>
      <c r="C23" s="6"/>
      <c r="D23" s="7"/>
      <c r="E23" s="8"/>
      <c r="F23" s="9"/>
      <c r="G23" s="10"/>
      <c r="H23" s="10"/>
      <c r="I23" s="10"/>
      <c r="J23" s="40"/>
    </row>
    <row r="24" spans="1:10" ht="120" customHeight="1" x14ac:dyDescent="0.2">
      <c r="A24" s="11"/>
      <c r="B24" s="12"/>
      <c r="C24" s="13"/>
      <c r="D24" s="14"/>
      <c r="E24" s="15"/>
      <c r="F24" s="16"/>
      <c r="G24" s="17"/>
      <c r="H24" s="17"/>
      <c r="I24" s="17"/>
      <c r="J24" s="41"/>
    </row>
    <row r="25" spans="1:10" ht="105" customHeight="1" x14ac:dyDescent="0.2">
      <c r="A25" s="4"/>
      <c r="B25" s="5"/>
      <c r="C25" s="6"/>
      <c r="D25" s="7"/>
      <c r="E25" s="8"/>
      <c r="F25" s="9"/>
      <c r="G25" s="10"/>
      <c r="H25" s="10"/>
      <c r="I25" s="10"/>
      <c r="J25" s="40"/>
    </row>
    <row r="26" spans="1:10" ht="120" customHeight="1" x14ac:dyDescent="0.2">
      <c r="A26" s="11"/>
      <c r="B26" s="12"/>
      <c r="C26" s="13"/>
      <c r="D26" s="14"/>
      <c r="E26" s="15"/>
      <c r="F26" s="16"/>
      <c r="G26" s="17"/>
      <c r="H26" s="17"/>
      <c r="I26" s="17"/>
      <c r="J26" s="41"/>
    </row>
    <row r="27" spans="1:10" ht="120" customHeight="1" x14ac:dyDescent="0.2">
      <c r="A27" s="4"/>
      <c r="B27" s="5"/>
      <c r="C27" s="6"/>
      <c r="D27" s="7"/>
      <c r="E27" s="8"/>
      <c r="F27" s="9"/>
      <c r="G27" s="10"/>
      <c r="H27" s="10"/>
      <c r="I27" s="10"/>
      <c r="J27" s="40"/>
    </row>
    <row r="28" spans="1:10" ht="120" customHeight="1" x14ac:dyDescent="0.2">
      <c r="A28" s="11"/>
      <c r="B28" s="12"/>
      <c r="C28" s="13"/>
      <c r="D28" s="14"/>
      <c r="E28" s="15"/>
      <c r="F28" s="16"/>
      <c r="G28" s="17"/>
      <c r="H28" s="17"/>
      <c r="I28" s="17"/>
      <c r="J28" s="41"/>
    </row>
    <row r="29" spans="1:10" ht="120" customHeight="1" x14ac:dyDescent="0.2">
      <c r="A29" s="4"/>
      <c r="B29" s="5"/>
      <c r="C29" s="6"/>
      <c r="D29" s="7"/>
      <c r="E29" s="8"/>
      <c r="F29" s="9"/>
      <c r="G29" s="10"/>
      <c r="H29" s="10"/>
      <c r="I29" s="10"/>
      <c r="J29" s="40"/>
    </row>
    <row r="30" spans="1:10" ht="105" customHeight="1" x14ac:dyDescent="0.2">
      <c r="A30" s="11"/>
      <c r="B30" s="12"/>
      <c r="C30" s="13"/>
      <c r="D30" s="14"/>
      <c r="E30" s="15"/>
      <c r="F30" s="16"/>
      <c r="G30" s="17"/>
      <c r="H30" s="17"/>
      <c r="I30" s="17"/>
      <c r="J30" s="41"/>
    </row>
    <row r="31" spans="1:10" ht="91.5" customHeight="1" x14ac:dyDescent="0.2">
      <c r="A31" s="4"/>
      <c r="B31" s="5"/>
      <c r="C31" s="6"/>
      <c r="D31" s="7"/>
      <c r="E31" s="8"/>
      <c r="F31" s="9"/>
      <c r="G31" s="10"/>
      <c r="H31" s="10"/>
      <c r="I31" s="10"/>
      <c r="J31" s="40"/>
    </row>
    <row r="32" spans="1:10" ht="120" customHeight="1" x14ac:dyDescent="0.2">
      <c r="A32" s="11"/>
      <c r="B32" s="12"/>
      <c r="C32" s="13"/>
      <c r="D32" s="14"/>
      <c r="E32" s="15"/>
      <c r="F32" s="16"/>
      <c r="G32" s="17"/>
      <c r="H32" s="17"/>
      <c r="I32" s="17"/>
      <c r="J32" s="41"/>
    </row>
    <row r="33" spans="1:10" ht="105" customHeight="1" x14ac:dyDescent="0.2">
      <c r="A33" s="4"/>
      <c r="B33" s="5"/>
      <c r="C33" s="6"/>
      <c r="D33" s="7"/>
      <c r="E33" s="8"/>
      <c r="F33" s="9"/>
      <c r="G33" s="10"/>
      <c r="H33" s="10"/>
      <c r="I33" s="10"/>
      <c r="J33" s="40"/>
    </row>
    <row r="34" spans="1:10" ht="117.75" customHeight="1" x14ac:dyDescent="0.2">
      <c r="A34" s="11"/>
      <c r="B34" s="12"/>
      <c r="C34" s="13"/>
      <c r="D34" s="14"/>
      <c r="E34" s="15"/>
      <c r="F34" s="16"/>
      <c r="G34" s="17"/>
      <c r="H34" s="17"/>
      <c r="I34" s="17"/>
      <c r="J34" s="41"/>
    </row>
    <row r="35" spans="1:10" ht="117.75" customHeight="1" x14ac:dyDescent="0.2">
      <c r="A35" s="4"/>
      <c r="B35" s="5"/>
      <c r="C35" s="6"/>
      <c r="D35" s="7"/>
      <c r="E35" s="8"/>
      <c r="F35" s="9"/>
      <c r="G35" s="10"/>
      <c r="H35" s="10"/>
      <c r="I35" s="10"/>
      <c r="J35" s="40"/>
    </row>
    <row r="36" spans="1:10" ht="117.75" customHeight="1" x14ac:dyDescent="0.2">
      <c r="A36" s="11"/>
      <c r="B36" s="12"/>
      <c r="C36" s="13"/>
      <c r="D36" s="14"/>
      <c r="E36" s="15"/>
      <c r="F36" s="16"/>
      <c r="G36" s="17"/>
      <c r="H36" s="17"/>
      <c r="I36" s="17"/>
      <c r="J36" s="41"/>
    </row>
    <row r="37" spans="1:10" ht="117.75" customHeight="1" x14ac:dyDescent="0.2">
      <c r="A37" s="4"/>
      <c r="B37" s="5"/>
      <c r="C37" s="6"/>
      <c r="D37" s="7"/>
      <c r="E37" s="8"/>
      <c r="F37" s="9"/>
      <c r="G37" s="10"/>
      <c r="H37" s="10"/>
      <c r="I37" s="10"/>
      <c r="J37" s="40"/>
    </row>
    <row r="38" spans="1:10" ht="117.75" customHeight="1" x14ac:dyDescent="0.2">
      <c r="A38" s="11"/>
      <c r="B38" s="12"/>
      <c r="C38" s="13"/>
      <c r="D38" s="14"/>
      <c r="E38" s="15"/>
      <c r="F38" s="16"/>
      <c r="G38" s="17"/>
      <c r="H38" s="17"/>
      <c r="I38" s="17"/>
      <c r="J38" s="41"/>
    </row>
    <row r="39" spans="1:10" ht="91.5" customHeight="1" x14ac:dyDescent="0.2">
      <c r="A39" s="4"/>
      <c r="B39" s="5"/>
      <c r="C39" s="6"/>
      <c r="D39" s="7"/>
      <c r="E39" s="8"/>
      <c r="F39" s="9"/>
      <c r="G39" s="10"/>
      <c r="H39" s="10"/>
      <c r="I39" s="10"/>
      <c r="J39" s="40"/>
    </row>
    <row r="40" spans="1:10" ht="120" customHeight="1" x14ac:dyDescent="0.2">
      <c r="A40" s="11"/>
      <c r="B40" s="12"/>
      <c r="C40" s="13"/>
      <c r="D40" s="14"/>
      <c r="E40" s="15"/>
      <c r="F40" s="16"/>
      <c r="G40" s="17"/>
      <c r="H40" s="17"/>
      <c r="I40" s="17"/>
      <c r="J40" s="41"/>
    </row>
    <row r="41" spans="1:10" ht="105" customHeight="1" x14ac:dyDescent="0.2">
      <c r="A41" s="4"/>
      <c r="B41" s="5"/>
      <c r="C41" s="6"/>
      <c r="D41" s="7"/>
      <c r="E41" s="8"/>
      <c r="F41" s="9"/>
      <c r="G41" s="10"/>
      <c r="H41" s="10"/>
      <c r="I41" s="10"/>
      <c r="J41" s="40"/>
    </row>
    <row r="42" spans="1:10" ht="105" customHeight="1" x14ac:dyDescent="0.2">
      <c r="A42" s="11"/>
      <c r="B42" s="12"/>
      <c r="C42" s="13"/>
      <c r="D42" s="14"/>
      <c r="E42" s="15"/>
      <c r="F42" s="16"/>
      <c r="G42" s="17"/>
      <c r="H42" s="17"/>
      <c r="I42" s="17"/>
      <c r="J42" s="41"/>
    </row>
    <row r="43" spans="1:10" ht="117.75" customHeight="1" x14ac:dyDescent="0.2">
      <c r="A43" s="4"/>
      <c r="B43" s="5"/>
      <c r="C43" s="6"/>
      <c r="D43" s="7"/>
      <c r="E43" s="8"/>
      <c r="F43" s="9"/>
      <c r="G43" s="10"/>
      <c r="H43" s="10"/>
      <c r="I43" s="10"/>
      <c r="J43" s="40"/>
    </row>
    <row r="44" spans="1:10" ht="117.75" customHeight="1" x14ac:dyDescent="0.2">
      <c r="A44" s="11"/>
      <c r="B44" s="12"/>
      <c r="C44" s="13"/>
      <c r="D44" s="14"/>
      <c r="E44" s="15"/>
      <c r="F44" s="16"/>
      <c r="G44" s="17"/>
      <c r="H44" s="17"/>
      <c r="I44" s="17"/>
      <c r="J44" s="41"/>
    </row>
    <row r="45" spans="1:10" ht="120" customHeight="1" x14ac:dyDescent="0.2">
      <c r="A45" s="4"/>
      <c r="B45" s="5"/>
      <c r="C45" s="6"/>
      <c r="D45" s="7"/>
      <c r="E45" s="8"/>
      <c r="F45" s="9"/>
      <c r="G45" s="10"/>
      <c r="H45" s="10"/>
      <c r="I45" s="10"/>
      <c r="J45" s="40"/>
    </row>
    <row r="46" spans="1:10" ht="120" customHeight="1" x14ac:dyDescent="0.2">
      <c r="A46" s="11"/>
      <c r="B46" s="12"/>
      <c r="C46" s="13"/>
      <c r="D46" s="14"/>
      <c r="E46" s="15"/>
      <c r="F46" s="16"/>
      <c r="G46" s="17"/>
      <c r="H46" s="17"/>
      <c r="I46" s="17"/>
      <c r="J46" s="41"/>
    </row>
    <row r="47" spans="1:10" ht="52.5" customHeight="1" x14ac:dyDescent="0.2">
      <c r="A47" s="4"/>
      <c r="B47" s="5"/>
      <c r="C47" s="6"/>
      <c r="D47" s="7"/>
      <c r="E47" s="8"/>
      <c r="F47" s="9"/>
      <c r="G47" s="10"/>
      <c r="H47" s="10"/>
      <c r="I47" s="10"/>
      <c r="J47" s="40"/>
    </row>
    <row r="48" spans="1:10" ht="52.5" customHeight="1" x14ac:dyDescent="0.2">
      <c r="A48" s="11"/>
      <c r="B48" s="12"/>
      <c r="C48" s="13"/>
      <c r="D48" s="14"/>
      <c r="E48" s="15"/>
      <c r="F48" s="16"/>
      <c r="G48" s="17"/>
      <c r="H48" s="17"/>
      <c r="I48" s="17"/>
      <c r="J48" s="41"/>
    </row>
    <row r="49" spans="1:10" ht="105" customHeight="1" x14ac:dyDescent="0.2">
      <c r="A49" s="4"/>
      <c r="B49" s="5"/>
      <c r="C49" s="6"/>
      <c r="D49" s="7"/>
      <c r="E49" s="8"/>
      <c r="F49" s="9"/>
      <c r="G49" s="10"/>
      <c r="H49" s="10"/>
      <c r="I49" s="10"/>
      <c r="J49" s="40"/>
    </row>
    <row r="50" spans="1:10" ht="120" customHeight="1" x14ac:dyDescent="0.2">
      <c r="A50" s="11"/>
      <c r="B50" s="12"/>
      <c r="C50" s="13"/>
      <c r="D50" s="14"/>
      <c r="E50" s="15"/>
      <c r="F50" s="16"/>
      <c r="G50" s="17"/>
      <c r="H50" s="17"/>
      <c r="I50" s="17"/>
      <c r="J50" s="41"/>
    </row>
    <row r="51" spans="1:10" ht="105" customHeight="1" x14ac:dyDescent="0.2">
      <c r="A51" s="4"/>
      <c r="B51" s="5"/>
      <c r="C51" s="6"/>
      <c r="D51" s="7"/>
      <c r="E51" s="8"/>
      <c r="F51" s="9"/>
      <c r="G51" s="10"/>
      <c r="H51" s="10"/>
      <c r="I51" s="10"/>
      <c r="J51" s="40"/>
    </row>
    <row r="52" spans="1:10" ht="105" customHeight="1" x14ac:dyDescent="0.2">
      <c r="A52" s="11"/>
      <c r="B52" s="12"/>
      <c r="C52" s="13"/>
      <c r="D52" s="14"/>
      <c r="E52" s="15"/>
      <c r="F52" s="16"/>
      <c r="G52" s="17"/>
      <c r="H52" s="17"/>
      <c r="I52" s="17"/>
      <c r="J52" s="41"/>
    </row>
    <row r="53" spans="1:10" ht="120" customHeight="1" x14ac:dyDescent="0.2">
      <c r="A53" s="4"/>
      <c r="B53" s="5"/>
      <c r="C53" s="6"/>
      <c r="D53" s="7"/>
      <c r="E53" s="8"/>
      <c r="F53" s="9"/>
      <c r="G53" s="10"/>
      <c r="H53" s="10"/>
      <c r="I53" s="10"/>
      <c r="J53" s="40"/>
    </row>
    <row r="54" spans="1:10" ht="105" customHeight="1" x14ac:dyDescent="0.2">
      <c r="A54" s="11"/>
      <c r="B54" s="12"/>
      <c r="C54" s="13"/>
      <c r="D54" s="14"/>
      <c r="E54" s="15"/>
      <c r="F54" s="16"/>
      <c r="G54" s="17"/>
      <c r="H54" s="17"/>
      <c r="I54" s="17"/>
      <c r="J54" s="41"/>
    </row>
    <row r="55" spans="1:10" ht="120" customHeight="1" x14ac:dyDescent="0.2">
      <c r="A55" s="4"/>
      <c r="B55" s="5"/>
      <c r="C55" s="6"/>
      <c r="D55" s="7"/>
      <c r="E55" s="8"/>
      <c r="F55" s="9"/>
      <c r="G55" s="10"/>
      <c r="H55" s="10"/>
      <c r="I55" s="10"/>
      <c r="J55" s="40"/>
    </row>
    <row r="56" spans="1:10" ht="120" customHeight="1" x14ac:dyDescent="0.2">
      <c r="A56" s="11"/>
      <c r="B56" s="12"/>
      <c r="C56" s="13"/>
      <c r="D56" s="14"/>
      <c r="E56" s="15"/>
      <c r="F56" s="16"/>
      <c r="G56" s="17"/>
      <c r="H56" s="17"/>
      <c r="I56" s="17"/>
      <c r="J56" s="41"/>
    </row>
    <row r="57" spans="1:10" ht="120" customHeight="1" x14ac:dyDescent="0.2">
      <c r="A57" s="4"/>
      <c r="B57" s="5"/>
      <c r="C57" s="6"/>
      <c r="D57" s="7"/>
      <c r="E57" s="8"/>
      <c r="F57" s="9"/>
      <c r="G57" s="10"/>
      <c r="H57" s="10"/>
      <c r="I57" s="10"/>
      <c r="J57" s="40"/>
    </row>
    <row r="58" spans="1:10" ht="105" customHeight="1" x14ac:dyDescent="0.2">
      <c r="A58" s="11"/>
      <c r="B58" s="12"/>
      <c r="C58" s="13"/>
      <c r="D58" s="14"/>
      <c r="E58" s="15"/>
      <c r="F58" s="16"/>
      <c r="G58" s="17"/>
      <c r="H58" s="17"/>
      <c r="I58" s="17"/>
      <c r="J58" s="41"/>
    </row>
    <row r="59" spans="1:10" ht="39.75" customHeight="1" x14ac:dyDescent="0.2">
      <c r="A59" s="4"/>
      <c r="B59" s="5"/>
      <c r="C59" s="6"/>
      <c r="D59" s="7"/>
      <c r="E59" s="8"/>
      <c r="F59" s="9"/>
      <c r="G59" s="10"/>
      <c r="H59" s="10"/>
      <c r="I59" s="10"/>
      <c r="J59" s="40"/>
    </row>
    <row r="60" spans="1:10" ht="78.75" customHeight="1" x14ac:dyDescent="0.2">
      <c r="A60" s="11"/>
      <c r="B60" s="12"/>
      <c r="C60" s="13"/>
      <c r="D60" s="14"/>
      <c r="E60" s="15"/>
      <c r="F60" s="16"/>
      <c r="G60" s="17"/>
      <c r="H60" s="17"/>
      <c r="I60" s="17"/>
      <c r="J60" s="41"/>
    </row>
    <row r="61" spans="1:10" ht="105" customHeight="1" x14ac:dyDescent="0.2">
      <c r="A61" s="4"/>
      <c r="B61" s="5"/>
      <c r="C61" s="6"/>
      <c r="D61" s="7"/>
      <c r="E61" s="8"/>
      <c r="F61" s="9"/>
      <c r="G61" s="10"/>
      <c r="H61" s="10"/>
      <c r="I61" s="10"/>
      <c r="J61" s="40"/>
    </row>
    <row r="62" spans="1:10" ht="120" customHeight="1" x14ac:dyDescent="0.2">
      <c r="A62" s="11"/>
      <c r="B62" s="12"/>
      <c r="C62" s="13"/>
      <c r="D62" s="14"/>
      <c r="E62" s="15"/>
      <c r="F62" s="16"/>
      <c r="G62" s="17"/>
      <c r="H62" s="17"/>
      <c r="I62" s="17"/>
      <c r="J62" s="41"/>
    </row>
    <row r="63" spans="1:10" ht="120" customHeight="1" x14ac:dyDescent="0.2">
      <c r="A63" s="4"/>
      <c r="B63" s="5"/>
      <c r="C63" s="6"/>
      <c r="D63" s="7"/>
      <c r="E63" s="8"/>
      <c r="F63" s="9"/>
      <c r="G63" s="10"/>
      <c r="H63" s="10"/>
      <c r="I63" s="10"/>
      <c r="J63" s="40"/>
    </row>
    <row r="64" spans="1:10" ht="52.5" customHeight="1" x14ac:dyDescent="0.2">
      <c r="A64" s="11"/>
      <c r="B64" s="12"/>
      <c r="C64" s="13"/>
      <c r="D64" s="14"/>
      <c r="E64" s="15"/>
      <c r="F64" s="16"/>
      <c r="G64" s="17"/>
      <c r="H64" s="17"/>
      <c r="I64" s="17"/>
      <c r="J64" s="41"/>
    </row>
    <row r="65" spans="1:10" ht="120" customHeight="1" x14ac:dyDescent="0.2">
      <c r="A65" s="4"/>
      <c r="B65" s="5"/>
      <c r="C65" s="6"/>
      <c r="D65" s="7"/>
      <c r="E65" s="8"/>
      <c r="F65" s="9"/>
      <c r="G65" s="10"/>
      <c r="H65" s="10"/>
      <c r="I65" s="10"/>
      <c r="J65" s="40"/>
    </row>
    <row r="66" spans="1:10" ht="117.75" customHeight="1" x14ac:dyDescent="0.2">
      <c r="A66" s="11"/>
      <c r="B66" s="12"/>
      <c r="C66" s="13"/>
      <c r="D66" s="14"/>
      <c r="E66" s="15"/>
      <c r="F66" s="16"/>
      <c r="G66" s="17"/>
      <c r="H66" s="17"/>
      <c r="I66" s="17"/>
      <c r="J66" s="41"/>
    </row>
    <row r="67" spans="1:10" ht="66" customHeight="1" x14ac:dyDescent="0.2">
      <c r="A67" s="4"/>
      <c r="B67" s="5"/>
      <c r="C67" s="6"/>
      <c r="D67" s="7"/>
      <c r="E67" s="8"/>
      <c r="F67" s="9"/>
      <c r="G67" s="10"/>
      <c r="H67" s="10"/>
      <c r="I67" s="10"/>
      <c r="J67" s="40"/>
    </row>
    <row r="68" spans="1:10" ht="120" customHeight="1" x14ac:dyDescent="0.2">
      <c r="A68" s="11"/>
      <c r="B68" s="12"/>
      <c r="C68" s="13"/>
      <c r="D68" s="14"/>
      <c r="E68" s="15"/>
      <c r="F68" s="16"/>
      <c r="G68" s="17"/>
      <c r="H68" s="17"/>
      <c r="I68" s="17"/>
      <c r="J68" s="41"/>
    </row>
    <row r="69" spans="1:10" ht="78.75" customHeight="1" x14ac:dyDescent="0.2">
      <c r="A69" s="4"/>
      <c r="B69" s="5"/>
      <c r="C69" s="6"/>
      <c r="D69" s="7"/>
      <c r="E69" s="8"/>
      <c r="F69" s="9"/>
      <c r="G69" s="10"/>
      <c r="H69" s="10"/>
      <c r="I69" s="10"/>
      <c r="J69" s="40"/>
    </row>
    <row r="70" spans="1:10" ht="78.75" customHeight="1" x14ac:dyDescent="0.2">
      <c r="A70" s="11"/>
      <c r="B70" s="12"/>
      <c r="C70" s="13"/>
      <c r="D70" s="14"/>
      <c r="E70" s="15"/>
      <c r="F70" s="16"/>
      <c r="G70" s="17"/>
      <c r="H70" s="17"/>
      <c r="I70" s="17"/>
      <c r="J70" s="41"/>
    </row>
    <row r="71" spans="1:10" ht="66" customHeight="1" x14ac:dyDescent="0.2">
      <c r="A71" s="4"/>
      <c r="B71" s="5"/>
      <c r="C71" s="6"/>
      <c r="D71" s="7"/>
      <c r="E71" s="8"/>
      <c r="F71" s="9"/>
      <c r="G71" s="10"/>
      <c r="H71" s="10"/>
      <c r="I71" s="10"/>
      <c r="J71" s="40"/>
    </row>
    <row r="72" spans="1:10" ht="66" customHeight="1" x14ac:dyDescent="0.2">
      <c r="A72" s="11"/>
      <c r="B72" s="12"/>
      <c r="C72" s="13"/>
      <c r="D72" s="14"/>
      <c r="E72" s="15"/>
      <c r="F72" s="16"/>
      <c r="G72" s="17"/>
      <c r="H72" s="17"/>
      <c r="I72" s="17"/>
      <c r="J72" s="41"/>
    </row>
    <row r="73" spans="1:10" ht="78.75" customHeight="1" x14ac:dyDescent="0.2">
      <c r="A73" s="4"/>
      <c r="B73" s="5"/>
      <c r="C73" s="6"/>
      <c r="D73" s="7"/>
      <c r="E73" s="8"/>
      <c r="F73" s="9"/>
      <c r="G73" s="10"/>
      <c r="H73" s="10"/>
      <c r="I73" s="10"/>
      <c r="J73" s="40"/>
    </row>
    <row r="74" spans="1:10" ht="78.75" customHeight="1" x14ac:dyDescent="0.2">
      <c r="A74" s="11"/>
      <c r="B74" s="12"/>
      <c r="C74" s="13"/>
      <c r="D74" s="14"/>
      <c r="E74" s="15"/>
      <c r="F74" s="16"/>
      <c r="G74" s="17"/>
      <c r="H74" s="17"/>
      <c r="I74" s="17"/>
      <c r="J74" s="41"/>
    </row>
    <row r="75" spans="1:10" ht="78.75" customHeight="1" x14ac:dyDescent="0.2">
      <c r="A75" s="4"/>
      <c r="B75" s="5"/>
      <c r="C75" s="6"/>
      <c r="D75" s="7"/>
      <c r="E75" s="8"/>
      <c r="F75" s="9"/>
      <c r="G75" s="10"/>
      <c r="H75" s="10"/>
      <c r="I75" s="10"/>
      <c r="J75" s="40"/>
    </row>
    <row r="76" spans="1:10" ht="66" customHeight="1" x14ac:dyDescent="0.2">
      <c r="A76" s="11"/>
      <c r="B76" s="12"/>
      <c r="C76" s="13"/>
      <c r="D76" s="14"/>
      <c r="E76" s="15"/>
      <c r="F76" s="16"/>
      <c r="G76" s="17"/>
      <c r="H76" s="17"/>
      <c r="I76" s="17"/>
      <c r="J76" s="41"/>
    </row>
    <row r="77" spans="1:10" ht="78.75" customHeight="1" x14ac:dyDescent="0.2">
      <c r="A77" s="4"/>
      <c r="B77" s="5"/>
      <c r="C77" s="6"/>
      <c r="D77" s="7"/>
      <c r="E77" s="8"/>
      <c r="F77" s="9"/>
      <c r="G77" s="10"/>
      <c r="H77" s="10"/>
      <c r="I77" s="10"/>
      <c r="J77" s="40"/>
    </row>
    <row r="78" spans="1:10" ht="78.75" customHeight="1" x14ac:dyDescent="0.2">
      <c r="A78" s="11"/>
      <c r="B78" s="12"/>
      <c r="C78" s="13"/>
      <c r="D78" s="14"/>
      <c r="E78" s="15"/>
      <c r="F78" s="16"/>
      <c r="G78" s="17"/>
      <c r="H78" s="17"/>
      <c r="I78" s="17"/>
      <c r="J78" s="41"/>
    </row>
    <row r="79" spans="1:10" ht="66" customHeight="1" x14ac:dyDescent="0.2">
      <c r="A79" s="4"/>
      <c r="B79" s="5"/>
      <c r="C79" s="6"/>
      <c r="D79" s="7"/>
      <c r="E79" s="8"/>
      <c r="F79" s="9"/>
      <c r="G79" s="10"/>
      <c r="H79" s="10"/>
      <c r="I79" s="10"/>
      <c r="J79" s="40"/>
    </row>
    <row r="80" spans="1:10" ht="78.75" customHeight="1" x14ac:dyDescent="0.2">
      <c r="A80" s="11"/>
      <c r="B80" s="12"/>
      <c r="C80" s="13"/>
      <c r="D80" s="14"/>
      <c r="E80" s="15"/>
      <c r="F80" s="16"/>
      <c r="G80" s="17"/>
      <c r="H80" s="17"/>
      <c r="I80" s="17"/>
      <c r="J80" s="41"/>
    </row>
    <row r="81" spans="1:10" ht="66" customHeight="1" x14ac:dyDescent="0.2">
      <c r="A81" s="4"/>
      <c r="B81" s="5"/>
      <c r="C81" s="6"/>
      <c r="D81" s="7"/>
      <c r="E81" s="8"/>
      <c r="F81" s="9"/>
      <c r="G81" s="10"/>
      <c r="H81" s="10"/>
      <c r="I81" s="10"/>
      <c r="J81" s="40"/>
    </row>
    <row r="82" spans="1:10" ht="78.75" customHeight="1" x14ac:dyDescent="0.2">
      <c r="A82" s="11"/>
      <c r="B82" s="12"/>
      <c r="C82" s="13"/>
      <c r="D82" s="14"/>
      <c r="E82" s="15"/>
      <c r="F82" s="16"/>
      <c r="G82" s="17"/>
      <c r="H82" s="17"/>
      <c r="I82" s="17"/>
      <c r="J82" s="41"/>
    </row>
    <row r="83" spans="1:10" ht="52.5" customHeight="1" x14ac:dyDescent="0.2">
      <c r="A83" s="4"/>
      <c r="B83" s="5"/>
      <c r="C83" s="6"/>
      <c r="D83" s="7"/>
      <c r="E83" s="8"/>
      <c r="F83" s="9"/>
      <c r="G83" s="10"/>
      <c r="H83" s="10"/>
      <c r="I83" s="10"/>
      <c r="J83" s="40"/>
    </row>
    <row r="84" spans="1:10" ht="78.75" customHeight="1" x14ac:dyDescent="0.2">
      <c r="A84" s="11"/>
      <c r="B84" s="12"/>
      <c r="C84" s="13"/>
      <c r="D84" s="14"/>
      <c r="E84" s="15"/>
      <c r="F84" s="16"/>
      <c r="G84" s="17"/>
      <c r="H84" s="17"/>
      <c r="I84" s="17"/>
      <c r="J84" s="41"/>
    </row>
    <row r="85" spans="1:10" ht="78.75" customHeight="1" x14ac:dyDescent="0.2">
      <c r="A85" s="4"/>
      <c r="B85" s="5"/>
      <c r="C85" s="6"/>
      <c r="D85" s="7"/>
      <c r="E85" s="8"/>
      <c r="F85" s="9"/>
      <c r="G85" s="10"/>
      <c r="H85" s="10"/>
      <c r="I85" s="10"/>
      <c r="J85" s="40"/>
    </row>
    <row r="86" spans="1:10" ht="78.75" customHeight="1" x14ac:dyDescent="0.2">
      <c r="A86" s="11"/>
      <c r="B86" s="12"/>
      <c r="C86" s="13"/>
      <c r="D86" s="14"/>
      <c r="E86" s="15"/>
      <c r="F86" s="16"/>
      <c r="G86" s="17"/>
      <c r="H86" s="17"/>
      <c r="I86" s="17"/>
      <c r="J86" s="41"/>
    </row>
    <row r="87" spans="1:10" ht="78.75" customHeight="1" x14ac:dyDescent="0.2">
      <c r="A87" s="4"/>
      <c r="B87" s="5"/>
      <c r="C87" s="6"/>
      <c r="D87" s="7"/>
      <c r="E87" s="8"/>
      <c r="F87" s="9"/>
      <c r="G87" s="10"/>
      <c r="H87" s="10"/>
      <c r="I87" s="10"/>
      <c r="J87" s="40"/>
    </row>
    <row r="88" spans="1:10" ht="78.75" customHeight="1" x14ac:dyDescent="0.2">
      <c r="A88" s="11"/>
      <c r="B88" s="12"/>
      <c r="C88" s="13"/>
      <c r="D88" s="14"/>
      <c r="E88" s="15"/>
      <c r="F88" s="16"/>
      <c r="G88" s="17"/>
      <c r="H88" s="17"/>
      <c r="I88" s="17"/>
      <c r="J88" s="41"/>
    </row>
    <row r="89" spans="1:10" ht="78.75" customHeight="1" x14ac:dyDescent="0.2">
      <c r="A89" s="4"/>
      <c r="B89" s="5"/>
      <c r="C89" s="6"/>
      <c r="D89" s="7"/>
      <c r="E89" s="8"/>
      <c r="F89" s="9"/>
      <c r="G89" s="10"/>
      <c r="H89" s="10"/>
      <c r="I89" s="10"/>
      <c r="J89" s="40"/>
    </row>
    <row r="90" spans="1:10" ht="78.75" customHeight="1" x14ac:dyDescent="0.2">
      <c r="A90" s="11"/>
      <c r="B90" s="12"/>
      <c r="C90" s="13"/>
      <c r="D90" s="14"/>
      <c r="E90" s="15"/>
      <c r="F90" s="16"/>
      <c r="G90" s="17"/>
      <c r="H90" s="17"/>
      <c r="I90" s="17"/>
      <c r="J90" s="41"/>
    </row>
    <row r="91" spans="1:10" ht="66" customHeight="1" x14ac:dyDescent="0.2">
      <c r="A91" s="4"/>
      <c r="B91" s="5"/>
      <c r="C91" s="6"/>
      <c r="D91" s="7"/>
      <c r="E91" s="8"/>
      <c r="F91" s="9"/>
      <c r="G91" s="10"/>
      <c r="H91" s="10"/>
      <c r="I91" s="10"/>
      <c r="J91" s="40"/>
    </row>
    <row r="92" spans="1:10" ht="78.75" customHeight="1" x14ac:dyDescent="0.2">
      <c r="A92" s="11"/>
      <c r="B92" s="12"/>
      <c r="C92" s="13"/>
      <c r="D92" s="14"/>
      <c r="E92" s="15"/>
      <c r="F92" s="16"/>
      <c r="G92" s="17"/>
      <c r="H92" s="17"/>
      <c r="I92" s="17"/>
      <c r="J92" s="41"/>
    </row>
    <row r="93" spans="1:10" ht="91.5" customHeight="1" x14ac:dyDescent="0.2">
      <c r="A93" s="4"/>
      <c r="B93" s="5"/>
      <c r="C93" s="6"/>
      <c r="D93" s="7"/>
      <c r="E93" s="8"/>
      <c r="F93" s="9"/>
      <c r="G93" s="10"/>
      <c r="H93" s="10"/>
      <c r="I93" s="10"/>
      <c r="J93" s="40"/>
    </row>
    <row r="94" spans="1:10" ht="78.75" customHeight="1" x14ac:dyDescent="0.2">
      <c r="A94" s="11"/>
      <c r="B94" s="12"/>
      <c r="C94" s="13"/>
      <c r="D94" s="14"/>
      <c r="E94" s="15"/>
      <c r="F94" s="16"/>
      <c r="G94" s="17"/>
      <c r="H94" s="17"/>
      <c r="I94" s="17"/>
      <c r="J94" s="41"/>
    </row>
    <row r="95" spans="1:10" ht="66" customHeight="1" x14ac:dyDescent="0.2">
      <c r="A95" s="4"/>
      <c r="B95" s="5"/>
      <c r="C95" s="6"/>
      <c r="D95" s="7"/>
      <c r="E95" s="8"/>
      <c r="F95" s="9"/>
      <c r="G95" s="10"/>
      <c r="H95" s="10"/>
      <c r="I95" s="10"/>
      <c r="J95" s="40"/>
    </row>
    <row r="96" spans="1:10" ht="52.5" customHeight="1" x14ac:dyDescent="0.2">
      <c r="A96" s="11"/>
      <c r="B96" s="12"/>
      <c r="C96" s="13"/>
      <c r="D96" s="14"/>
      <c r="E96" s="15"/>
      <c r="F96" s="16"/>
      <c r="G96" s="17"/>
      <c r="H96" s="17"/>
      <c r="I96" s="17"/>
      <c r="J96" s="41"/>
    </row>
    <row r="97" spans="1:10" ht="52.5" customHeight="1" x14ac:dyDescent="0.2">
      <c r="A97" s="4"/>
      <c r="B97" s="5"/>
      <c r="C97" s="6"/>
      <c r="D97" s="7"/>
      <c r="E97" s="8"/>
      <c r="F97" s="9"/>
      <c r="G97" s="10"/>
      <c r="H97" s="10"/>
      <c r="I97" s="10"/>
      <c r="J97" s="40"/>
    </row>
    <row r="98" spans="1:10" ht="78.75" customHeight="1" x14ac:dyDescent="0.2">
      <c r="A98" s="11"/>
      <c r="B98" s="12"/>
      <c r="C98" s="13"/>
      <c r="D98" s="14"/>
      <c r="E98" s="15"/>
      <c r="F98" s="16"/>
      <c r="G98" s="17"/>
      <c r="H98" s="17"/>
      <c r="I98" s="17"/>
      <c r="J98" s="41"/>
    </row>
    <row r="99" spans="1:10" ht="78.75" customHeight="1" x14ac:dyDescent="0.2">
      <c r="A99" s="4"/>
      <c r="B99" s="5"/>
      <c r="C99" s="6"/>
      <c r="D99" s="7"/>
      <c r="E99" s="8"/>
      <c r="F99" s="9"/>
      <c r="G99" s="10"/>
      <c r="H99" s="10"/>
      <c r="I99" s="10"/>
      <c r="J99" s="40"/>
    </row>
    <row r="100" spans="1:10" ht="91.5" customHeight="1" x14ac:dyDescent="0.2">
      <c r="A100" s="11"/>
      <c r="B100" s="12"/>
      <c r="C100" s="13"/>
      <c r="D100" s="14"/>
      <c r="E100" s="15"/>
      <c r="F100" s="16"/>
      <c r="G100" s="17"/>
      <c r="H100" s="17"/>
      <c r="I100" s="17"/>
      <c r="J100" s="41"/>
    </row>
    <row r="101" spans="1:10" ht="78.75" customHeight="1" x14ac:dyDescent="0.2">
      <c r="A101" s="4"/>
      <c r="B101" s="5"/>
      <c r="C101" s="6"/>
      <c r="D101" s="7"/>
      <c r="E101" s="8"/>
      <c r="F101" s="9"/>
      <c r="G101" s="10"/>
      <c r="H101" s="10"/>
      <c r="I101" s="10"/>
      <c r="J101" s="40"/>
    </row>
    <row r="102" spans="1:10" ht="66" customHeight="1" x14ac:dyDescent="0.2">
      <c r="A102" s="11"/>
      <c r="B102" s="12"/>
      <c r="C102" s="13"/>
      <c r="D102" s="14"/>
      <c r="E102" s="15"/>
      <c r="F102" s="16"/>
      <c r="G102" s="17"/>
      <c r="H102" s="17"/>
      <c r="I102" s="17"/>
      <c r="J102" s="41"/>
    </row>
    <row r="103" spans="1:10" ht="91.5" customHeight="1" x14ac:dyDescent="0.2">
      <c r="A103" s="4"/>
      <c r="B103" s="5"/>
      <c r="C103" s="6"/>
      <c r="D103" s="7"/>
      <c r="E103" s="8"/>
      <c r="F103" s="9"/>
      <c r="G103" s="10"/>
      <c r="H103" s="10"/>
      <c r="I103" s="10"/>
      <c r="J103" s="40"/>
    </row>
    <row r="104" spans="1:10" ht="78.75" customHeight="1" x14ac:dyDescent="0.2">
      <c r="A104" s="11"/>
      <c r="B104" s="12"/>
      <c r="C104" s="13"/>
      <c r="D104" s="14"/>
      <c r="E104" s="15"/>
      <c r="F104" s="16"/>
      <c r="G104" s="17"/>
      <c r="H104" s="17"/>
      <c r="I104" s="17"/>
      <c r="J104" s="41"/>
    </row>
    <row r="105" spans="1:10" ht="66" customHeight="1" x14ac:dyDescent="0.2">
      <c r="A105" s="4"/>
      <c r="B105" s="5"/>
      <c r="C105" s="6"/>
      <c r="D105" s="7"/>
      <c r="E105" s="8"/>
      <c r="F105" s="9"/>
      <c r="G105" s="10"/>
      <c r="H105" s="10"/>
      <c r="I105" s="10"/>
      <c r="J105" s="40"/>
    </row>
    <row r="106" spans="1:10" ht="78.75" customHeight="1" x14ac:dyDescent="0.2">
      <c r="A106" s="11"/>
      <c r="B106" s="12"/>
      <c r="C106" s="13"/>
      <c r="D106" s="14"/>
      <c r="E106" s="15"/>
      <c r="F106" s="16"/>
      <c r="G106" s="17"/>
      <c r="H106" s="17"/>
      <c r="I106" s="17"/>
      <c r="J106" s="41"/>
    </row>
    <row r="107" spans="1:10" ht="105" customHeight="1" x14ac:dyDescent="0.2">
      <c r="A107" s="4"/>
      <c r="B107" s="5"/>
      <c r="C107" s="6"/>
      <c r="D107" s="7"/>
      <c r="E107" s="8"/>
      <c r="F107" s="9"/>
      <c r="G107" s="10"/>
      <c r="H107" s="10"/>
      <c r="I107" s="10"/>
      <c r="J107" s="40"/>
    </row>
    <row r="108" spans="1:10" ht="78.75" customHeight="1" x14ac:dyDescent="0.2">
      <c r="A108" s="11"/>
      <c r="B108" s="12"/>
      <c r="C108" s="13"/>
      <c r="D108" s="14"/>
      <c r="E108" s="15"/>
      <c r="F108" s="16"/>
      <c r="G108" s="17"/>
      <c r="H108" s="17"/>
      <c r="I108" s="17"/>
      <c r="J108" s="41"/>
    </row>
    <row r="109" spans="1:10" ht="78.75" customHeight="1" x14ac:dyDescent="0.2">
      <c r="A109" s="4"/>
      <c r="B109" s="5"/>
      <c r="C109" s="6"/>
      <c r="D109" s="7"/>
      <c r="E109" s="8"/>
      <c r="F109" s="9"/>
      <c r="G109" s="10"/>
      <c r="H109" s="10"/>
      <c r="I109" s="10"/>
      <c r="J109" s="40"/>
    </row>
    <row r="110" spans="1:10" ht="105" customHeight="1" x14ac:dyDescent="0.2">
      <c r="A110" s="11"/>
      <c r="B110" s="12"/>
      <c r="C110" s="13"/>
      <c r="D110" s="14"/>
      <c r="E110" s="15"/>
      <c r="F110" s="16"/>
      <c r="G110" s="17"/>
      <c r="H110" s="17"/>
      <c r="I110" s="17"/>
      <c r="J110" s="41"/>
    </row>
    <row r="111" spans="1:10" ht="52.5" customHeight="1" x14ac:dyDescent="0.2">
      <c r="A111" s="4"/>
      <c r="B111" s="5"/>
      <c r="C111" s="6"/>
      <c r="D111" s="7"/>
      <c r="E111" s="8"/>
      <c r="F111" s="9"/>
      <c r="G111" s="10"/>
      <c r="H111" s="10"/>
      <c r="I111" s="10"/>
      <c r="J111" s="40"/>
    </row>
    <row r="112" spans="1:10" ht="78.75" customHeight="1" x14ac:dyDescent="0.2">
      <c r="A112" s="11"/>
      <c r="B112" s="12"/>
      <c r="C112" s="13"/>
      <c r="D112" s="14"/>
      <c r="E112" s="15"/>
      <c r="F112" s="16"/>
      <c r="G112" s="17"/>
      <c r="H112" s="17"/>
      <c r="I112" s="17"/>
      <c r="J112" s="41"/>
    </row>
    <row r="113" spans="1:10" ht="78.75" customHeight="1" x14ac:dyDescent="0.2">
      <c r="A113" s="4"/>
      <c r="B113" s="5"/>
      <c r="C113" s="6"/>
      <c r="D113" s="7"/>
      <c r="E113" s="8"/>
      <c r="F113" s="9"/>
      <c r="G113" s="10"/>
      <c r="H113" s="10"/>
      <c r="I113" s="10"/>
      <c r="J113" s="40"/>
    </row>
    <row r="114" spans="1:10" ht="66" customHeight="1" x14ac:dyDescent="0.2">
      <c r="A114" s="11"/>
      <c r="B114" s="12"/>
      <c r="C114" s="13"/>
      <c r="D114" s="14"/>
      <c r="E114" s="15"/>
      <c r="F114" s="16"/>
      <c r="G114" s="17"/>
      <c r="H114" s="17"/>
      <c r="I114" s="17"/>
      <c r="J114" s="41"/>
    </row>
    <row r="115" spans="1:10" ht="78.75" customHeight="1" x14ac:dyDescent="0.2">
      <c r="A115" s="4"/>
      <c r="B115" s="5"/>
      <c r="C115" s="6"/>
      <c r="D115" s="7"/>
      <c r="E115" s="8"/>
      <c r="F115" s="9"/>
      <c r="G115" s="10"/>
      <c r="H115" s="10"/>
      <c r="I115" s="10"/>
      <c r="J115" s="40"/>
    </row>
    <row r="116" spans="1:10" ht="120" customHeight="1" x14ac:dyDescent="0.2">
      <c r="A116" s="11"/>
      <c r="B116" s="12"/>
      <c r="C116" s="13"/>
      <c r="D116" s="14"/>
      <c r="E116" s="15"/>
      <c r="F116" s="16"/>
      <c r="G116" s="17"/>
      <c r="H116" s="17"/>
      <c r="I116" s="17"/>
      <c r="J116" s="41"/>
    </row>
    <row r="117" spans="1:10" ht="78.75" customHeight="1" x14ac:dyDescent="0.2">
      <c r="A117" s="4"/>
      <c r="B117" s="5"/>
      <c r="C117" s="6"/>
      <c r="D117" s="7"/>
      <c r="E117" s="8"/>
      <c r="F117" s="9"/>
      <c r="G117" s="10"/>
      <c r="H117" s="10"/>
      <c r="I117" s="10"/>
      <c r="J117" s="40"/>
    </row>
    <row r="118" spans="1:10" ht="66" customHeight="1" x14ac:dyDescent="0.2">
      <c r="A118" s="11"/>
      <c r="B118" s="12"/>
      <c r="C118" s="13"/>
      <c r="D118" s="14"/>
      <c r="E118" s="15"/>
      <c r="F118" s="16"/>
      <c r="G118" s="17"/>
      <c r="H118" s="17"/>
      <c r="I118" s="17"/>
      <c r="J118" s="41"/>
    </row>
    <row r="119" spans="1:10" ht="78.75" customHeight="1" x14ac:dyDescent="0.2">
      <c r="A119" s="4"/>
      <c r="B119" s="5"/>
      <c r="C119" s="6"/>
      <c r="D119" s="7"/>
      <c r="E119" s="8"/>
      <c r="F119" s="9"/>
      <c r="G119" s="10"/>
      <c r="H119" s="10"/>
      <c r="I119" s="10"/>
      <c r="J119" s="40"/>
    </row>
    <row r="120" spans="1:10" ht="66" customHeight="1" x14ac:dyDescent="0.2">
      <c r="A120" s="11"/>
      <c r="B120" s="12"/>
      <c r="C120" s="13"/>
      <c r="D120" s="14"/>
      <c r="E120" s="15"/>
      <c r="F120" s="16"/>
      <c r="G120" s="17"/>
      <c r="H120" s="17"/>
      <c r="I120" s="17"/>
      <c r="J120" s="41"/>
    </row>
    <row r="121" spans="1:10" ht="78.75" customHeight="1" x14ac:dyDescent="0.2">
      <c r="A121" s="4"/>
      <c r="B121" s="5"/>
      <c r="C121" s="6"/>
      <c r="D121" s="7"/>
      <c r="E121" s="8"/>
      <c r="F121" s="9"/>
      <c r="G121" s="10"/>
      <c r="H121" s="10"/>
      <c r="I121" s="10"/>
      <c r="J121" s="40"/>
    </row>
    <row r="122" spans="1:10" ht="78.75" customHeight="1" x14ac:dyDescent="0.2">
      <c r="A122" s="11"/>
      <c r="B122" s="12"/>
      <c r="C122" s="13"/>
      <c r="D122" s="14"/>
      <c r="E122" s="15"/>
      <c r="F122" s="16"/>
      <c r="G122" s="17"/>
      <c r="H122" s="17"/>
      <c r="I122" s="17"/>
      <c r="J122" s="41"/>
    </row>
    <row r="123" spans="1:10" ht="78.75" customHeight="1" x14ac:dyDescent="0.2">
      <c r="A123" s="4"/>
      <c r="B123" s="5"/>
      <c r="C123" s="6"/>
      <c r="D123" s="7"/>
      <c r="E123" s="8"/>
      <c r="F123" s="9"/>
      <c r="G123" s="10"/>
      <c r="H123" s="10"/>
      <c r="I123" s="10"/>
      <c r="J123" s="40"/>
    </row>
    <row r="124" spans="1:10" ht="66" customHeight="1" x14ac:dyDescent="0.2">
      <c r="A124" s="11"/>
      <c r="B124" s="12"/>
      <c r="C124" s="13"/>
      <c r="D124" s="14"/>
      <c r="E124" s="15"/>
      <c r="F124" s="16"/>
      <c r="G124" s="17"/>
      <c r="H124" s="17"/>
      <c r="I124" s="17"/>
      <c r="J124" s="41"/>
    </row>
    <row r="125" spans="1:10" ht="66" customHeight="1" x14ac:dyDescent="0.2">
      <c r="A125" s="4"/>
      <c r="B125" s="5"/>
      <c r="C125" s="6"/>
      <c r="D125" s="7"/>
      <c r="E125" s="8"/>
      <c r="F125" s="9"/>
      <c r="G125" s="10"/>
      <c r="H125" s="10"/>
      <c r="I125" s="10"/>
      <c r="J125" s="40"/>
    </row>
    <row r="126" spans="1:10" ht="78.75" customHeight="1" x14ac:dyDescent="0.2">
      <c r="A126" s="11"/>
      <c r="B126" s="12"/>
      <c r="C126" s="13"/>
      <c r="D126" s="14"/>
      <c r="E126" s="15"/>
      <c r="F126" s="16"/>
      <c r="G126" s="17"/>
      <c r="H126" s="17"/>
      <c r="I126" s="17"/>
      <c r="J126" s="41"/>
    </row>
    <row r="127" spans="1:10" ht="78.75" customHeight="1" x14ac:dyDescent="0.2">
      <c r="A127" s="4"/>
      <c r="B127" s="5"/>
      <c r="C127" s="6"/>
      <c r="D127" s="7"/>
      <c r="E127" s="8"/>
      <c r="F127" s="9"/>
      <c r="G127" s="10"/>
      <c r="H127" s="10"/>
      <c r="I127" s="10"/>
      <c r="J127" s="40"/>
    </row>
    <row r="128" spans="1:10" ht="66" customHeight="1" x14ac:dyDescent="0.2">
      <c r="A128" s="11"/>
      <c r="B128" s="12"/>
      <c r="C128" s="13"/>
      <c r="D128" s="14"/>
      <c r="E128" s="15"/>
      <c r="F128" s="16"/>
      <c r="G128" s="17"/>
      <c r="H128" s="17"/>
      <c r="I128" s="17"/>
      <c r="J128" s="41"/>
    </row>
    <row r="129" spans="1:10" ht="78.75" customHeight="1" x14ac:dyDescent="0.2">
      <c r="A129" s="4"/>
      <c r="B129" s="5"/>
      <c r="C129" s="6"/>
      <c r="D129" s="7"/>
      <c r="E129" s="8"/>
      <c r="F129" s="9"/>
      <c r="G129" s="10"/>
      <c r="H129" s="10"/>
      <c r="I129" s="10"/>
      <c r="J129" s="40"/>
    </row>
    <row r="130" spans="1:10" ht="78.75" customHeight="1" x14ac:dyDescent="0.2">
      <c r="A130" s="11"/>
      <c r="B130" s="12"/>
      <c r="C130" s="13"/>
      <c r="D130" s="14"/>
      <c r="E130" s="15"/>
      <c r="F130" s="16"/>
      <c r="G130" s="17"/>
      <c r="H130" s="17"/>
      <c r="I130" s="17"/>
      <c r="J130" s="41"/>
    </row>
    <row r="131" spans="1:10" ht="117.75" customHeight="1" x14ac:dyDescent="0.2">
      <c r="A131" s="4"/>
      <c r="B131" s="5"/>
      <c r="C131" s="6"/>
      <c r="D131" s="7"/>
      <c r="E131" s="8"/>
      <c r="F131" s="9"/>
      <c r="G131" s="10"/>
      <c r="H131" s="10"/>
      <c r="I131" s="10"/>
      <c r="J131" s="40"/>
    </row>
    <row r="132" spans="1:10" ht="78.75" customHeight="1" x14ac:dyDescent="0.2">
      <c r="A132" s="11"/>
      <c r="B132" s="12"/>
      <c r="C132" s="13"/>
      <c r="D132" s="14"/>
      <c r="E132" s="15"/>
      <c r="F132" s="16"/>
      <c r="G132" s="17"/>
      <c r="H132" s="17"/>
      <c r="I132" s="17"/>
      <c r="J132" s="41"/>
    </row>
    <row r="133" spans="1:10" ht="78.75" customHeight="1" x14ac:dyDescent="0.2">
      <c r="A133" s="4"/>
      <c r="B133" s="5"/>
      <c r="C133" s="6"/>
      <c r="D133" s="7"/>
      <c r="E133" s="8"/>
      <c r="F133" s="9"/>
      <c r="G133" s="10"/>
      <c r="H133" s="10"/>
      <c r="I133" s="10"/>
      <c r="J133" s="40"/>
    </row>
    <row r="134" spans="1:10" ht="66" customHeight="1" x14ac:dyDescent="0.2">
      <c r="A134" s="11"/>
      <c r="B134" s="12"/>
      <c r="C134" s="13"/>
      <c r="D134" s="14"/>
      <c r="E134" s="15"/>
      <c r="F134" s="16"/>
      <c r="G134" s="17"/>
      <c r="H134" s="17"/>
      <c r="I134" s="17"/>
      <c r="J134" s="41"/>
    </row>
    <row r="135" spans="1:10" ht="7.5" customHeight="1" x14ac:dyDescent="0.2"/>
    <row r="136" spans="1:10" ht="19.5" customHeight="1" x14ac:dyDescent="0.2">
      <c r="A136" s="19">
        <f ca="1">SUMPRODUCT((A3:A134="AMIF")*SUBTOTAL(103,OFFSET(A3,ROW(A3:A134)-ROW(A3),0)))</f>
        <v>0</v>
      </c>
      <c r="B136" s="20" t="s">
        <v>400</v>
      </c>
      <c r="C136" s="21"/>
      <c r="D136" s="21"/>
      <c r="E136" s="21"/>
      <c r="F136" s="21"/>
      <c r="G136" s="22">
        <f ca="1">SUMPRODUCT((A3:A134="AMIF")*SUBTOTAL(103,OFFSET(A3,ROW(A3:A134)-ROW(A3),0))*G3:G134)</f>
        <v>0</v>
      </c>
      <c r="H136" s="22">
        <f ca="1">SUMPRODUCT((A3:A134="AMIF")*SUBTOTAL(103,OFFSET(A3,ROW(A3:A134)-ROW(A3),0))*H3:H134)</f>
        <v>0</v>
      </c>
      <c r="I136" s="22">
        <f ca="1">SUMPRODUCT((A3:A134="AMIF")*SUBTOTAL(103,OFFSET(A3,ROW(A3:A134)-ROW(A3),0))*I3:I134)</f>
        <v>0</v>
      </c>
      <c r="J136" s="21"/>
    </row>
    <row r="137" spans="1:10" ht="19.5" customHeight="1" x14ac:dyDescent="0.2">
      <c r="A137" s="23">
        <f ca="1">SUMPRODUCT((A3:A134="National")*SUBTOTAL(103,OFFSET(A3,ROW(A3:A134)-ROW(A3),0)))</f>
        <v>0</v>
      </c>
      <c r="B137" s="24" t="s">
        <v>401</v>
      </c>
      <c r="C137" s="25"/>
      <c r="D137" s="25"/>
      <c r="E137" s="25"/>
      <c r="F137" s="25"/>
      <c r="G137" s="26">
        <f ca="1">SUMPRODUCT((A3:A134="National")*SUBTOTAL(103,OFFSET(A3,ROW(A3:A134)-ROW(A3),0))*G3:G134)</f>
        <v>0</v>
      </c>
      <c r="H137" s="26">
        <f ca="1">SUMPRODUCT((A3:A134="National")*SUBTOTAL(103,OFFSET(A3,ROW(A3:A134)-ROW(A3),0))*H3:H134)</f>
        <v>0</v>
      </c>
      <c r="I137" s="26">
        <f ca="1">SUMPRODUCT((A3:A134="National")*SUBTOTAL(103,OFFSET(A3,ROW(A3:A134)-ROW(A3),0))*I3:I134)</f>
        <v>0</v>
      </c>
      <c r="J137" s="25"/>
    </row>
    <row r="138" spans="1:10" ht="24" customHeight="1" x14ac:dyDescent="0.2">
      <c r="A138" s="27">
        <f ca="1">SUMPRODUCT(((A3:A134="AMIF")+(A3:A134="AMIF-UKR")+(A3:A134="NATÜ")+(A3:A134="National"))*SUBTOTAL(103,OFFSET(A3,ROW(A3:A134)-ROW(A3),0)))</f>
        <v>0</v>
      </c>
      <c r="B138" s="28" t="s">
        <v>556</v>
      </c>
      <c r="C138" s="29"/>
      <c r="D138" s="29"/>
      <c r="E138" s="29"/>
      <c r="F138" s="29"/>
      <c r="G138" s="30">
        <f>SUBTOTAL(9,G3:G134)</f>
        <v>0</v>
      </c>
      <c r="H138" s="30">
        <f>SUBTOTAL(9,H3:H134)</f>
        <v>379000</v>
      </c>
      <c r="I138" s="30">
        <f>SUBTOTAL(9,I3:I134)</f>
        <v>379000</v>
      </c>
      <c r="J138" s="29"/>
    </row>
    <row r="140" spans="1:10" x14ac:dyDescent="0.2">
      <c r="A140" s="104" t="s">
        <v>557</v>
      </c>
      <c r="B140" s="103"/>
      <c r="C140" s="103"/>
      <c r="D140" s="103"/>
      <c r="E140" s="103"/>
      <c r="F140" s="103"/>
      <c r="G140" s="103"/>
      <c r="H140" s="103"/>
      <c r="I140" s="103"/>
      <c r="J140" s="103"/>
    </row>
  </sheetData>
  <autoFilter ref="A2:J2" xr:uid="{00000000-0009-0000-0000-000008000000}"/>
  <mergeCells count="2">
    <mergeCell ref="A1:J1"/>
    <mergeCell ref="A140:J140"/>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31"/>
  <sheetViews>
    <sheetView zoomScaleNormal="100" workbookViewId="0"/>
  </sheetViews>
  <sheetFormatPr baseColWidth="10" defaultColWidth="8.5" defaultRowHeight="15" x14ac:dyDescent="0.2"/>
  <sheetData>
    <row r="1" spans="1:5" x14ac:dyDescent="0.2">
      <c r="A1" t="s">
        <v>13</v>
      </c>
      <c r="B1" t="s">
        <v>14</v>
      </c>
      <c r="C1" t="s">
        <v>15</v>
      </c>
      <c r="D1" t="s">
        <v>16</v>
      </c>
      <c r="E1" t="s">
        <v>558</v>
      </c>
    </row>
    <row r="2" spans="1:5" x14ac:dyDescent="0.2">
      <c r="A2" t="s">
        <v>17</v>
      </c>
      <c r="B2">
        <v>19259290.079999998</v>
      </c>
      <c r="C2">
        <v>8</v>
      </c>
      <c r="D2">
        <v>73</v>
      </c>
      <c r="E2" t="s">
        <v>18</v>
      </c>
    </row>
    <row r="3" spans="1:5" x14ac:dyDescent="0.2">
      <c r="A3" t="s">
        <v>19</v>
      </c>
      <c r="B3">
        <v>8165379.5899999999</v>
      </c>
      <c r="C3">
        <v>8</v>
      </c>
      <c r="D3">
        <v>49</v>
      </c>
      <c r="E3" t="s">
        <v>18</v>
      </c>
    </row>
    <row r="4" spans="1:5" x14ac:dyDescent="0.2">
      <c r="A4" t="s">
        <v>20</v>
      </c>
      <c r="B4">
        <v>7774624.8200000003</v>
      </c>
      <c r="C4">
        <v>8</v>
      </c>
      <c r="D4">
        <v>16</v>
      </c>
      <c r="E4" t="s">
        <v>18</v>
      </c>
    </row>
    <row r="5" spans="1:5" x14ac:dyDescent="0.2">
      <c r="A5" t="s">
        <v>21</v>
      </c>
      <c r="B5">
        <v>6727620.3799999999</v>
      </c>
      <c r="C5">
        <v>8</v>
      </c>
      <c r="D5">
        <v>60</v>
      </c>
      <c r="E5" t="s">
        <v>18</v>
      </c>
    </row>
    <row r="6" spans="1:5" x14ac:dyDescent="0.2">
      <c r="A6" t="s">
        <v>22</v>
      </c>
      <c r="B6">
        <v>5333772.1100000003</v>
      </c>
      <c r="C6">
        <v>8</v>
      </c>
      <c r="D6">
        <v>49</v>
      </c>
      <c r="E6" t="s">
        <v>18</v>
      </c>
    </row>
    <row r="7" spans="1:5" x14ac:dyDescent="0.2">
      <c r="A7" t="s">
        <v>23</v>
      </c>
      <c r="B7">
        <v>4675836.1500000004</v>
      </c>
      <c r="C7">
        <v>8</v>
      </c>
      <c r="D7">
        <v>21</v>
      </c>
      <c r="E7" t="s">
        <v>18</v>
      </c>
    </row>
    <row r="8" spans="1:5" x14ac:dyDescent="0.2">
      <c r="A8" t="s">
        <v>24</v>
      </c>
      <c r="B8">
        <v>4628698.58</v>
      </c>
      <c r="C8">
        <v>8</v>
      </c>
      <c r="D8">
        <v>31</v>
      </c>
      <c r="E8" t="s">
        <v>18</v>
      </c>
    </row>
    <row r="9" spans="1:5" x14ac:dyDescent="0.2">
      <c r="A9" t="s">
        <v>25</v>
      </c>
      <c r="B9">
        <v>3995518.39</v>
      </c>
      <c r="C9">
        <v>5</v>
      </c>
      <c r="D9">
        <v>9</v>
      </c>
      <c r="E9" t="s">
        <v>26</v>
      </c>
    </row>
    <row r="10" spans="1:5" x14ac:dyDescent="0.2">
      <c r="A10" t="s">
        <v>27</v>
      </c>
      <c r="B10">
        <v>3932506.38</v>
      </c>
      <c r="C10">
        <v>8</v>
      </c>
      <c r="D10">
        <v>19</v>
      </c>
      <c r="E10" t="s">
        <v>18</v>
      </c>
    </row>
    <row r="11" spans="1:5" x14ac:dyDescent="0.2">
      <c r="A11" t="s">
        <v>28</v>
      </c>
      <c r="B11">
        <v>2956315.86</v>
      </c>
      <c r="C11">
        <v>8</v>
      </c>
      <c r="D11">
        <v>8</v>
      </c>
      <c r="E11" t="s">
        <v>18</v>
      </c>
    </row>
    <row r="12" spans="1:5" x14ac:dyDescent="0.2">
      <c r="A12" t="s">
        <v>29</v>
      </c>
      <c r="B12">
        <v>2719843</v>
      </c>
      <c r="C12">
        <v>8</v>
      </c>
      <c r="D12">
        <v>8</v>
      </c>
      <c r="E12" t="s">
        <v>18</v>
      </c>
    </row>
    <row r="13" spans="1:5" x14ac:dyDescent="0.2">
      <c r="A13" t="s">
        <v>30</v>
      </c>
      <c r="B13">
        <v>2578926.19</v>
      </c>
      <c r="C13">
        <v>8</v>
      </c>
      <c r="D13">
        <v>16</v>
      </c>
      <c r="E13" t="s">
        <v>18</v>
      </c>
    </row>
    <row r="14" spans="1:5" x14ac:dyDescent="0.2">
      <c r="A14" t="s">
        <v>31</v>
      </c>
      <c r="B14">
        <v>2392985.15</v>
      </c>
      <c r="C14">
        <v>8</v>
      </c>
      <c r="D14">
        <v>8</v>
      </c>
      <c r="E14" t="s">
        <v>18</v>
      </c>
    </row>
    <row r="15" spans="1:5" x14ac:dyDescent="0.2">
      <c r="A15" t="s">
        <v>32</v>
      </c>
      <c r="B15">
        <v>2283832.7200000002</v>
      </c>
      <c r="C15">
        <v>8</v>
      </c>
      <c r="D15">
        <v>18</v>
      </c>
      <c r="E15" t="s">
        <v>18</v>
      </c>
    </row>
    <row r="16" spans="1:5" x14ac:dyDescent="0.2">
      <c r="A16" t="s">
        <v>33</v>
      </c>
      <c r="B16">
        <v>2218036</v>
      </c>
      <c r="C16">
        <v>4</v>
      </c>
      <c r="D16">
        <v>4</v>
      </c>
      <c r="E16" t="s">
        <v>34</v>
      </c>
    </row>
    <row r="17" spans="1:5" x14ac:dyDescent="0.2">
      <c r="A17" t="s">
        <v>35</v>
      </c>
      <c r="B17">
        <v>2046312.13</v>
      </c>
      <c r="C17">
        <v>8</v>
      </c>
      <c r="D17">
        <v>16</v>
      </c>
      <c r="E17" t="s">
        <v>18</v>
      </c>
    </row>
    <row r="18" spans="1:5" x14ac:dyDescent="0.2">
      <c r="A18" t="s">
        <v>36</v>
      </c>
      <c r="B18">
        <v>1918072.36</v>
      </c>
      <c r="C18">
        <v>7</v>
      </c>
      <c r="D18">
        <v>16</v>
      </c>
      <c r="E18" t="s">
        <v>37</v>
      </c>
    </row>
    <row r="19" spans="1:5" x14ac:dyDescent="0.2">
      <c r="A19" t="s">
        <v>38</v>
      </c>
      <c r="B19">
        <v>1774376.11</v>
      </c>
      <c r="C19">
        <v>8</v>
      </c>
      <c r="D19">
        <v>18</v>
      </c>
      <c r="E19" t="s">
        <v>18</v>
      </c>
    </row>
    <row r="20" spans="1:5" x14ac:dyDescent="0.2">
      <c r="A20" t="s">
        <v>39</v>
      </c>
      <c r="B20">
        <v>1664346.14</v>
      </c>
      <c r="C20">
        <v>8</v>
      </c>
      <c r="D20">
        <v>12</v>
      </c>
      <c r="E20" t="s">
        <v>18</v>
      </c>
    </row>
    <row r="21" spans="1:5" x14ac:dyDescent="0.2">
      <c r="A21" t="s">
        <v>40</v>
      </c>
      <c r="B21">
        <v>1639845.72</v>
      </c>
      <c r="C21">
        <v>8</v>
      </c>
      <c r="D21">
        <v>14</v>
      </c>
      <c r="E21" t="s">
        <v>18</v>
      </c>
    </row>
    <row r="22" spans="1:5" x14ac:dyDescent="0.2">
      <c r="A22" t="s">
        <v>497</v>
      </c>
      <c r="B22">
        <v>1552737.4</v>
      </c>
      <c r="C22">
        <v>5</v>
      </c>
      <c r="D22">
        <v>6</v>
      </c>
      <c r="E22" t="s">
        <v>26</v>
      </c>
    </row>
    <row r="23" spans="1:5" x14ac:dyDescent="0.2">
      <c r="A23" t="s">
        <v>82</v>
      </c>
      <c r="B23">
        <v>1539102.44</v>
      </c>
      <c r="C23">
        <v>7</v>
      </c>
      <c r="D23">
        <v>14</v>
      </c>
      <c r="E23" t="s">
        <v>37</v>
      </c>
    </row>
    <row r="24" spans="1:5" x14ac:dyDescent="0.2">
      <c r="A24" t="s">
        <v>384</v>
      </c>
      <c r="B24">
        <v>1446082.9</v>
      </c>
      <c r="C24">
        <v>8</v>
      </c>
      <c r="D24">
        <v>17</v>
      </c>
      <c r="E24" t="s">
        <v>18</v>
      </c>
    </row>
    <row r="25" spans="1:5" x14ac:dyDescent="0.2">
      <c r="A25" t="s">
        <v>72</v>
      </c>
      <c r="B25">
        <v>1319312.28</v>
      </c>
      <c r="C25">
        <v>8</v>
      </c>
      <c r="D25">
        <v>16</v>
      </c>
      <c r="E25" t="s">
        <v>18</v>
      </c>
    </row>
    <row r="26" spans="1:5" x14ac:dyDescent="0.2">
      <c r="A26" t="s">
        <v>55</v>
      </c>
      <c r="B26">
        <v>1299047.49</v>
      </c>
      <c r="C26">
        <v>8</v>
      </c>
      <c r="D26">
        <v>8</v>
      </c>
      <c r="E26" t="s">
        <v>18</v>
      </c>
    </row>
    <row r="27" spans="1:5" x14ac:dyDescent="0.2">
      <c r="A27" t="s">
        <v>94</v>
      </c>
      <c r="B27">
        <v>1272309.33</v>
      </c>
      <c r="C27">
        <v>8</v>
      </c>
      <c r="D27">
        <v>8</v>
      </c>
      <c r="E27" t="s">
        <v>18</v>
      </c>
    </row>
    <row r="28" spans="1:5" x14ac:dyDescent="0.2">
      <c r="A28" t="s">
        <v>68</v>
      </c>
      <c r="B28">
        <v>1268654.8799999999</v>
      </c>
      <c r="C28">
        <v>8</v>
      </c>
      <c r="D28">
        <v>8</v>
      </c>
      <c r="E28" t="s">
        <v>18</v>
      </c>
    </row>
    <row r="29" spans="1:5" x14ac:dyDescent="0.2">
      <c r="A29" t="s">
        <v>261</v>
      </c>
      <c r="B29">
        <v>1245119.45</v>
      </c>
      <c r="C29">
        <v>8</v>
      </c>
      <c r="D29">
        <v>12</v>
      </c>
      <c r="E29" t="s">
        <v>18</v>
      </c>
    </row>
    <row r="30" spans="1:5" x14ac:dyDescent="0.2">
      <c r="A30" t="s">
        <v>286</v>
      </c>
      <c r="B30">
        <v>1243620</v>
      </c>
      <c r="C30">
        <v>8</v>
      </c>
      <c r="D30">
        <v>8</v>
      </c>
      <c r="E30" t="s">
        <v>18</v>
      </c>
    </row>
    <row r="31" spans="1:5" x14ac:dyDescent="0.2">
      <c r="A31" t="s">
        <v>75</v>
      </c>
      <c r="B31">
        <v>1172763.93</v>
      </c>
      <c r="C31">
        <v>8</v>
      </c>
      <c r="D31">
        <v>10</v>
      </c>
      <c r="E31" t="s">
        <v>18</v>
      </c>
    </row>
    <row r="32" spans="1:5" x14ac:dyDescent="0.2">
      <c r="A32" t="s">
        <v>86</v>
      </c>
      <c r="B32">
        <v>1148509.8899999999</v>
      </c>
      <c r="C32">
        <v>8</v>
      </c>
      <c r="D32">
        <v>14</v>
      </c>
      <c r="E32" t="s">
        <v>18</v>
      </c>
    </row>
    <row r="33" spans="1:5" x14ac:dyDescent="0.2">
      <c r="A33" t="s">
        <v>500</v>
      </c>
      <c r="B33">
        <v>1129352.21</v>
      </c>
      <c r="C33">
        <v>5</v>
      </c>
      <c r="D33">
        <v>8</v>
      </c>
      <c r="E33" t="s">
        <v>26</v>
      </c>
    </row>
    <row r="34" spans="1:5" x14ac:dyDescent="0.2">
      <c r="A34" t="s">
        <v>345</v>
      </c>
      <c r="B34">
        <v>969490</v>
      </c>
      <c r="C34">
        <v>8</v>
      </c>
      <c r="D34">
        <v>16</v>
      </c>
      <c r="E34" t="s">
        <v>18</v>
      </c>
    </row>
    <row r="35" spans="1:5" x14ac:dyDescent="0.2">
      <c r="A35" t="s">
        <v>59</v>
      </c>
      <c r="B35">
        <v>965871.56</v>
      </c>
      <c r="C35">
        <v>8</v>
      </c>
      <c r="D35">
        <v>12</v>
      </c>
      <c r="E35" t="s">
        <v>18</v>
      </c>
    </row>
    <row r="36" spans="1:5" x14ac:dyDescent="0.2">
      <c r="A36" t="s">
        <v>494</v>
      </c>
      <c r="B36">
        <v>957590.65</v>
      </c>
      <c r="C36">
        <v>5</v>
      </c>
      <c r="D36">
        <v>11</v>
      </c>
      <c r="E36" t="s">
        <v>26</v>
      </c>
    </row>
    <row r="37" spans="1:5" x14ac:dyDescent="0.2">
      <c r="A37" t="s">
        <v>514</v>
      </c>
      <c r="B37">
        <v>957360.24</v>
      </c>
      <c r="C37">
        <v>4</v>
      </c>
      <c r="D37">
        <v>8</v>
      </c>
      <c r="E37" t="s">
        <v>559</v>
      </c>
    </row>
    <row r="38" spans="1:5" x14ac:dyDescent="0.2">
      <c r="A38" t="s">
        <v>174</v>
      </c>
      <c r="B38">
        <v>951075.85</v>
      </c>
      <c r="C38">
        <v>8</v>
      </c>
      <c r="D38">
        <v>8</v>
      </c>
      <c r="E38" t="s">
        <v>18</v>
      </c>
    </row>
    <row r="39" spans="1:5" x14ac:dyDescent="0.2">
      <c r="A39" t="s">
        <v>511</v>
      </c>
      <c r="B39">
        <v>902704.53</v>
      </c>
      <c r="C39">
        <v>4</v>
      </c>
      <c r="D39">
        <v>4</v>
      </c>
      <c r="E39" t="s">
        <v>559</v>
      </c>
    </row>
    <row r="40" spans="1:5" x14ac:dyDescent="0.2">
      <c r="A40" t="s">
        <v>329</v>
      </c>
      <c r="B40">
        <v>896588.19</v>
      </c>
      <c r="C40">
        <v>8</v>
      </c>
      <c r="D40">
        <v>8</v>
      </c>
      <c r="E40" t="s">
        <v>18</v>
      </c>
    </row>
    <row r="41" spans="1:5" x14ac:dyDescent="0.2">
      <c r="A41" t="s">
        <v>364</v>
      </c>
      <c r="B41">
        <v>895100</v>
      </c>
      <c r="C41">
        <v>8</v>
      </c>
      <c r="D41">
        <v>8</v>
      </c>
      <c r="E41" t="s">
        <v>18</v>
      </c>
    </row>
    <row r="42" spans="1:5" x14ac:dyDescent="0.2">
      <c r="A42" t="s">
        <v>516</v>
      </c>
      <c r="B42">
        <v>891444.66</v>
      </c>
      <c r="C42">
        <v>4</v>
      </c>
      <c r="D42">
        <v>5</v>
      </c>
      <c r="E42" t="s">
        <v>559</v>
      </c>
    </row>
    <row r="43" spans="1:5" x14ac:dyDescent="0.2">
      <c r="A43" t="s">
        <v>138</v>
      </c>
      <c r="B43">
        <v>860778.32</v>
      </c>
      <c r="C43">
        <v>6</v>
      </c>
      <c r="D43">
        <v>6</v>
      </c>
      <c r="E43" t="s">
        <v>560</v>
      </c>
    </row>
    <row r="44" spans="1:5" x14ac:dyDescent="0.2">
      <c r="A44" t="s">
        <v>219</v>
      </c>
      <c r="B44">
        <v>853220</v>
      </c>
      <c r="C44">
        <v>7</v>
      </c>
      <c r="D44">
        <v>7</v>
      </c>
      <c r="E44" t="s">
        <v>561</v>
      </c>
    </row>
    <row r="45" spans="1:5" x14ac:dyDescent="0.2">
      <c r="A45" t="s">
        <v>289</v>
      </c>
      <c r="B45">
        <v>849580</v>
      </c>
      <c r="C45">
        <v>8</v>
      </c>
      <c r="D45">
        <v>13</v>
      </c>
      <c r="E45" t="s">
        <v>18</v>
      </c>
    </row>
    <row r="46" spans="1:5" x14ac:dyDescent="0.2">
      <c r="A46" t="s">
        <v>66</v>
      </c>
      <c r="B46">
        <v>837533.5</v>
      </c>
      <c r="C46">
        <v>4</v>
      </c>
      <c r="D46">
        <v>4</v>
      </c>
      <c r="E46" t="s">
        <v>34</v>
      </c>
    </row>
    <row r="47" spans="1:5" x14ac:dyDescent="0.2">
      <c r="A47" t="s">
        <v>520</v>
      </c>
      <c r="B47">
        <v>809918.5</v>
      </c>
      <c r="C47">
        <v>4</v>
      </c>
      <c r="D47">
        <v>4</v>
      </c>
      <c r="E47" t="s">
        <v>559</v>
      </c>
    </row>
    <row r="48" spans="1:5" x14ac:dyDescent="0.2">
      <c r="A48" t="s">
        <v>519</v>
      </c>
      <c r="B48">
        <v>788534.35</v>
      </c>
      <c r="C48">
        <v>4</v>
      </c>
      <c r="D48">
        <v>4</v>
      </c>
      <c r="E48" t="s">
        <v>559</v>
      </c>
    </row>
    <row r="49" spans="1:5" x14ac:dyDescent="0.2">
      <c r="A49" t="s">
        <v>342</v>
      </c>
      <c r="B49">
        <v>753630</v>
      </c>
      <c r="C49">
        <v>8</v>
      </c>
      <c r="D49">
        <v>8</v>
      </c>
      <c r="E49" t="s">
        <v>18</v>
      </c>
    </row>
    <row r="50" spans="1:5" x14ac:dyDescent="0.2">
      <c r="A50" t="s">
        <v>530</v>
      </c>
      <c r="B50">
        <v>738250</v>
      </c>
      <c r="C50">
        <v>3</v>
      </c>
      <c r="D50">
        <v>3</v>
      </c>
      <c r="E50" t="s">
        <v>562</v>
      </c>
    </row>
    <row r="51" spans="1:5" x14ac:dyDescent="0.2">
      <c r="A51" t="s">
        <v>155</v>
      </c>
      <c r="B51">
        <v>724916.16</v>
      </c>
      <c r="C51">
        <v>8</v>
      </c>
      <c r="D51">
        <v>8</v>
      </c>
      <c r="E51" t="s">
        <v>18</v>
      </c>
    </row>
    <row r="52" spans="1:5" x14ac:dyDescent="0.2">
      <c r="A52" t="s">
        <v>78</v>
      </c>
      <c r="B52">
        <v>699915.22</v>
      </c>
      <c r="C52">
        <v>5</v>
      </c>
      <c r="D52">
        <v>5</v>
      </c>
      <c r="E52" t="s">
        <v>563</v>
      </c>
    </row>
    <row r="53" spans="1:5" x14ac:dyDescent="0.2">
      <c r="A53" t="s">
        <v>513</v>
      </c>
      <c r="B53">
        <v>693984.23</v>
      </c>
      <c r="C53">
        <v>4</v>
      </c>
      <c r="D53">
        <v>4</v>
      </c>
      <c r="E53" t="s">
        <v>559</v>
      </c>
    </row>
    <row r="54" spans="1:5" x14ac:dyDescent="0.2">
      <c r="A54" t="s">
        <v>512</v>
      </c>
      <c r="B54">
        <v>683968.73</v>
      </c>
      <c r="C54">
        <v>4</v>
      </c>
      <c r="D54">
        <v>6</v>
      </c>
      <c r="E54" t="s">
        <v>559</v>
      </c>
    </row>
    <row r="55" spans="1:5" x14ac:dyDescent="0.2">
      <c r="A55" t="s">
        <v>485</v>
      </c>
      <c r="B55">
        <v>682276</v>
      </c>
      <c r="C55">
        <v>6</v>
      </c>
      <c r="D55">
        <v>7</v>
      </c>
      <c r="E55" t="s">
        <v>564</v>
      </c>
    </row>
    <row r="56" spans="1:5" x14ac:dyDescent="0.2">
      <c r="A56" t="s">
        <v>509</v>
      </c>
      <c r="B56">
        <v>653881.73</v>
      </c>
      <c r="C56">
        <v>2</v>
      </c>
      <c r="D56">
        <v>2</v>
      </c>
      <c r="E56" t="s">
        <v>565</v>
      </c>
    </row>
    <row r="57" spans="1:5" x14ac:dyDescent="0.2">
      <c r="A57" t="s">
        <v>515</v>
      </c>
      <c r="B57">
        <v>643215.65</v>
      </c>
      <c r="C57">
        <v>4</v>
      </c>
      <c r="D57">
        <v>4</v>
      </c>
      <c r="E57" t="s">
        <v>559</v>
      </c>
    </row>
    <row r="58" spans="1:5" x14ac:dyDescent="0.2">
      <c r="A58" t="s">
        <v>510</v>
      </c>
      <c r="B58">
        <v>632805.66</v>
      </c>
      <c r="C58">
        <v>4</v>
      </c>
      <c r="D58">
        <v>4</v>
      </c>
      <c r="E58" t="s">
        <v>559</v>
      </c>
    </row>
    <row r="59" spans="1:5" x14ac:dyDescent="0.2">
      <c r="A59" t="s">
        <v>517</v>
      </c>
      <c r="B59">
        <v>621270.05000000005</v>
      </c>
      <c r="C59">
        <v>4</v>
      </c>
      <c r="D59">
        <v>4</v>
      </c>
      <c r="E59" t="s">
        <v>559</v>
      </c>
    </row>
    <row r="60" spans="1:5" x14ac:dyDescent="0.2">
      <c r="A60" t="s">
        <v>334</v>
      </c>
      <c r="B60">
        <v>621250</v>
      </c>
      <c r="C60">
        <v>5</v>
      </c>
      <c r="D60">
        <v>5</v>
      </c>
      <c r="E60" t="s">
        <v>566</v>
      </c>
    </row>
    <row r="61" spans="1:5" x14ac:dyDescent="0.2">
      <c r="A61" t="s">
        <v>271</v>
      </c>
      <c r="B61">
        <v>612180</v>
      </c>
      <c r="C61">
        <v>6</v>
      </c>
      <c r="D61">
        <v>6</v>
      </c>
      <c r="E61" t="s">
        <v>567</v>
      </c>
    </row>
    <row r="62" spans="1:5" x14ac:dyDescent="0.2">
      <c r="A62" t="s">
        <v>498</v>
      </c>
      <c r="B62">
        <v>610000</v>
      </c>
      <c r="C62">
        <v>5</v>
      </c>
      <c r="D62">
        <v>6</v>
      </c>
      <c r="E62" t="s">
        <v>26</v>
      </c>
    </row>
    <row r="63" spans="1:5" x14ac:dyDescent="0.2">
      <c r="A63" t="s">
        <v>194</v>
      </c>
      <c r="B63">
        <v>609400</v>
      </c>
      <c r="C63">
        <v>7</v>
      </c>
      <c r="D63">
        <v>7</v>
      </c>
      <c r="E63" t="s">
        <v>568</v>
      </c>
    </row>
    <row r="64" spans="1:5" x14ac:dyDescent="0.2">
      <c r="A64" t="s">
        <v>409</v>
      </c>
      <c r="B64">
        <v>600910.93999999994</v>
      </c>
      <c r="C64">
        <v>6</v>
      </c>
      <c r="D64">
        <v>6</v>
      </c>
      <c r="E64" t="s">
        <v>569</v>
      </c>
    </row>
    <row r="65" spans="1:5" x14ac:dyDescent="0.2">
      <c r="A65" t="s">
        <v>521</v>
      </c>
      <c r="B65">
        <v>559400.56000000006</v>
      </c>
      <c r="C65">
        <v>4</v>
      </c>
      <c r="D65">
        <v>5</v>
      </c>
      <c r="E65" t="s">
        <v>559</v>
      </c>
    </row>
    <row r="66" spans="1:5" x14ac:dyDescent="0.2">
      <c r="A66" t="s">
        <v>112</v>
      </c>
      <c r="B66">
        <v>550746.88</v>
      </c>
      <c r="C66">
        <v>4</v>
      </c>
      <c r="D66">
        <v>4</v>
      </c>
      <c r="E66" t="s">
        <v>34</v>
      </c>
    </row>
    <row r="67" spans="1:5" x14ac:dyDescent="0.2">
      <c r="A67" t="s">
        <v>533</v>
      </c>
      <c r="B67">
        <v>535113.14</v>
      </c>
      <c r="C67">
        <v>3</v>
      </c>
      <c r="D67">
        <v>5</v>
      </c>
      <c r="E67" t="s">
        <v>562</v>
      </c>
    </row>
    <row r="68" spans="1:5" x14ac:dyDescent="0.2">
      <c r="A68" t="s">
        <v>224</v>
      </c>
      <c r="B68">
        <v>521500</v>
      </c>
      <c r="C68">
        <v>8</v>
      </c>
      <c r="D68">
        <v>8</v>
      </c>
      <c r="E68" t="s">
        <v>18</v>
      </c>
    </row>
    <row r="69" spans="1:5" x14ac:dyDescent="0.2">
      <c r="A69" t="s">
        <v>300</v>
      </c>
      <c r="B69">
        <v>505111.8</v>
      </c>
      <c r="C69">
        <v>7</v>
      </c>
      <c r="D69">
        <v>9</v>
      </c>
      <c r="E69" t="s">
        <v>561</v>
      </c>
    </row>
    <row r="70" spans="1:5" x14ac:dyDescent="0.2">
      <c r="A70" t="s">
        <v>115</v>
      </c>
      <c r="B70">
        <v>493000</v>
      </c>
      <c r="C70">
        <v>4</v>
      </c>
      <c r="D70">
        <v>7</v>
      </c>
      <c r="E70" t="s">
        <v>34</v>
      </c>
    </row>
    <row r="71" spans="1:5" x14ac:dyDescent="0.2">
      <c r="A71" t="s">
        <v>201</v>
      </c>
      <c r="B71">
        <v>481520</v>
      </c>
      <c r="C71">
        <v>7</v>
      </c>
      <c r="D71">
        <v>7</v>
      </c>
      <c r="E71" t="s">
        <v>561</v>
      </c>
    </row>
    <row r="72" spans="1:5" x14ac:dyDescent="0.2">
      <c r="A72" t="s">
        <v>522</v>
      </c>
      <c r="B72">
        <v>430474.03</v>
      </c>
      <c r="C72">
        <v>2</v>
      </c>
      <c r="D72">
        <v>2</v>
      </c>
      <c r="E72" t="s">
        <v>565</v>
      </c>
    </row>
    <row r="73" spans="1:5" x14ac:dyDescent="0.2">
      <c r="A73" t="s">
        <v>295</v>
      </c>
      <c r="B73">
        <v>426100</v>
      </c>
      <c r="C73">
        <v>7</v>
      </c>
      <c r="D73">
        <v>7</v>
      </c>
      <c r="E73" t="s">
        <v>561</v>
      </c>
    </row>
    <row r="74" spans="1:5" x14ac:dyDescent="0.2">
      <c r="A74" t="s">
        <v>235</v>
      </c>
      <c r="B74">
        <v>410631</v>
      </c>
      <c r="C74">
        <v>8</v>
      </c>
      <c r="D74">
        <v>8</v>
      </c>
      <c r="E74" t="s">
        <v>18</v>
      </c>
    </row>
    <row r="75" spans="1:5" x14ac:dyDescent="0.2">
      <c r="A75" t="s">
        <v>529</v>
      </c>
      <c r="B75">
        <v>400000</v>
      </c>
      <c r="C75">
        <v>2</v>
      </c>
      <c r="D75">
        <v>2</v>
      </c>
      <c r="E75" t="s">
        <v>570</v>
      </c>
    </row>
    <row r="76" spans="1:5" x14ac:dyDescent="0.2">
      <c r="A76" t="s">
        <v>484</v>
      </c>
      <c r="B76">
        <v>398480</v>
      </c>
      <c r="C76">
        <v>5</v>
      </c>
      <c r="D76">
        <v>5</v>
      </c>
      <c r="E76" t="s">
        <v>571</v>
      </c>
    </row>
    <row r="77" spans="1:5" x14ac:dyDescent="0.2">
      <c r="A77" t="s">
        <v>518</v>
      </c>
      <c r="B77">
        <v>366400.24</v>
      </c>
      <c r="C77">
        <v>2</v>
      </c>
      <c r="D77">
        <v>2</v>
      </c>
      <c r="E77" t="s">
        <v>572</v>
      </c>
    </row>
    <row r="78" spans="1:5" x14ac:dyDescent="0.2">
      <c r="A78" t="s">
        <v>499</v>
      </c>
      <c r="B78">
        <v>360000</v>
      </c>
      <c r="C78">
        <v>3</v>
      </c>
      <c r="D78">
        <v>4</v>
      </c>
      <c r="E78" t="s">
        <v>573</v>
      </c>
    </row>
    <row r="79" spans="1:5" x14ac:dyDescent="0.2">
      <c r="A79" t="s">
        <v>358</v>
      </c>
      <c r="B79">
        <v>359800</v>
      </c>
      <c r="C79">
        <v>8</v>
      </c>
      <c r="D79">
        <v>10</v>
      </c>
      <c r="E79" t="s">
        <v>18</v>
      </c>
    </row>
    <row r="80" spans="1:5" x14ac:dyDescent="0.2">
      <c r="A80" t="s">
        <v>231</v>
      </c>
      <c r="B80">
        <v>358689.33</v>
      </c>
      <c r="C80">
        <v>6</v>
      </c>
      <c r="D80">
        <v>6</v>
      </c>
      <c r="E80" t="s">
        <v>574</v>
      </c>
    </row>
    <row r="81" spans="1:5" x14ac:dyDescent="0.2">
      <c r="A81" t="s">
        <v>252</v>
      </c>
      <c r="B81">
        <v>358373.64</v>
      </c>
      <c r="C81">
        <v>2</v>
      </c>
      <c r="D81">
        <v>2</v>
      </c>
      <c r="E81" t="s">
        <v>575</v>
      </c>
    </row>
    <row r="82" spans="1:5" x14ac:dyDescent="0.2">
      <c r="A82" t="s">
        <v>188</v>
      </c>
      <c r="B82">
        <v>355094.11</v>
      </c>
      <c r="C82">
        <v>7</v>
      </c>
      <c r="D82">
        <v>7</v>
      </c>
      <c r="E82" t="s">
        <v>561</v>
      </c>
    </row>
    <row r="83" spans="1:5" x14ac:dyDescent="0.2">
      <c r="A83" t="s">
        <v>534</v>
      </c>
      <c r="B83">
        <v>354000</v>
      </c>
      <c r="C83">
        <v>3</v>
      </c>
      <c r="D83">
        <v>3</v>
      </c>
      <c r="E83" t="s">
        <v>562</v>
      </c>
    </row>
    <row r="84" spans="1:5" x14ac:dyDescent="0.2">
      <c r="A84" t="s">
        <v>544</v>
      </c>
      <c r="B84">
        <v>349863.43</v>
      </c>
      <c r="C84">
        <v>2</v>
      </c>
      <c r="D84">
        <v>2</v>
      </c>
      <c r="E84" t="s">
        <v>572</v>
      </c>
    </row>
    <row r="85" spans="1:5" x14ac:dyDescent="0.2">
      <c r="A85" t="s">
        <v>107</v>
      </c>
      <c r="B85">
        <v>341112.01</v>
      </c>
      <c r="C85">
        <v>3</v>
      </c>
      <c r="D85">
        <v>4</v>
      </c>
      <c r="E85" t="s">
        <v>576</v>
      </c>
    </row>
    <row r="86" spans="1:5" x14ac:dyDescent="0.2">
      <c r="A86" t="s">
        <v>353</v>
      </c>
      <c r="B86">
        <v>325800</v>
      </c>
      <c r="C86">
        <v>8</v>
      </c>
      <c r="D86">
        <v>8</v>
      </c>
      <c r="E86" t="s">
        <v>18</v>
      </c>
    </row>
    <row r="87" spans="1:5" x14ac:dyDescent="0.2">
      <c r="A87" t="s">
        <v>393</v>
      </c>
      <c r="B87">
        <v>302800</v>
      </c>
      <c r="C87">
        <v>5</v>
      </c>
      <c r="D87">
        <v>5</v>
      </c>
      <c r="E87" t="s">
        <v>577</v>
      </c>
    </row>
    <row r="88" spans="1:5" ht="375" customHeight="1" x14ac:dyDescent="0.2">
      <c r="A88" t="s">
        <v>531</v>
      </c>
      <c r="B88">
        <v>290000</v>
      </c>
      <c r="C88">
        <v>3</v>
      </c>
      <c r="D88">
        <v>3</v>
      </c>
      <c r="E88" t="s">
        <v>562</v>
      </c>
    </row>
    <row r="89" spans="1:5" x14ac:dyDescent="0.2">
      <c r="A89" t="s">
        <v>304</v>
      </c>
      <c r="B89">
        <v>289728.8</v>
      </c>
      <c r="C89">
        <v>5</v>
      </c>
      <c r="D89">
        <v>5</v>
      </c>
      <c r="E89" t="s">
        <v>566</v>
      </c>
    </row>
    <row r="90" spans="1:5" x14ac:dyDescent="0.2">
      <c r="A90" t="s">
        <v>226</v>
      </c>
      <c r="B90">
        <v>287000</v>
      </c>
      <c r="C90">
        <v>8</v>
      </c>
      <c r="D90">
        <v>8</v>
      </c>
      <c r="E90" t="s">
        <v>18</v>
      </c>
    </row>
    <row r="91" spans="1:5" x14ac:dyDescent="0.2">
      <c r="A91" t="s">
        <v>307</v>
      </c>
      <c r="B91">
        <v>278974</v>
      </c>
      <c r="C91">
        <v>8</v>
      </c>
      <c r="D91">
        <v>8</v>
      </c>
      <c r="E91" t="s">
        <v>18</v>
      </c>
    </row>
    <row r="92" spans="1:5" x14ac:dyDescent="0.2">
      <c r="A92" t="s">
        <v>168</v>
      </c>
      <c r="B92">
        <v>276400</v>
      </c>
      <c r="C92">
        <v>8</v>
      </c>
      <c r="D92">
        <v>8</v>
      </c>
      <c r="E92" t="s">
        <v>18</v>
      </c>
    </row>
    <row r="93" spans="1:5" x14ac:dyDescent="0.2">
      <c r="A93" t="s">
        <v>179</v>
      </c>
      <c r="B93">
        <v>265500</v>
      </c>
      <c r="C93">
        <v>8</v>
      </c>
      <c r="D93">
        <v>8</v>
      </c>
      <c r="E93" t="s">
        <v>18</v>
      </c>
    </row>
    <row r="94" spans="1:5" x14ac:dyDescent="0.2">
      <c r="A94" t="s">
        <v>158</v>
      </c>
      <c r="B94">
        <v>259000</v>
      </c>
      <c r="C94">
        <v>4</v>
      </c>
      <c r="D94">
        <v>4</v>
      </c>
      <c r="E94" t="s">
        <v>34</v>
      </c>
    </row>
    <row r="95" spans="1:5" x14ac:dyDescent="0.2">
      <c r="A95" t="s">
        <v>323</v>
      </c>
      <c r="B95">
        <v>257800</v>
      </c>
      <c r="C95">
        <v>7</v>
      </c>
      <c r="D95">
        <v>14</v>
      </c>
      <c r="E95" t="s">
        <v>561</v>
      </c>
    </row>
    <row r="96" spans="1:5" x14ac:dyDescent="0.2">
      <c r="A96" t="s">
        <v>152</v>
      </c>
      <c r="B96">
        <v>253625</v>
      </c>
      <c r="C96">
        <v>4</v>
      </c>
      <c r="D96">
        <v>4</v>
      </c>
      <c r="E96" t="s">
        <v>34</v>
      </c>
    </row>
    <row r="97" spans="1:5" x14ac:dyDescent="0.2">
      <c r="A97" t="s">
        <v>543</v>
      </c>
      <c r="B97">
        <v>250000</v>
      </c>
      <c r="C97">
        <v>2</v>
      </c>
      <c r="D97">
        <v>2</v>
      </c>
      <c r="E97" t="s">
        <v>572</v>
      </c>
    </row>
    <row r="98" spans="1:5" x14ac:dyDescent="0.2">
      <c r="A98" t="s">
        <v>545</v>
      </c>
      <c r="B98">
        <v>250000</v>
      </c>
      <c r="C98">
        <v>2</v>
      </c>
      <c r="D98">
        <v>2</v>
      </c>
      <c r="E98" t="s">
        <v>572</v>
      </c>
    </row>
    <row r="99" spans="1:5" x14ac:dyDescent="0.2">
      <c r="A99" t="s">
        <v>221</v>
      </c>
      <c r="B99">
        <v>228250</v>
      </c>
      <c r="C99">
        <v>5</v>
      </c>
      <c r="D99">
        <v>5</v>
      </c>
      <c r="E99" t="s">
        <v>566</v>
      </c>
    </row>
    <row r="100" spans="1:5" x14ac:dyDescent="0.2">
      <c r="A100" t="s">
        <v>171</v>
      </c>
      <c r="B100">
        <v>220250</v>
      </c>
      <c r="C100">
        <v>8</v>
      </c>
      <c r="D100">
        <v>8</v>
      </c>
      <c r="E100" t="s">
        <v>18</v>
      </c>
    </row>
    <row r="101" spans="1:5" x14ac:dyDescent="0.2">
      <c r="A101" t="s">
        <v>410</v>
      </c>
      <c r="B101">
        <v>218946.24</v>
      </c>
      <c r="C101">
        <v>2</v>
      </c>
      <c r="D101">
        <v>2</v>
      </c>
      <c r="E101" t="s">
        <v>578</v>
      </c>
    </row>
    <row r="102" spans="1:5" x14ac:dyDescent="0.2">
      <c r="A102" t="s">
        <v>264</v>
      </c>
      <c r="B102">
        <v>202800</v>
      </c>
      <c r="C102">
        <v>8</v>
      </c>
      <c r="D102">
        <v>8</v>
      </c>
      <c r="E102" t="s">
        <v>18</v>
      </c>
    </row>
    <row r="103" spans="1:5" x14ac:dyDescent="0.2">
      <c r="A103" t="s">
        <v>165</v>
      </c>
      <c r="B103">
        <v>184260</v>
      </c>
      <c r="C103">
        <v>2</v>
      </c>
      <c r="D103">
        <v>2</v>
      </c>
      <c r="E103" t="s">
        <v>575</v>
      </c>
    </row>
    <row r="104" spans="1:5" x14ac:dyDescent="0.2">
      <c r="A104" t="s">
        <v>387</v>
      </c>
      <c r="B104">
        <v>183980</v>
      </c>
      <c r="C104">
        <v>5</v>
      </c>
      <c r="D104">
        <v>5</v>
      </c>
      <c r="E104" t="s">
        <v>566</v>
      </c>
    </row>
    <row r="105" spans="1:5" x14ac:dyDescent="0.2">
      <c r="A105" t="s">
        <v>310</v>
      </c>
      <c r="B105">
        <v>166320</v>
      </c>
      <c r="C105">
        <v>5</v>
      </c>
      <c r="D105">
        <v>7</v>
      </c>
      <c r="E105" t="s">
        <v>566</v>
      </c>
    </row>
    <row r="106" spans="1:5" x14ac:dyDescent="0.2">
      <c r="A106" t="s">
        <v>371</v>
      </c>
      <c r="B106">
        <v>160190</v>
      </c>
      <c r="C106">
        <v>2</v>
      </c>
      <c r="D106">
        <v>2</v>
      </c>
      <c r="E106" t="s">
        <v>575</v>
      </c>
    </row>
    <row r="107" spans="1:5" x14ac:dyDescent="0.2">
      <c r="A107" t="s">
        <v>326</v>
      </c>
      <c r="B107">
        <v>157884.79999999999</v>
      </c>
      <c r="C107">
        <v>7</v>
      </c>
      <c r="D107">
        <v>7</v>
      </c>
      <c r="E107" t="s">
        <v>561</v>
      </c>
    </row>
    <row r="108" spans="1:5" x14ac:dyDescent="0.2">
      <c r="A108" t="s">
        <v>495</v>
      </c>
      <c r="B108">
        <v>144100</v>
      </c>
      <c r="C108">
        <v>5</v>
      </c>
      <c r="D108">
        <v>5</v>
      </c>
      <c r="E108" t="s">
        <v>26</v>
      </c>
    </row>
    <row r="109" spans="1:5" x14ac:dyDescent="0.2">
      <c r="A109" t="s">
        <v>320</v>
      </c>
      <c r="B109">
        <v>134600</v>
      </c>
      <c r="C109">
        <v>3</v>
      </c>
      <c r="D109">
        <v>3</v>
      </c>
      <c r="E109" t="s">
        <v>576</v>
      </c>
    </row>
    <row r="110" spans="1:5" x14ac:dyDescent="0.2">
      <c r="A110" t="s">
        <v>305</v>
      </c>
      <c r="B110">
        <v>125375</v>
      </c>
      <c r="C110">
        <v>3</v>
      </c>
      <c r="D110">
        <v>3</v>
      </c>
      <c r="E110" t="s">
        <v>576</v>
      </c>
    </row>
    <row r="111" spans="1:5" x14ac:dyDescent="0.2">
      <c r="A111" t="s">
        <v>161</v>
      </c>
      <c r="B111">
        <v>117196</v>
      </c>
      <c r="C111">
        <v>2</v>
      </c>
      <c r="D111">
        <v>2</v>
      </c>
      <c r="E111" t="s">
        <v>575</v>
      </c>
    </row>
    <row r="112" spans="1:5" x14ac:dyDescent="0.2">
      <c r="A112" t="s">
        <v>553</v>
      </c>
      <c r="B112">
        <v>110000</v>
      </c>
      <c r="C112">
        <v>1</v>
      </c>
      <c r="D112">
        <v>1</v>
      </c>
      <c r="E112" t="s">
        <v>7</v>
      </c>
    </row>
    <row r="113" spans="1:5" x14ac:dyDescent="0.2">
      <c r="A113" t="s">
        <v>247</v>
      </c>
      <c r="B113">
        <v>103750</v>
      </c>
      <c r="C113">
        <v>5</v>
      </c>
      <c r="D113">
        <v>5</v>
      </c>
      <c r="E113" t="s">
        <v>566</v>
      </c>
    </row>
    <row r="114" spans="1:5" x14ac:dyDescent="0.2">
      <c r="A114" t="s">
        <v>205</v>
      </c>
      <c r="B114">
        <v>99800</v>
      </c>
      <c r="C114">
        <v>5</v>
      </c>
      <c r="D114">
        <v>5</v>
      </c>
      <c r="E114" t="s">
        <v>566</v>
      </c>
    </row>
    <row r="115" spans="1:5" x14ac:dyDescent="0.2">
      <c r="A115" t="s">
        <v>535</v>
      </c>
      <c r="B115">
        <v>75000</v>
      </c>
      <c r="C115">
        <v>2</v>
      </c>
      <c r="D115">
        <v>2</v>
      </c>
      <c r="E115" t="s">
        <v>570</v>
      </c>
    </row>
    <row r="116" spans="1:5" x14ac:dyDescent="0.2">
      <c r="A116" t="s">
        <v>397</v>
      </c>
      <c r="B116">
        <v>71428.570000000007</v>
      </c>
      <c r="C116">
        <v>2</v>
      </c>
      <c r="D116">
        <v>2</v>
      </c>
      <c r="E116" t="s">
        <v>575</v>
      </c>
    </row>
    <row r="117" spans="1:5" x14ac:dyDescent="0.2">
      <c r="A117" t="s">
        <v>146</v>
      </c>
      <c r="B117">
        <v>70000</v>
      </c>
      <c r="C117">
        <v>1</v>
      </c>
      <c r="D117">
        <v>1</v>
      </c>
      <c r="E117" t="s">
        <v>0</v>
      </c>
    </row>
    <row r="118" spans="1:5" x14ac:dyDescent="0.2">
      <c r="A118" t="s">
        <v>283</v>
      </c>
      <c r="B118">
        <v>65707.78</v>
      </c>
      <c r="C118">
        <v>2</v>
      </c>
      <c r="D118">
        <v>2</v>
      </c>
      <c r="E118" t="s">
        <v>575</v>
      </c>
    </row>
    <row r="119" spans="1:5" x14ac:dyDescent="0.2">
      <c r="A119" t="s">
        <v>182</v>
      </c>
      <c r="B119">
        <v>58100</v>
      </c>
      <c r="C119">
        <v>2</v>
      </c>
      <c r="D119">
        <v>2</v>
      </c>
      <c r="E119" t="s">
        <v>575</v>
      </c>
    </row>
    <row r="120" spans="1:5" x14ac:dyDescent="0.2">
      <c r="A120" t="s">
        <v>390</v>
      </c>
      <c r="B120">
        <v>56560</v>
      </c>
      <c r="C120">
        <v>5</v>
      </c>
      <c r="D120">
        <v>5</v>
      </c>
      <c r="E120" t="s">
        <v>566</v>
      </c>
    </row>
    <row r="121" spans="1:5" x14ac:dyDescent="0.2">
      <c r="A121" t="s">
        <v>486</v>
      </c>
      <c r="B121">
        <v>55520</v>
      </c>
      <c r="C121">
        <v>1</v>
      </c>
      <c r="D121">
        <v>1</v>
      </c>
      <c r="E121" t="s">
        <v>2</v>
      </c>
    </row>
    <row r="122" spans="1:5" x14ac:dyDescent="0.2">
      <c r="A122" t="s">
        <v>350</v>
      </c>
      <c r="B122">
        <v>49800</v>
      </c>
      <c r="C122">
        <v>1</v>
      </c>
      <c r="D122">
        <v>1</v>
      </c>
      <c r="E122" t="s">
        <v>0</v>
      </c>
    </row>
    <row r="123" spans="1:5" x14ac:dyDescent="0.2">
      <c r="A123" t="s">
        <v>381</v>
      </c>
      <c r="B123">
        <v>45650</v>
      </c>
      <c r="C123">
        <v>1</v>
      </c>
      <c r="D123">
        <v>1</v>
      </c>
      <c r="E123" t="s">
        <v>0</v>
      </c>
    </row>
    <row r="124" spans="1:5" x14ac:dyDescent="0.2">
      <c r="A124" t="s">
        <v>554</v>
      </c>
      <c r="B124">
        <v>45000</v>
      </c>
      <c r="C124">
        <v>1</v>
      </c>
      <c r="D124">
        <v>1</v>
      </c>
      <c r="E124" t="s">
        <v>7</v>
      </c>
    </row>
    <row r="125" spans="1:5" x14ac:dyDescent="0.2">
      <c r="A125" t="s">
        <v>496</v>
      </c>
      <c r="B125">
        <v>41321.839999999997</v>
      </c>
      <c r="C125">
        <v>2</v>
      </c>
      <c r="D125">
        <v>2</v>
      </c>
      <c r="E125" t="s">
        <v>579</v>
      </c>
    </row>
    <row r="126" spans="1:5" x14ac:dyDescent="0.2">
      <c r="A126" t="s">
        <v>532</v>
      </c>
      <c r="B126">
        <v>40000</v>
      </c>
      <c r="C126">
        <v>2</v>
      </c>
      <c r="D126">
        <v>2</v>
      </c>
      <c r="E126" t="s">
        <v>570</v>
      </c>
    </row>
    <row r="127" spans="1:5" x14ac:dyDescent="0.2">
      <c r="A127" t="s">
        <v>536</v>
      </c>
      <c r="B127">
        <v>40000</v>
      </c>
      <c r="C127">
        <v>2</v>
      </c>
      <c r="D127">
        <v>2</v>
      </c>
      <c r="E127" t="s">
        <v>570</v>
      </c>
    </row>
    <row r="128" spans="1:5" x14ac:dyDescent="0.2">
      <c r="A128" t="s">
        <v>555</v>
      </c>
      <c r="B128">
        <v>30000</v>
      </c>
      <c r="C128">
        <v>1</v>
      </c>
      <c r="D128">
        <v>1</v>
      </c>
      <c r="E128" t="s">
        <v>7</v>
      </c>
    </row>
    <row r="129" spans="1:5" x14ac:dyDescent="0.2">
      <c r="A129" t="s">
        <v>185</v>
      </c>
      <c r="B129">
        <v>29050</v>
      </c>
      <c r="C129">
        <v>1</v>
      </c>
      <c r="D129">
        <v>1</v>
      </c>
      <c r="E129" t="s">
        <v>0</v>
      </c>
    </row>
    <row r="130" spans="1:5" x14ac:dyDescent="0.2">
      <c r="A130" t="s">
        <v>487</v>
      </c>
      <c r="B130">
        <v>28000</v>
      </c>
      <c r="C130">
        <v>1</v>
      </c>
      <c r="D130">
        <v>1</v>
      </c>
      <c r="E130" t="s">
        <v>2</v>
      </c>
    </row>
    <row r="131" spans="1:5" x14ac:dyDescent="0.2">
      <c r="A131" t="s">
        <v>292</v>
      </c>
      <c r="B131">
        <v>10000</v>
      </c>
      <c r="C131">
        <v>1</v>
      </c>
      <c r="D131">
        <v>1</v>
      </c>
      <c r="E131" t="s">
        <v>0</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140"/>
  <sheetViews>
    <sheetView zoomScaleNormal="100" workbookViewId="0">
      <pane ySplit="2" topLeftCell="A3" activePane="bottomLeft" state="frozen"/>
      <selection pane="bottomLeft" activeCell="G110" sqref="G110"/>
    </sheetView>
  </sheetViews>
  <sheetFormatPr baseColWidth="10" defaultColWidth="8.5" defaultRowHeight="15" x14ac:dyDescent="0.2"/>
  <cols>
    <col min="1" max="1" width="42" customWidth="1"/>
    <col min="2" max="2" width="18" customWidth="1"/>
    <col min="3" max="10" width="15" customWidth="1"/>
    <col min="11" max="11" width="7" customWidth="1"/>
  </cols>
  <sheetData>
    <row r="1" spans="1:11" ht="27.75" customHeight="1" x14ac:dyDescent="0.2">
      <c r="A1" s="106" t="s">
        <v>583</v>
      </c>
      <c r="B1" s="103"/>
      <c r="C1" s="103"/>
      <c r="D1" s="103"/>
      <c r="E1" s="103"/>
      <c r="F1" s="103"/>
      <c r="G1" s="103"/>
      <c r="H1" s="103"/>
      <c r="I1" s="103"/>
      <c r="J1" s="103"/>
      <c r="K1" s="103"/>
    </row>
    <row r="2" spans="1:11" ht="24" customHeight="1" x14ac:dyDescent="0.2">
      <c r="A2" s="42" t="s">
        <v>584</v>
      </c>
      <c r="B2" s="43" t="s">
        <v>585</v>
      </c>
      <c r="C2" s="43" t="s">
        <v>0</v>
      </c>
      <c r="D2" s="43" t="s">
        <v>1</v>
      </c>
      <c r="E2" s="43" t="s">
        <v>2</v>
      </c>
      <c r="F2" s="43" t="s">
        <v>3</v>
      </c>
      <c r="G2" s="43" t="s">
        <v>4</v>
      </c>
      <c r="H2" s="43" t="s">
        <v>5</v>
      </c>
      <c r="I2" s="43" t="s">
        <v>6</v>
      </c>
      <c r="J2" s="43" t="s">
        <v>7</v>
      </c>
      <c r="K2" s="44" t="s">
        <v>586</v>
      </c>
    </row>
    <row r="3" spans="1:11" ht="15" customHeight="1" x14ac:dyDescent="0.2">
      <c r="A3" s="45" t="s">
        <v>107</v>
      </c>
      <c r="B3" s="46">
        <v>341112.01</v>
      </c>
      <c r="C3" s="47">
        <v>139799</v>
      </c>
      <c r="D3" s="47">
        <v>100656.5</v>
      </c>
      <c r="E3" s="47">
        <v>100656.51</v>
      </c>
      <c r="F3" s="47"/>
      <c r="G3" s="47"/>
      <c r="H3" s="47"/>
      <c r="I3" s="47"/>
      <c r="J3" s="47"/>
      <c r="K3" s="48"/>
    </row>
    <row r="4" spans="1:11" ht="15" customHeight="1" x14ac:dyDescent="0.2">
      <c r="A4" s="49" t="s">
        <v>390</v>
      </c>
      <c r="B4" s="50">
        <v>56560</v>
      </c>
      <c r="C4" s="51">
        <v>13280</v>
      </c>
      <c r="D4" s="51">
        <v>13280</v>
      </c>
      <c r="E4" s="51">
        <v>10000</v>
      </c>
      <c r="F4" s="51">
        <v>10000</v>
      </c>
      <c r="G4" s="51">
        <v>10000</v>
      </c>
      <c r="H4" s="51"/>
      <c r="I4" s="51"/>
      <c r="J4" s="51"/>
      <c r="K4" s="52"/>
    </row>
    <row r="5" spans="1:11" ht="15" customHeight="1" x14ac:dyDescent="0.2">
      <c r="A5" s="45" t="s">
        <v>39</v>
      </c>
      <c r="B5" s="46">
        <v>1664346.14</v>
      </c>
      <c r="C5" s="47">
        <v>66400</v>
      </c>
      <c r="D5" s="47">
        <v>66400</v>
      </c>
      <c r="E5" s="47">
        <v>148566.67000000001</v>
      </c>
      <c r="F5" s="47">
        <v>150000</v>
      </c>
      <c r="G5" s="47">
        <v>270140.40000000002</v>
      </c>
      <c r="H5" s="47">
        <v>297140.40000000002</v>
      </c>
      <c r="I5" s="47">
        <v>346349.34</v>
      </c>
      <c r="J5" s="47">
        <v>319349.34000000003</v>
      </c>
      <c r="K5" s="48"/>
    </row>
    <row r="6" spans="1:11" ht="15" customHeight="1" x14ac:dyDescent="0.2">
      <c r="A6" s="49" t="s">
        <v>205</v>
      </c>
      <c r="B6" s="50">
        <v>99800</v>
      </c>
      <c r="C6" s="51">
        <v>24900</v>
      </c>
      <c r="D6" s="51">
        <v>24900</v>
      </c>
      <c r="E6" s="51">
        <v>25000</v>
      </c>
      <c r="F6" s="51">
        <v>12500</v>
      </c>
      <c r="G6" s="51">
        <v>12500</v>
      </c>
      <c r="H6" s="51"/>
      <c r="I6" s="51"/>
      <c r="J6" s="51"/>
      <c r="K6" s="52"/>
    </row>
    <row r="7" spans="1:11" ht="15" customHeight="1" x14ac:dyDescent="0.2">
      <c r="A7" s="45" t="s">
        <v>112</v>
      </c>
      <c r="B7" s="46">
        <v>550746.88</v>
      </c>
      <c r="C7" s="47">
        <v>109292</v>
      </c>
      <c r="D7" s="47">
        <v>147151.62</v>
      </c>
      <c r="E7" s="47">
        <v>147151.63</v>
      </c>
      <c r="F7" s="47">
        <v>147151.62</v>
      </c>
      <c r="G7" s="47"/>
      <c r="H7" s="47"/>
      <c r="I7" s="47"/>
      <c r="J7" s="47"/>
      <c r="K7" s="48"/>
    </row>
    <row r="8" spans="1:11" ht="15" customHeight="1" x14ac:dyDescent="0.2">
      <c r="A8" s="49" t="s">
        <v>219</v>
      </c>
      <c r="B8" s="50">
        <v>853220</v>
      </c>
      <c r="C8" s="51">
        <v>117860</v>
      </c>
      <c r="D8" s="51">
        <v>117860</v>
      </c>
      <c r="E8" s="51">
        <v>137000</v>
      </c>
      <c r="F8" s="51">
        <v>137000</v>
      </c>
      <c r="G8" s="51">
        <v>137000</v>
      </c>
      <c r="H8" s="51">
        <v>103250</v>
      </c>
      <c r="I8" s="51">
        <v>103250</v>
      </c>
      <c r="J8" s="51"/>
      <c r="K8" s="52"/>
    </row>
    <row r="9" spans="1:11" ht="15" customHeight="1" x14ac:dyDescent="0.2">
      <c r="A9" s="45" t="s">
        <v>320</v>
      </c>
      <c r="B9" s="46">
        <v>134600</v>
      </c>
      <c r="C9" s="47">
        <v>49800</v>
      </c>
      <c r="D9" s="47">
        <v>49800</v>
      </c>
      <c r="E9" s="47">
        <v>35000</v>
      </c>
      <c r="F9" s="47"/>
      <c r="G9" s="47"/>
      <c r="H9" s="47"/>
      <c r="I9" s="47"/>
      <c r="J9" s="47"/>
      <c r="K9" s="48"/>
    </row>
    <row r="10" spans="1:11" ht="15" customHeight="1" x14ac:dyDescent="0.2">
      <c r="A10" s="49" t="s">
        <v>168</v>
      </c>
      <c r="B10" s="50">
        <v>276400</v>
      </c>
      <c r="C10" s="51">
        <v>33200</v>
      </c>
      <c r="D10" s="51">
        <v>33200</v>
      </c>
      <c r="E10" s="51">
        <v>35000</v>
      </c>
      <c r="F10" s="51">
        <v>35000</v>
      </c>
      <c r="G10" s="51">
        <v>35000</v>
      </c>
      <c r="H10" s="51">
        <v>35000</v>
      </c>
      <c r="I10" s="51">
        <v>35000</v>
      </c>
      <c r="J10" s="51">
        <v>35000</v>
      </c>
      <c r="K10" s="52"/>
    </row>
    <row r="11" spans="1:11" ht="15" customHeight="1" x14ac:dyDescent="0.2">
      <c r="A11" s="45" t="s">
        <v>522</v>
      </c>
      <c r="B11" s="46">
        <v>430474.03</v>
      </c>
      <c r="C11" s="47"/>
      <c r="D11" s="47"/>
      <c r="E11" s="47"/>
      <c r="F11" s="47"/>
      <c r="G11" s="47">
        <v>215237.02</v>
      </c>
      <c r="H11" s="47">
        <v>215237.02</v>
      </c>
      <c r="I11" s="47"/>
      <c r="J11" s="47"/>
      <c r="K11" s="48"/>
    </row>
    <row r="12" spans="1:11" ht="15" customHeight="1" x14ac:dyDescent="0.2">
      <c r="A12" s="49" t="s">
        <v>66</v>
      </c>
      <c r="B12" s="50">
        <v>837533.5</v>
      </c>
      <c r="C12" s="51">
        <v>191033.5</v>
      </c>
      <c r="D12" s="51">
        <v>215500</v>
      </c>
      <c r="E12" s="51">
        <v>215500</v>
      </c>
      <c r="F12" s="51">
        <v>215500</v>
      </c>
      <c r="G12" s="51"/>
      <c r="H12" s="51"/>
      <c r="I12" s="51"/>
      <c r="J12" s="51"/>
      <c r="K12" s="52"/>
    </row>
    <row r="13" spans="1:11" ht="15" customHeight="1" x14ac:dyDescent="0.2">
      <c r="A13" s="53" t="s">
        <v>587</v>
      </c>
      <c r="B13" s="54">
        <v>5503486.9299999997</v>
      </c>
      <c r="C13" s="55">
        <v>843436.72</v>
      </c>
      <c r="D13" s="55">
        <v>720848.04</v>
      </c>
      <c r="E13" s="55">
        <v>645901.31999999995</v>
      </c>
      <c r="F13" s="55">
        <v>230524.94</v>
      </c>
      <c r="G13" s="55">
        <v>672553.98</v>
      </c>
      <c r="H13" s="55">
        <v>814903.98</v>
      </c>
      <c r="I13" s="55">
        <v>822283.97</v>
      </c>
      <c r="J13" s="55">
        <v>753033.97</v>
      </c>
      <c r="K13" s="56">
        <v>3</v>
      </c>
    </row>
    <row r="14" spans="1:11" ht="15" customHeight="1" x14ac:dyDescent="0.2">
      <c r="A14" s="49" t="s">
        <v>221</v>
      </c>
      <c r="B14" s="50">
        <v>228250</v>
      </c>
      <c r="C14" s="51">
        <v>45650</v>
      </c>
      <c r="D14" s="51">
        <v>45650</v>
      </c>
      <c r="E14" s="51">
        <v>45650</v>
      </c>
      <c r="F14" s="51">
        <v>45650</v>
      </c>
      <c r="G14" s="51">
        <v>45650</v>
      </c>
      <c r="H14" s="51"/>
      <c r="I14" s="51"/>
      <c r="J14" s="51"/>
      <c r="K14" s="52"/>
    </row>
    <row r="15" spans="1:11" ht="15" customHeight="1" x14ac:dyDescent="0.2">
      <c r="A15" s="45" t="s">
        <v>86</v>
      </c>
      <c r="B15" s="46">
        <v>1148509.8899999999</v>
      </c>
      <c r="C15" s="47">
        <v>85434.5</v>
      </c>
      <c r="D15" s="47">
        <v>88235.63</v>
      </c>
      <c r="E15" s="47">
        <v>114311.67</v>
      </c>
      <c r="F15" s="47">
        <v>129141.62</v>
      </c>
      <c r="G15" s="47">
        <v>140905.99</v>
      </c>
      <c r="H15" s="47">
        <v>166000</v>
      </c>
      <c r="I15" s="47">
        <v>215540.24</v>
      </c>
      <c r="J15" s="47">
        <v>208940.24</v>
      </c>
      <c r="K15" s="48"/>
    </row>
    <row r="16" spans="1:11" ht="15" customHeight="1" x14ac:dyDescent="0.2">
      <c r="A16" s="53" t="s">
        <v>588</v>
      </c>
      <c r="B16" s="54">
        <v>2597436.37</v>
      </c>
      <c r="C16" s="55">
        <v>146910</v>
      </c>
      <c r="D16" s="55">
        <v>92545</v>
      </c>
      <c r="E16" s="55">
        <v>100000</v>
      </c>
      <c r="F16" s="55">
        <v>297825.36</v>
      </c>
      <c r="G16" s="55">
        <v>399490.68</v>
      </c>
      <c r="H16" s="55">
        <v>425815.33</v>
      </c>
      <c r="I16" s="55">
        <v>574150</v>
      </c>
      <c r="J16" s="55">
        <v>560700</v>
      </c>
      <c r="K16" s="56">
        <v>2</v>
      </c>
    </row>
    <row r="17" spans="1:11" ht="15" customHeight="1" x14ac:dyDescent="0.2">
      <c r="A17" s="45" t="s">
        <v>513</v>
      </c>
      <c r="B17" s="46">
        <v>693984.23</v>
      </c>
      <c r="C17" s="47"/>
      <c r="D17" s="47"/>
      <c r="E17" s="47"/>
      <c r="F17" s="47"/>
      <c r="G17" s="47">
        <v>162602.54999999999</v>
      </c>
      <c r="H17" s="47">
        <v>162602.54999999999</v>
      </c>
      <c r="I17" s="47">
        <v>184389.57</v>
      </c>
      <c r="J17" s="47">
        <v>184389.57</v>
      </c>
      <c r="K17" s="48"/>
    </row>
    <row r="18" spans="1:11" ht="15" customHeight="1" x14ac:dyDescent="0.2">
      <c r="A18" s="49" t="s">
        <v>31</v>
      </c>
      <c r="B18" s="50">
        <v>2392985.15</v>
      </c>
      <c r="C18" s="51">
        <v>144476.5</v>
      </c>
      <c r="D18" s="51">
        <v>190220.67</v>
      </c>
      <c r="E18" s="51">
        <v>190220.67</v>
      </c>
      <c r="F18" s="51">
        <v>190220.67</v>
      </c>
      <c r="G18" s="51">
        <v>391262.58</v>
      </c>
      <c r="H18" s="51">
        <v>391262.58</v>
      </c>
      <c r="I18" s="51">
        <v>447660.75</v>
      </c>
      <c r="J18" s="51">
        <v>447660.75</v>
      </c>
      <c r="K18" s="52"/>
    </row>
    <row r="19" spans="1:11" ht="15" customHeight="1" x14ac:dyDescent="0.2">
      <c r="A19" s="45" t="s">
        <v>29</v>
      </c>
      <c r="B19" s="46">
        <v>2719843</v>
      </c>
      <c r="C19" s="47">
        <v>120350</v>
      </c>
      <c r="D19" s="47">
        <v>120350</v>
      </c>
      <c r="E19" s="47">
        <v>246381</v>
      </c>
      <c r="F19" s="47">
        <v>246381</v>
      </c>
      <c r="G19" s="47">
        <v>246381</v>
      </c>
      <c r="H19" s="47">
        <v>600000</v>
      </c>
      <c r="I19" s="47">
        <v>600000</v>
      </c>
      <c r="J19" s="47">
        <v>540000</v>
      </c>
      <c r="K19" s="48"/>
    </row>
    <row r="20" spans="1:11" ht="15" customHeight="1" x14ac:dyDescent="0.2">
      <c r="A20" s="53" t="s">
        <v>589</v>
      </c>
      <c r="B20" s="54">
        <v>31099671.329999998</v>
      </c>
      <c r="C20" s="55">
        <v>3316179.94</v>
      </c>
      <c r="D20" s="55">
        <v>3098013.34</v>
      </c>
      <c r="E20" s="55">
        <v>3102784.4</v>
      </c>
      <c r="F20" s="55">
        <v>3240524.4</v>
      </c>
      <c r="G20" s="55">
        <v>4081244.13</v>
      </c>
      <c r="H20" s="55">
        <v>4343194.13</v>
      </c>
      <c r="I20" s="55">
        <v>5079090.5</v>
      </c>
      <c r="J20" s="55">
        <v>4838640.5</v>
      </c>
      <c r="K20" s="56">
        <v>9</v>
      </c>
    </row>
    <row r="21" spans="1:11" ht="15" customHeight="1" x14ac:dyDescent="0.2">
      <c r="A21" s="45" t="s">
        <v>94</v>
      </c>
      <c r="B21" s="46">
        <v>1272309.33</v>
      </c>
      <c r="C21" s="47">
        <v>70000</v>
      </c>
      <c r="D21" s="47">
        <v>102532.5</v>
      </c>
      <c r="E21" s="47">
        <v>102532.51</v>
      </c>
      <c r="F21" s="47">
        <v>102532.5</v>
      </c>
      <c r="G21" s="47">
        <v>209496.1</v>
      </c>
      <c r="H21" s="47">
        <v>209496.1</v>
      </c>
      <c r="I21" s="47">
        <v>237859.82</v>
      </c>
      <c r="J21" s="47">
        <v>237859.82</v>
      </c>
      <c r="K21" s="48"/>
    </row>
    <row r="22" spans="1:11" ht="15" customHeight="1" x14ac:dyDescent="0.2">
      <c r="A22" s="49" t="s">
        <v>72</v>
      </c>
      <c r="B22" s="50">
        <v>1319312.28</v>
      </c>
      <c r="C22" s="51">
        <v>111436</v>
      </c>
      <c r="D22" s="51">
        <v>114977.60000000001</v>
      </c>
      <c r="E22" s="51">
        <v>136477.6</v>
      </c>
      <c r="F22" s="51">
        <v>138152.6</v>
      </c>
      <c r="G22" s="51">
        <v>186617.34</v>
      </c>
      <c r="H22" s="51">
        <v>198242.34</v>
      </c>
      <c r="I22" s="51">
        <v>216704.4</v>
      </c>
      <c r="J22" s="51">
        <v>216704.4</v>
      </c>
      <c r="K22" s="52"/>
    </row>
    <row r="23" spans="1:11" ht="15" customHeight="1" x14ac:dyDescent="0.2">
      <c r="A23" s="45" t="s">
        <v>152</v>
      </c>
      <c r="B23" s="46">
        <v>253625</v>
      </c>
      <c r="C23" s="47">
        <v>71500</v>
      </c>
      <c r="D23" s="47">
        <v>72850</v>
      </c>
      <c r="E23" s="47">
        <v>72850</v>
      </c>
      <c r="F23" s="47">
        <v>36425</v>
      </c>
      <c r="G23" s="47"/>
      <c r="H23" s="47"/>
      <c r="I23" s="47"/>
      <c r="J23" s="47"/>
      <c r="K23" s="48"/>
    </row>
    <row r="24" spans="1:11" ht="15" customHeight="1" x14ac:dyDescent="0.2">
      <c r="A24" s="49" t="s">
        <v>38</v>
      </c>
      <c r="B24" s="50">
        <v>1774376.11</v>
      </c>
      <c r="C24" s="51">
        <v>170980</v>
      </c>
      <c r="D24" s="51">
        <v>170980</v>
      </c>
      <c r="E24" s="51">
        <v>152416.10999999999</v>
      </c>
      <c r="F24" s="51">
        <v>145000</v>
      </c>
      <c r="G24" s="51">
        <v>145000</v>
      </c>
      <c r="H24" s="51">
        <v>200000</v>
      </c>
      <c r="I24" s="51">
        <v>400000</v>
      </c>
      <c r="J24" s="51">
        <v>390000</v>
      </c>
      <c r="K24" s="52"/>
    </row>
    <row r="25" spans="1:11" ht="15" customHeight="1" x14ac:dyDescent="0.2">
      <c r="A25" s="53" t="s">
        <v>590</v>
      </c>
      <c r="B25" s="54">
        <v>19869290.079999998</v>
      </c>
      <c r="C25" s="55">
        <v>1849918</v>
      </c>
      <c r="D25" s="55">
        <v>1779490.94</v>
      </c>
      <c r="E25" s="55">
        <v>1923313.56</v>
      </c>
      <c r="F25" s="55">
        <v>2056050.98</v>
      </c>
      <c r="G25" s="55">
        <v>2907925.29</v>
      </c>
      <c r="H25" s="55">
        <v>2654353.9</v>
      </c>
      <c r="I25" s="55">
        <v>3354118.71</v>
      </c>
      <c r="J25" s="55">
        <v>3344118.71</v>
      </c>
      <c r="K25" s="56">
        <v>2</v>
      </c>
    </row>
    <row r="26" spans="1:11" ht="15" customHeight="1" x14ac:dyDescent="0.2">
      <c r="A26" s="49" t="s">
        <v>286</v>
      </c>
      <c r="B26" s="50">
        <v>1243620</v>
      </c>
      <c r="C26" s="51">
        <v>151060</v>
      </c>
      <c r="D26" s="51">
        <v>151060</v>
      </c>
      <c r="E26" s="51">
        <v>151000</v>
      </c>
      <c r="F26" s="51">
        <v>151000</v>
      </c>
      <c r="G26" s="51">
        <v>151000</v>
      </c>
      <c r="H26" s="51">
        <v>165500</v>
      </c>
      <c r="I26" s="51">
        <v>165500</v>
      </c>
      <c r="J26" s="51">
        <v>157500</v>
      </c>
      <c r="K26" s="52"/>
    </row>
    <row r="27" spans="1:11" ht="15" customHeight="1" x14ac:dyDescent="0.2">
      <c r="A27" s="45" t="s">
        <v>519</v>
      </c>
      <c r="B27" s="46">
        <v>788534.35</v>
      </c>
      <c r="C27" s="47"/>
      <c r="D27" s="47"/>
      <c r="E27" s="47"/>
      <c r="F27" s="47"/>
      <c r="G27" s="47">
        <v>221298.12</v>
      </c>
      <c r="H27" s="47">
        <v>221298.12</v>
      </c>
      <c r="I27" s="47">
        <v>172969.05</v>
      </c>
      <c r="J27" s="47">
        <v>172969.05</v>
      </c>
      <c r="K27" s="48"/>
    </row>
    <row r="28" spans="1:11" ht="15" customHeight="1" x14ac:dyDescent="0.2">
      <c r="A28" s="49" t="s">
        <v>78</v>
      </c>
      <c r="B28" s="50">
        <v>699915.22</v>
      </c>
      <c r="C28" s="51">
        <v>189409.5</v>
      </c>
      <c r="D28" s="51"/>
      <c r="E28" s="51"/>
      <c r="F28" s="51"/>
      <c r="G28" s="51">
        <v>103379.74</v>
      </c>
      <c r="H28" s="51">
        <v>103379.74</v>
      </c>
      <c r="I28" s="51">
        <v>151873.12</v>
      </c>
      <c r="J28" s="51">
        <v>151873.12</v>
      </c>
      <c r="K28" s="52"/>
    </row>
    <row r="29" spans="1:11" ht="15" customHeight="1" x14ac:dyDescent="0.2">
      <c r="A29" s="45" t="s">
        <v>534</v>
      </c>
      <c r="B29" s="46">
        <v>354000</v>
      </c>
      <c r="C29" s="47"/>
      <c r="D29" s="47"/>
      <c r="E29" s="47"/>
      <c r="F29" s="47"/>
      <c r="G29" s="47"/>
      <c r="H29" s="47">
        <v>118000</v>
      </c>
      <c r="I29" s="47">
        <v>118000</v>
      </c>
      <c r="J29" s="47">
        <v>118000</v>
      </c>
      <c r="K29" s="48"/>
    </row>
    <row r="30" spans="1:11" ht="15" customHeight="1" x14ac:dyDescent="0.2">
      <c r="A30" s="49" t="s">
        <v>515</v>
      </c>
      <c r="B30" s="50">
        <v>643215.65</v>
      </c>
      <c r="C30" s="51"/>
      <c r="D30" s="51"/>
      <c r="E30" s="51"/>
      <c r="F30" s="51"/>
      <c r="G30" s="51">
        <v>149487.70000000001</v>
      </c>
      <c r="H30" s="51">
        <v>149487.70000000001</v>
      </c>
      <c r="I30" s="51">
        <v>172120.13</v>
      </c>
      <c r="J30" s="51">
        <v>172120.13</v>
      </c>
      <c r="K30" s="52"/>
    </row>
    <row r="31" spans="1:11" ht="15" customHeight="1" x14ac:dyDescent="0.2">
      <c r="A31" s="45" t="s">
        <v>521</v>
      </c>
      <c r="B31" s="46">
        <v>559400.56000000006</v>
      </c>
      <c r="C31" s="47"/>
      <c r="D31" s="47"/>
      <c r="E31" s="47"/>
      <c r="F31" s="47"/>
      <c r="G31" s="47">
        <v>100000</v>
      </c>
      <c r="H31" s="47">
        <v>100000</v>
      </c>
      <c r="I31" s="47">
        <v>159700.28</v>
      </c>
      <c r="J31" s="47">
        <v>199700.28</v>
      </c>
      <c r="K31" s="48"/>
    </row>
    <row r="32" spans="1:11" ht="15" customHeight="1" x14ac:dyDescent="0.2">
      <c r="A32" s="49" t="s">
        <v>535</v>
      </c>
      <c r="B32" s="50">
        <v>75000</v>
      </c>
      <c r="C32" s="51"/>
      <c r="D32" s="51"/>
      <c r="E32" s="51"/>
      <c r="F32" s="51"/>
      <c r="G32" s="51"/>
      <c r="H32" s="51">
        <v>37500</v>
      </c>
      <c r="I32" s="51">
        <v>37500</v>
      </c>
      <c r="J32" s="51"/>
      <c r="K32" s="52"/>
    </row>
    <row r="33" spans="1:11" ht="15" customHeight="1" x14ac:dyDescent="0.2">
      <c r="A33" s="45" t="s">
        <v>231</v>
      </c>
      <c r="B33" s="46">
        <v>358689.33</v>
      </c>
      <c r="C33" s="47">
        <v>68143</v>
      </c>
      <c r="D33" s="47"/>
      <c r="E33" s="47">
        <v>74377</v>
      </c>
      <c r="F33" s="47">
        <v>49584.67</v>
      </c>
      <c r="G33" s="47">
        <v>49584.67</v>
      </c>
      <c r="H33" s="47">
        <v>58500</v>
      </c>
      <c r="I33" s="47">
        <v>58500</v>
      </c>
      <c r="J33" s="47"/>
      <c r="K33" s="48"/>
    </row>
    <row r="34" spans="1:11" ht="15" customHeight="1" x14ac:dyDescent="0.2">
      <c r="A34" s="49" t="s">
        <v>179</v>
      </c>
      <c r="B34" s="50">
        <v>265500</v>
      </c>
      <c r="C34" s="51">
        <v>16600</v>
      </c>
      <c r="D34" s="51">
        <v>16600</v>
      </c>
      <c r="E34" s="51">
        <v>20000</v>
      </c>
      <c r="F34" s="51">
        <v>40000</v>
      </c>
      <c r="G34" s="51">
        <v>40000</v>
      </c>
      <c r="H34" s="51">
        <v>44100</v>
      </c>
      <c r="I34" s="51">
        <v>44100</v>
      </c>
      <c r="J34" s="51">
        <v>44100</v>
      </c>
      <c r="K34" s="52"/>
    </row>
    <row r="35" spans="1:11" ht="15" customHeight="1" x14ac:dyDescent="0.2">
      <c r="A35" s="45" t="s">
        <v>188</v>
      </c>
      <c r="B35" s="46">
        <v>355094.11</v>
      </c>
      <c r="C35" s="47">
        <v>44827.06</v>
      </c>
      <c r="D35" s="47">
        <v>44827.06</v>
      </c>
      <c r="E35" s="47">
        <v>46430</v>
      </c>
      <c r="F35" s="47">
        <v>55555</v>
      </c>
      <c r="G35" s="47">
        <v>55555</v>
      </c>
      <c r="H35" s="47">
        <v>53950</v>
      </c>
      <c r="I35" s="47">
        <v>53950</v>
      </c>
      <c r="J35" s="47"/>
      <c r="K35" s="48"/>
    </row>
    <row r="36" spans="1:11" ht="15" customHeight="1" x14ac:dyDescent="0.2">
      <c r="A36" s="53" t="s">
        <v>591</v>
      </c>
      <c r="B36" s="54">
        <v>2916638.37</v>
      </c>
      <c r="C36" s="55">
        <v>148641.04999999999</v>
      </c>
      <c r="D36" s="55">
        <v>207276.39</v>
      </c>
      <c r="E36" s="55">
        <v>189878.89</v>
      </c>
      <c r="F36" s="55">
        <v>189878.9</v>
      </c>
      <c r="G36" s="55">
        <v>438395.4</v>
      </c>
      <c r="H36" s="55">
        <v>449195.4</v>
      </c>
      <c r="I36" s="55">
        <v>646686.17000000004</v>
      </c>
      <c r="J36" s="55">
        <v>646686.17000000004</v>
      </c>
      <c r="K36" s="56">
        <v>2</v>
      </c>
    </row>
    <row r="37" spans="1:11" ht="15" customHeight="1" x14ac:dyDescent="0.2">
      <c r="A37" s="53" t="s">
        <v>592</v>
      </c>
      <c r="B37" s="54">
        <v>1129352.21</v>
      </c>
      <c r="C37" s="55"/>
      <c r="D37" s="55"/>
      <c r="E37" s="55"/>
      <c r="F37" s="55">
        <v>75000</v>
      </c>
      <c r="G37" s="55">
        <v>391966.1</v>
      </c>
      <c r="H37" s="55">
        <v>316966.09999999998</v>
      </c>
      <c r="I37" s="55">
        <v>172710</v>
      </c>
      <c r="J37" s="55">
        <v>172710</v>
      </c>
      <c r="K37" s="56"/>
    </row>
    <row r="38" spans="1:11" ht="15" customHeight="1" x14ac:dyDescent="0.2">
      <c r="A38" s="49" t="s">
        <v>323</v>
      </c>
      <c r="B38" s="50">
        <v>257800</v>
      </c>
      <c r="C38" s="51">
        <v>16600</v>
      </c>
      <c r="D38" s="51">
        <v>16600</v>
      </c>
      <c r="E38" s="51">
        <v>34400</v>
      </c>
      <c r="F38" s="51">
        <v>34400</v>
      </c>
      <c r="G38" s="51">
        <v>34400</v>
      </c>
      <c r="H38" s="51">
        <v>60700</v>
      </c>
      <c r="I38" s="51">
        <v>60700</v>
      </c>
      <c r="J38" s="51"/>
      <c r="K38" s="52"/>
    </row>
    <row r="39" spans="1:11" ht="15" customHeight="1" x14ac:dyDescent="0.2">
      <c r="A39" s="45" t="s">
        <v>358</v>
      </c>
      <c r="B39" s="46">
        <v>359800</v>
      </c>
      <c r="C39" s="47">
        <v>24900</v>
      </c>
      <c r="D39" s="47">
        <v>24900</v>
      </c>
      <c r="E39" s="47">
        <v>25000</v>
      </c>
      <c r="F39" s="47">
        <v>105000</v>
      </c>
      <c r="G39" s="47">
        <v>105000</v>
      </c>
      <c r="H39" s="47">
        <v>25000</v>
      </c>
      <c r="I39" s="47">
        <v>25000</v>
      </c>
      <c r="J39" s="47">
        <v>25000</v>
      </c>
      <c r="K39" s="48"/>
    </row>
    <row r="40" spans="1:11" ht="15" customHeight="1" x14ac:dyDescent="0.2">
      <c r="A40" s="49" t="s">
        <v>201</v>
      </c>
      <c r="B40" s="50">
        <v>481520</v>
      </c>
      <c r="C40" s="51">
        <v>59760</v>
      </c>
      <c r="D40" s="51">
        <v>59760</v>
      </c>
      <c r="E40" s="51">
        <v>60000</v>
      </c>
      <c r="F40" s="51">
        <v>72500</v>
      </c>
      <c r="G40" s="51">
        <v>72500</v>
      </c>
      <c r="H40" s="51">
        <v>78500</v>
      </c>
      <c r="I40" s="51">
        <v>78500</v>
      </c>
      <c r="J40" s="51"/>
      <c r="K40" s="52"/>
    </row>
    <row r="41" spans="1:11" ht="15" customHeight="1" x14ac:dyDescent="0.2">
      <c r="A41" s="45" t="s">
        <v>28</v>
      </c>
      <c r="B41" s="46">
        <v>2956315.86</v>
      </c>
      <c r="C41" s="47">
        <v>70301</v>
      </c>
      <c r="D41" s="47">
        <v>58472.55</v>
      </c>
      <c r="E41" s="47">
        <v>70000</v>
      </c>
      <c r="F41" s="47">
        <v>497746.16</v>
      </c>
      <c r="G41" s="47">
        <v>497746.16</v>
      </c>
      <c r="H41" s="47">
        <v>587350</v>
      </c>
      <c r="I41" s="47">
        <v>587350</v>
      </c>
      <c r="J41" s="47">
        <v>587350</v>
      </c>
      <c r="K41" s="48"/>
    </row>
    <row r="42" spans="1:11" ht="15" customHeight="1" x14ac:dyDescent="0.2">
      <c r="A42" s="49" t="s">
        <v>295</v>
      </c>
      <c r="B42" s="50">
        <v>426100</v>
      </c>
      <c r="C42" s="51">
        <v>70550</v>
      </c>
      <c r="D42" s="51">
        <v>70550</v>
      </c>
      <c r="E42" s="51">
        <v>75000</v>
      </c>
      <c r="F42" s="51">
        <v>60000</v>
      </c>
      <c r="G42" s="51">
        <v>60000</v>
      </c>
      <c r="H42" s="51">
        <v>45000</v>
      </c>
      <c r="I42" s="51">
        <v>45000</v>
      </c>
      <c r="J42" s="51"/>
      <c r="K42" s="52"/>
    </row>
    <row r="43" spans="1:11" ht="15" customHeight="1" x14ac:dyDescent="0.2">
      <c r="A43" s="45" t="s">
        <v>384</v>
      </c>
      <c r="B43" s="46">
        <v>1446082.9</v>
      </c>
      <c r="C43" s="47">
        <v>99600</v>
      </c>
      <c r="D43" s="47">
        <v>141632.9</v>
      </c>
      <c r="E43" s="47">
        <v>211000</v>
      </c>
      <c r="F43" s="47">
        <v>109000</v>
      </c>
      <c r="G43" s="47">
        <v>256500</v>
      </c>
      <c r="H43" s="47">
        <v>259450</v>
      </c>
      <c r="I43" s="47">
        <v>184450</v>
      </c>
      <c r="J43" s="47">
        <v>184450</v>
      </c>
      <c r="K43" s="48"/>
    </row>
    <row r="44" spans="1:11" ht="15" customHeight="1" x14ac:dyDescent="0.2">
      <c r="A44" s="49" t="s">
        <v>334</v>
      </c>
      <c r="B44" s="50">
        <v>621250</v>
      </c>
      <c r="C44" s="51">
        <v>103750</v>
      </c>
      <c r="D44" s="51">
        <v>103750</v>
      </c>
      <c r="E44" s="51">
        <v>103750</v>
      </c>
      <c r="F44" s="51">
        <v>155000</v>
      </c>
      <c r="G44" s="51">
        <v>155000</v>
      </c>
      <c r="H44" s="51"/>
      <c r="I44" s="51"/>
      <c r="J44" s="51"/>
      <c r="K44" s="52"/>
    </row>
    <row r="45" spans="1:11" ht="15" customHeight="1" x14ac:dyDescent="0.2">
      <c r="A45" s="45" t="s">
        <v>182</v>
      </c>
      <c r="B45" s="46">
        <v>58100</v>
      </c>
      <c r="C45" s="47">
        <v>29050</v>
      </c>
      <c r="D45" s="47">
        <v>29050</v>
      </c>
      <c r="E45" s="47"/>
      <c r="F45" s="47"/>
      <c r="G45" s="47"/>
      <c r="H45" s="47"/>
      <c r="I45" s="47"/>
      <c r="J45" s="47"/>
      <c r="K45" s="48"/>
    </row>
    <row r="46" spans="1:11" ht="15" customHeight="1" x14ac:dyDescent="0.2">
      <c r="A46" s="53" t="s">
        <v>593</v>
      </c>
      <c r="B46" s="54">
        <v>2578926.19</v>
      </c>
      <c r="C46" s="55">
        <v>265544.5</v>
      </c>
      <c r="D46" s="55">
        <v>276803.03999999998</v>
      </c>
      <c r="E46" s="55">
        <v>297386.55</v>
      </c>
      <c r="F46" s="55">
        <v>297386.55</v>
      </c>
      <c r="G46" s="55">
        <v>334945.65999999997</v>
      </c>
      <c r="H46" s="55">
        <v>364445.66</v>
      </c>
      <c r="I46" s="55">
        <v>390357.11</v>
      </c>
      <c r="J46" s="55">
        <v>352057.11</v>
      </c>
      <c r="K46" s="56"/>
    </row>
    <row r="47" spans="1:11" ht="15" customHeight="1" x14ac:dyDescent="0.2">
      <c r="A47" s="45" t="s">
        <v>224</v>
      </c>
      <c r="B47" s="46">
        <v>521500</v>
      </c>
      <c r="C47" s="47">
        <v>20750</v>
      </c>
      <c r="D47" s="47">
        <v>20750</v>
      </c>
      <c r="E47" s="47">
        <v>75000</v>
      </c>
      <c r="F47" s="47">
        <v>75000</v>
      </c>
      <c r="G47" s="47">
        <v>75000</v>
      </c>
      <c r="H47" s="47">
        <v>90000</v>
      </c>
      <c r="I47" s="47">
        <v>90000</v>
      </c>
      <c r="J47" s="47">
        <v>75000</v>
      </c>
      <c r="K47" s="48"/>
    </row>
    <row r="48" spans="1:11" ht="15" customHeight="1" x14ac:dyDescent="0.2">
      <c r="A48" s="49" t="s">
        <v>353</v>
      </c>
      <c r="B48" s="50">
        <v>325800</v>
      </c>
      <c r="C48" s="51">
        <v>33200</v>
      </c>
      <c r="D48" s="51">
        <v>33200</v>
      </c>
      <c r="E48" s="51">
        <v>40000</v>
      </c>
      <c r="F48" s="51">
        <v>40000</v>
      </c>
      <c r="G48" s="51">
        <v>40000</v>
      </c>
      <c r="H48" s="51">
        <v>47200</v>
      </c>
      <c r="I48" s="51">
        <v>47200</v>
      </c>
      <c r="J48" s="51">
        <v>45000</v>
      </c>
      <c r="K48" s="52"/>
    </row>
    <row r="49" spans="1:11" ht="15" customHeight="1" x14ac:dyDescent="0.2">
      <c r="A49" s="45" t="s">
        <v>364</v>
      </c>
      <c r="B49" s="46">
        <v>895100</v>
      </c>
      <c r="C49" s="47">
        <v>91300</v>
      </c>
      <c r="D49" s="47">
        <v>91300</v>
      </c>
      <c r="E49" s="47">
        <v>115000</v>
      </c>
      <c r="F49" s="47">
        <v>115000</v>
      </c>
      <c r="G49" s="47">
        <v>115000</v>
      </c>
      <c r="H49" s="47">
        <v>122500</v>
      </c>
      <c r="I49" s="47">
        <v>122500</v>
      </c>
      <c r="J49" s="47">
        <v>122500</v>
      </c>
      <c r="K49" s="48"/>
    </row>
    <row r="50" spans="1:11" ht="15" customHeight="1" x14ac:dyDescent="0.2">
      <c r="A50" s="49" t="s">
        <v>23</v>
      </c>
      <c r="B50" s="50">
        <v>4675836.1500000004</v>
      </c>
      <c r="C50" s="51">
        <v>125000</v>
      </c>
      <c r="D50" s="51">
        <v>297603.20000000001</v>
      </c>
      <c r="E50" s="51">
        <v>297603.20000000001</v>
      </c>
      <c r="F50" s="51">
        <v>297603.20000000001</v>
      </c>
      <c r="G50" s="51">
        <v>859453.84</v>
      </c>
      <c r="H50" s="51">
        <v>820703.84</v>
      </c>
      <c r="I50" s="51">
        <v>1010809.44</v>
      </c>
      <c r="J50" s="51">
        <v>967059.44</v>
      </c>
      <c r="K50" s="52"/>
    </row>
    <row r="51" spans="1:11" ht="15" customHeight="1" x14ac:dyDescent="0.2">
      <c r="A51" s="45" t="s">
        <v>544</v>
      </c>
      <c r="B51" s="46">
        <v>349863.43</v>
      </c>
      <c r="C51" s="47"/>
      <c r="D51" s="47"/>
      <c r="E51" s="47"/>
      <c r="F51" s="47"/>
      <c r="G51" s="47"/>
      <c r="H51" s="47"/>
      <c r="I51" s="47">
        <v>174931.71</v>
      </c>
      <c r="J51" s="47">
        <v>174931.71</v>
      </c>
      <c r="K51" s="48"/>
    </row>
    <row r="52" spans="1:11" ht="15" customHeight="1" x14ac:dyDescent="0.2">
      <c r="A52" s="49" t="s">
        <v>499</v>
      </c>
      <c r="B52" s="50">
        <v>360000</v>
      </c>
      <c r="C52" s="51"/>
      <c r="D52" s="51"/>
      <c r="E52" s="51"/>
      <c r="F52" s="51">
        <v>80000</v>
      </c>
      <c r="G52" s="51">
        <v>180000</v>
      </c>
      <c r="H52" s="51">
        <v>100000</v>
      </c>
      <c r="I52" s="51"/>
      <c r="J52" s="51"/>
      <c r="K52" s="52"/>
    </row>
    <row r="53" spans="1:11" ht="15" customHeight="1" x14ac:dyDescent="0.2">
      <c r="A53" s="45" t="s">
        <v>342</v>
      </c>
      <c r="B53" s="46">
        <v>753630</v>
      </c>
      <c r="C53" s="47">
        <v>71795</v>
      </c>
      <c r="D53" s="47">
        <v>71795</v>
      </c>
      <c r="E53" s="47">
        <v>80000</v>
      </c>
      <c r="F53" s="47">
        <v>98820</v>
      </c>
      <c r="G53" s="47">
        <v>98820</v>
      </c>
      <c r="H53" s="47">
        <v>110800</v>
      </c>
      <c r="I53" s="47">
        <v>110800</v>
      </c>
      <c r="J53" s="47">
        <v>110800</v>
      </c>
      <c r="K53" s="48"/>
    </row>
    <row r="54" spans="1:11" ht="15" customHeight="1" x14ac:dyDescent="0.2">
      <c r="A54" s="49" t="s">
        <v>146</v>
      </c>
      <c r="B54" s="50">
        <v>70000</v>
      </c>
      <c r="C54" s="51">
        <v>70000</v>
      </c>
      <c r="D54" s="51"/>
      <c r="E54" s="51"/>
      <c r="F54" s="51"/>
      <c r="G54" s="51"/>
      <c r="H54" s="51"/>
      <c r="I54" s="51"/>
      <c r="J54" s="51"/>
      <c r="K54" s="52"/>
    </row>
    <row r="55" spans="1:11" ht="15" customHeight="1" x14ac:dyDescent="0.2">
      <c r="A55" s="45" t="s">
        <v>553</v>
      </c>
      <c r="B55" s="46">
        <v>110000</v>
      </c>
      <c r="C55" s="47"/>
      <c r="D55" s="47"/>
      <c r="E55" s="47"/>
      <c r="F55" s="47"/>
      <c r="G55" s="47"/>
      <c r="H55" s="47"/>
      <c r="I55" s="47"/>
      <c r="J55" s="47">
        <v>110000</v>
      </c>
      <c r="K55" s="48"/>
    </row>
    <row r="56" spans="1:11" ht="15" customHeight="1" x14ac:dyDescent="0.2">
      <c r="A56" s="49" t="s">
        <v>300</v>
      </c>
      <c r="B56" s="50">
        <v>505111.8</v>
      </c>
      <c r="C56" s="51">
        <v>86498.4</v>
      </c>
      <c r="D56" s="51">
        <v>86498.4</v>
      </c>
      <c r="E56" s="51">
        <v>65205</v>
      </c>
      <c r="F56" s="51">
        <v>65205</v>
      </c>
      <c r="G56" s="51">
        <v>65205</v>
      </c>
      <c r="H56" s="51">
        <v>68250</v>
      </c>
      <c r="I56" s="51">
        <v>68250</v>
      </c>
      <c r="J56" s="51"/>
      <c r="K56" s="52"/>
    </row>
    <row r="57" spans="1:11" ht="15" customHeight="1" x14ac:dyDescent="0.2">
      <c r="A57" s="45" t="s">
        <v>496</v>
      </c>
      <c r="B57" s="46">
        <v>41321.839999999997</v>
      </c>
      <c r="C57" s="47"/>
      <c r="D57" s="47"/>
      <c r="E57" s="47"/>
      <c r="F57" s="47">
        <v>20660.919999999998</v>
      </c>
      <c r="G57" s="47">
        <v>20660.919999999998</v>
      </c>
      <c r="H57" s="47"/>
      <c r="I57" s="47"/>
      <c r="J57" s="47"/>
      <c r="K57" s="48"/>
    </row>
    <row r="58" spans="1:11" ht="15" customHeight="1" x14ac:dyDescent="0.2">
      <c r="A58" s="49" t="s">
        <v>115</v>
      </c>
      <c r="B58" s="50">
        <v>493000</v>
      </c>
      <c r="C58" s="51">
        <v>70000</v>
      </c>
      <c r="D58" s="51">
        <v>148500</v>
      </c>
      <c r="E58" s="51">
        <v>148500</v>
      </c>
      <c r="F58" s="51">
        <v>126000</v>
      </c>
      <c r="G58" s="51"/>
      <c r="H58" s="51"/>
      <c r="I58" s="51"/>
      <c r="J58" s="51"/>
      <c r="K58" s="52"/>
    </row>
    <row r="59" spans="1:11" ht="15" customHeight="1" x14ac:dyDescent="0.2">
      <c r="A59" s="45" t="s">
        <v>520</v>
      </c>
      <c r="B59" s="46">
        <v>809918.5</v>
      </c>
      <c r="C59" s="47"/>
      <c r="D59" s="47"/>
      <c r="E59" s="47"/>
      <c r="F59" s="47"/>
      <c r="G59" s="47">
        <v>255292.36</v>
      </c>
      <c r="H59" s="47">
        <v>255292.36</v>
      </c>
      <c r="I59" s="47">
        <v>149666.89000000001</v>
      </c>
      <c r="J59" s="47">
        <v>149666.89000000001</v>
      </c>
      <c r="K59" s="48"/>
    </row>
    <row r="60" spans="1:11" ht="15" customHeight="1" x14ac:dyDescent="0.2">
      <c r="A60" s="49" t="s">
        <v>543</v>
      </c>
      <c r="B60" s="50">
        <v>250000</v>
      </c>
      <c r="C60" s="51"/>
      <c r="D60" s="51"/>
      <c r="E60" s="51"/>
      <c r="F60" s="51"/>
      <c r="G60" s="51"/>
      <c r="H60" s="51"/>
      <c r="I60" s="51">
        <v>125000</v>
      </c>
      <c r="J60" s="51">
        <v>125000</v>
      </c>
      <c r="K60" s="52"/>
    </row>
    <row r="61" spans="1:11" ht="15" customHeight="1" x14ac:dyDescent="0.2">
      <c r="A61" s="45" t="s">
        <v>310</v>
      </c>
      <c r="B61" s="46">
        <v>166320</v>
      </c>
      <c r="C61" s="47">
        <v>43160</v>
      </c>
      <c r="D61" s="47">
        <v>43160</v>
      </c>
      <c r="E61" s="47">
        <v>30000</v>
      </c>
      <c r="F61" s="47">
        <v>25000</v>
      </c>
      <c r="G61" s="47">
        <v>25000</v>
      </c>
      <c r="H61" s="47"/>
      <c r="I61" s="47"/>
      <c r="J61" s="47"/>
      <c r="K61" s="48"/>
    </row>
    <row r="62" spans="1:11" ht="15" customHeight="1" x14ac:dyDescent="0.2">
      <c r="A62" s="49" t="s">
        <v>271</v>
      </c>
      <c r="B62" s="50">
        <v>612180</v>
      </c>
      <c r="C62" s="51">
        <v>83000</v>
      </c>
      <c r="D62" s="51">
        <v>83000</v>
      </c>
      <c r="E62" s="51">
        <v>116300</v>
      </c>
      <c r="F62" s="51">
        <v>151190</v>
      </c>
      <c r="G62" s="51">
        <v>151190</v>
      </c>
      <c r="H62" s="51"/>
      <c r="I62" s="51"/>
      <c r="J62" s="51">
        <v>27500</v>
      </c>
      <c r="K62" s="52"/>
    </row>
    <row r="63" spans="1:11" ht="15" customHeight="1" x14ac:dyDescent="0.2">
      <c r="A63" s="45" t="s">
        <v>59</v>
      </c>
      <c r="B63" s="46">
        <v>965871.56</v>
      </c>
      <c r="C63" s="47">
        <v>133110</v>
      </c>
      <c r="D63" s="47">
        <v>186827.19</v>
      </c>
      <c r="E63" s="47">
        <v>196217.19</v>
      </c>
      <c r="F63" s="47">
        <v>196217.18</v>
      </c>
      <c r="G63" s="47">
        <v>65000</v>
      </c>
      <c r="H63" s="47">
        <v>65000</v>
      </c>
      <c r="I63" s="47">
        <v>65000</v>
      </c>
      <c r="J63" s="47">
        <v>58500</v>
      </c>
      <c r="K63" s="48"/>
    </row>
    <row r="64" spans="1:11" ht="15" customHeight="1" x14ac:dyDescent="0.2">
      <c r="A64" s="49" t="s">
        <v>530</v>
      </c>
      <c r="B64" s="50">
        <v>738250</v>
      </c>
      <c r="C64" s="51"/>
      <c r="D64" s="51"/>
      <c r="E64" s="51"/>
      <c r="F64" s="51"/>
      <c r="G64" s="51"/>
      <c r="H64" s="51">
        <v>265000</v>
      </c>
      <c r="I64" s="51">
        <v>265000</v>
      </c>
      <c r="J64" s="51">
        <v>208250</v>
      </c>
      <c r="K64" s="52"/>
    </row>
    <row r="65" spans="1:11" ht="15" customHeight="1" x14ac:dyDescent="0.2">
      <c r="A65" s="45" t="s">
        <v>68</v>
      </c>
      <c r="B65" s="46">
        <v>1268654.8799999999</v>
      </c>
      <c r="C65" s="47">
        <v>99682.5</v>
      </c>
      <c r="D65" s="47">
        <v>119766.48</v>
      </c>
      <c r="E65" s="47">
        <v>119766.48</v>
      </c>
      <c r="F65" s="47">
        <v>119766.48</v>
      </c>
      <c r="G65" s="47">
        <v>188173.5</v>
      </c>
      <c r="H65" s="47">
        <v>188173.5</v>
      </c>
      <c r="I65" s="47">
        <v>216662.97</v>
      </c>
      <c r="J65" s="47">
        <v>216662.97</v>
      </c>
      <c r="K65" s="48"/>
    </row>
    <row r="66" spans="1:11" ht="15" customHeight="1" x14ac:dyDescent="0.2">
      <c r="A66" s="49" t="s">
        <v>495</v>
      </c>
      <c r="B66" s="50">
        <v>144100</v>
      </c>
      <c r="C66" s="51"/>
      <c r="D66" s="51"/>
      <c r="E66" s="51"/>
      <c r="F66" s="51">
        <v>26000</v>
      </c>
      <c r="G66" s="51">
        <v>26000</v>
      </c>
      <c r="H66" s="51">
        <v>30700</v>
      </c>
      <c r="I66" s="51">
        <v>30700</v>
      </c>
      <c r="J66" s="51">
        <v>30700</v>
      </c>
      <c r="K66" s="52"/>
    </row>
    <row r="67" spans="1:11" ht="15" customHeight="1" x14ac:dyDescent="0.2">
      <c r="A67" s="45" t="s">
        <v>345</v>
      </c>
      <c r="B67" s="46">
        <v>969490</v>
      </c>
      <c r="C67" s="47">
        <v>90470</v>
      </c>
      <c r="D67" s="47">
        <v>90470</v>
      </c>
      <c r="E67" s="47">
        <v>115000</v>
      </c>
      <c r="F67" s="47">
        <v>122000</v>
      </c>
      <c r="G67" s="47">
        <v>122000</v>
      </c>
      <c r="H67" s="47">
        <v>143950</v>
      </c>
      <c r="I67" s="47">
        <v>143950</v>
      </c>
      <c r="J67" s="47">
        <v>141650</v>
      </c>
      <c r="K67" s="48"/>
    </row>
    <row r="68" spans="1:11" ht="15" customHeight="1" x14ac:dyDescent="0.2">
      <c r="A68" s="49" t="s">
        <v>292</v>
      </c>
      <c r="B68" s="50">
        <v>10000</v>
      </c>
      <c r="C68" s="51">
        <v>10000</v>
      </c>
      <c r="D68" s="51"/>
      <c r="E68" s="51"/>
      <c r="F68" s="51"/>
      <c r="G68" s="51"/>
      <c r="H68" s="51"/>
      <c r="I68" s="51"/>
      <c r="J68" s="51"/>
      <c r="K68" s="52"/>
    </row>
    <row r="69" spans="1:11" ht="15" customHeight="1" x14ac:dyDescent="0.2">
      <c r="A69" s="45" t="s">
        <v>235</v>
      </c>
      <c r="B69" s="46">
        <v>410631</v>
      </c>
      <c r="C69" s="47">
        <v>39176</v>
      </c>
      <c r="D69" s="47">
        <v>39170</v>
      </c>
      <c r="E69" s="47">
        <v>57600</v>
      </c>
      <c r="F69" s="47">
        <v>56067.5</v>
      </c>
      <c r="G69" s="47">
        <v>56067.5</v>
      </c>
      <c r="H69" s="47">
        <v>56050</v>
      </c>
      <c r="I69" s="47">
        <v>56050</v>
      </c>
      <c r="J69" s="47">
        <v>50450</v>
      </c>
      <c r="K69" s="48"/>
    </row>
    <row r="70" spans="1:11" ht="15" customHeight="1" x14ac:dyDescent="0.2">
      <c r="A70" s="49" t="s">
        <v>174</v>
      </c>
      <c r="B70" s="50">
        <v>951075.85</v>
      </c>
      <c r="C70" s="51">
        <v>80095</v>
      </c>
      <c r="D70" s="51">
        <v>80095</v>
      </c>
      <c r="E70" s="51">
        <v>96885.85</v>
      </c>
      <c r="F70" s="51">
        <v>115000</v>
      </c>
      <c r="G70" s="51">
        <v>115000</v>
      </c>
      <c r="H70" s="51">
        <v>157000</v>
      </c>
      <c r="I70" s="51">
        <v>157000</v>
      </c>
      <c r="J70" s="51">
        <v>150000</v>
      </c>
      <c r="K70" s="52"/>
    </row>
    <row r="71" spans="1:11" ht="15" customHeight="1" x14ac:dyDescent="0.2">
      <c r="A71" s="45" t="s">
        <v>409</v>
      </c>
      <c r="B71" s="46">
        <v>600910.93999999994</v>
      </c>
      <c r="C71" s="47"/>
      <c r="D71" s="47">
        <v>70000</v>
      </c>
      <c r="E71" s="47">
        <v>70000</v>
      </c>
      <c r="F71" s="47"/>
      <c r="G71" s="47">
        <v>105455.47</v>
      </c>
      <c r="H71" s="47">
        <v>105455.47</v>
      </c>
      <c r="I71" s="47">
        <v>125000</v>
      </c>
      <c r="J71" s="47">
        <v>125000</v>
      </c>
      <c r="K71" s="48"/>
    </row>
    <row r="72" spans="1:11" ht="15" customHeight="1" x14ac:dyDescent="0.2">
      <c r="A72" s="49" t="s">
        <v>185</v>
      </c>
      <c r="B72" s="50">
        <v>29050</v>
      </c>
      <c r="C72" s="51">
        <v>29050</v>
      </c>
      <c r="D72" s="51"/>
      <c r="E72" s="51"/>
      <c r="F72" s="51"/>
      <c r="G72" s="51"/>
      <c r="H72" s="51"/>
      <c r="I72" s="51"/>
      <c r="J72" s="51"/>
      <c r="K72" s="52"/>
    </row>
    <row r="73" spans="1:11" ht="15" customHeight="1" x14ac:dyDescent="0.2">
      <c r="A73" s="45" t="s">
        <v>531</v>
      </c>
      <c r="B73" s="46">
        <v>290000</v>
      </c>
      <c r="C73" s="47"/>
      <c r="D73" s="47"/>
      <c r="E73" s="47"/>
      <c r="F73" s="47"/>
      <c r="G73" s="47"/>
      <c r="H73" s="47">
        <v>100000</v>
      </c>
      <c r="I73" s="47">
        <v>100000</v>
      </c>
      <c r="J73" s="47">
        <v>90000</v>
      </c>
      <c r="K73" s="48"/>
    </row>
    <row r="74" spans="1:11" ht="15" customHeight="1" x14ac:dyDescent="0.2">
      <c r="A74" s="49" t="s">
        <v>529</v>
      </c>
      <c r="B74" s="50">
        <v>400000</v>
      </c>
      <c r="C74" s="51"/>
      <c r="D74" s="51"/>
      <c r="E74" s="51"/>
      <c r="F74" s="51"/>
      <c r="G74" s="51"/>
      <c r="H74" s="51">
        <v>200000</v>
      </c>
      <c r="I74" s="51">
        <v>200000</v>
      </c>
      <c r="J74" s="51"/>
      <c r="K74" s="52"/>
    </row>
    <row r="75" spans="1:11" ht="15" customHeight="1" x14ac:dyDescent="0.2">
      <c r="A75" s="45" t="s">
        <v>155</v>
      </c>
      <c r="B75" s="46">
        <v>724916.16</v>
      </c>
      <c r="C75" s="47">
        <v>71000</v>
      </c>
      <c r="D75" s="47">
        <v>75524.5</v>
      </c>
      <c r="E75" s="47">
        <v>75524.509999999995</v>
      </c>
      <c r="F75" s="47">
        <v>52867.15</v>
      </c>
      <c r="G75" s="47">
        <v>100000</v>
      </c>
      <c r="H75" s="47">
        <v>100000</v>
      </c>
      <c r="I75" s="47">
        <v>125000</v>
      </c>
      <c r="J75" s="47">
        <v>125000</v>
      </c>
      <c r="K75" s="48"/>
    </row>
    <row r="76" spans="1:11" ht="15" customHeight="1" x14ac:dyDescent="0.2">
      <c r="A76" s="49" t="s">
        <v>509</v>
      </c>
      <c r="B76" s="50">
        <v>653881.73</v>
      </c>
      <c r="C76" s="51"/>
      <c r="D76" s="51"/>
      <c r="E76" s="51"/>
      <c r="F76" s="51"/>
      <c r="G76" s="51">
        <v>326940.86</v>
      </c>
      <c r="H76" s="51">
        <v>326940.86</v>
      </c>
      <c r="I76" s="51"/>
      <c r="J76" s="51"/>
      <c r="K76" s="52"/>
    </row>
    <row r="77" spans="1:11" ht="15" customHeight="1" x14ac:dyDescent="0.2">
      <c r="A77" s="45" t="s">
        <v>138</v>
      </c>
      <c r="B77" s="46">
        <v>860778.32</v>
      </c>
      <c r="C77" s="47">
        <v>122000</v>
      </c>
      <c r="D77" s="47">
        <v>143472</v>
      </c>
      <c r="E77" s="47">
        <v>143472</v>
      </c>
      <c r="F77" s="47">
        <v>143472</v>
      </c>
      <c r="G77" s="47">
        <v>154181.16</v>
      </c>
      <c r="H77" s="47">
        <v>154181.16</v>
      </c>
      <c r="I77" s="47"/>
      <c r="J77" s="47"/>
      <c r="K77" s="48"/>
    </row>
    <row r="78" spans="1:11" ht="15" customHeight="1" x14ac:dyDescent="0.2">
      <c r="A78" s="49" t="s">
        <v>371</v>
      </c>
      <c r="B78" s="50">
        <v>160190</v>
      </c>
      <c r="C78" s="51">
        <v>80095</v>
      </c>
      <c r="D78" s="51">
        <v>80095</v>
      </c>
      <c r="E78" s="51"/>
      <c r="F78" s="51"/>
      <c r="G78" s="51"/>
      <c r="H78" s="51"/>
      <c r="I78" s="51"/>
      <c r="J78" s="51"/>
      <c r="K78" s="52"/>
    </row>
    <row r="79" spans="1:11" ht="15" customHeight="1" x14ac:dyDescent="0.2">
      <c r="A79" s="45" t="s">
        <v>304</v>
      </c>
      <c r="B79" s="46">
        <v>289728.8</v>
      </c>
      <c r="C79" s="47">
        <v>53950</v>
      </c>
      <c r="D79" s="47">
        <v>53950</v>
      </c>
      <c r="E79" s="47">
        <v>60609.599999999999</v>
      </c>
      <c r="F79" s="47">
        <v>60609.599999999999</v>
      </c>
      <c r="G79" s="47">
        <v>60609.599999999999</v>
      </c>
      <c r="H79" s="47"/>
      <c r="I79" s="47"/>
      <c r="J79" s="47"/>
      <c r="K79" s="48"/>
    </row>
    <row r="80" spans="1:11" ht="15" customHeight="1" x14ac:dyDescent="0.2">
      <c r="A80" s="49" t="s">
        <v>545</v>
      </c>
      <c r="B80" s="50">
        <v>250000</v>
      </c>
      <c r="C80" s="51"/>
      <c r="D80" s="51"/>
      <c r="E80" s="51"/>
      <c r="F80" s="51"/>
      <c r="G80" s="51"/>
      <c r="H80" s="51"/>
      <c r="I80" s="51">
        <v>125000</v>
      </c>
      <c r="J80" s="51">
        <v>125000</v>
      </c>
      <c r="K80" s="52"/>
    </row>
    <row r="81" spans="1:11" ht="15" customHeight="1" x14ac:dyDescent="0.2">
      <c r="A81" s="45" t="s">
        <v>517</v>
      </c>
      <c r="B81" s="46">
        <v>621270.05000000005</v>
      </c>
      <c r="C81" s="47"/>
      <c r="D81" s="47"/>
      <c r="E81" s="47"/>
      <c r="F81" s="47"/>
      <c r="G81" s="47">
        <v>144387.39000000001</v>
      </c>
      <c r="H81" s="47">
        <v>144387.39000000001</v>
      </c>
      <c r="I81" s="47">
        <v>166247.64000000001</v>
      </c>
      <c r="J81" s="47">
        <v>166247.64000000001</v>
      </c>
      <c r="K81" s="48"/>
    </row>
    <row r="82" spans="1:11" ht="15" customHeight="1" x14ac:dyDescent="0.2">
      <c r="A82" s="49" t="s">
        <v>532</v>
      </c>
      <c r="B82" s="50">
        <v>40000</v>
      </c>
      <c r="C82" s="51"/>
      <c r="D82" s="51"/>
      <c r="E82" s="51"/>
      <c r="F82" s="51"/>
      <c r="G82" s="51"/>
      <c r="H82" s="51">
        <v>20000</v>
      </c>
      <c r="I82" s="51">
        <v>20000</v>
      </c>
      <c r="J82" s="51"/>
      <c r="K82" s="52"/>
    </row>
    <row r="83" spans="1:11" ht="15" customHeight="1" x14ac:dyDescent="0.2">
      <c r="A83" s="45" t="s">
        <v>484</v>
      </c>
      <c r="B83" s="46">
        <v>398480</v>
      </c>
      <c r="C83" s="47"/>
      <c r="D83" s="47"/>
      <c r="E83" s="47">
        <v>86160</v>
      </c>
      <c r="F83" s="47">
        <v>86160</v>
      </c>
      <c r="G83" s="47">
        <v>86160</v>
      </c>
      <c r="H83" s="47">
        <v>70000</v>
      </c>
      <c r="I83" s="47">
        <v>70000</v>
      </c>
      <c r="J83" s="47"/>
      <c r="K83" s="48"/>
    </row>
    <row r="84" spans="1:11" ht="15" customHeight="1" x14ac:dyDescent="0.2">
      <c r="A84" s="49" t="s">
        <v>161</v>
      </c>
      <c r="B84" s="50">
        <v>117196</v>
      </c>
      <c r="C84" s="51">
        <v>58598</v>
      </c>
      <c r="D84" s="51">
        <v>58598</v>
      </c>
      <c r="E84" s="51"/>
      <c r="F84" s="51"/>
      <c r="G84" s="51"/>
      <c r="H84" s="51"/>
      <c r="I84" s="51"/>
      <c r="J84" s="51"/>
      <c r="K84" s="52"/>
    </row>
    <row r="85" spans="1:11" ht="15" customHeight="1" x14ac:dyDescent="0.2">
      <c r="A85" s="53" t="s">
        <v>410</v>
      </c>
      <c r="B85" s="54">
        <v>680746.24</v>
      </c>
      <c r="C85" s="55">
        <v>94900</v>
      </c>
      <c r="D85" s="55">
        <v>204373.12</v>
      </c>
      <c r="E85" s="55">
        <v>204973.12</v>
      </c>
      <c r="F85" s="55">
        <v>74500</v>
      </c>
      <c r="G85" s="55">
        <v>25500</v>
      </c>
      <c r="H85" s="55">
        <v>25500</v>
      </c>
      <c r="I85" s="55">
        <v>25500</v>
      </c>
      <c r="J85" s="55">
        <v>25500</v>
      </c>
      <c r="K85" s="56">
        <v>4</v>
      </c>
    </row>
    <row r="86" spans="1:11" ht="15" customHeight="1" x14ac:dyDescent="0.2">
      <c r="A86" s="49" t="s">
        <v>305</v>
      </c>
      <c r="B86" s="50">
        <v>125375</v>
      </c>
      <c r="C86" s="51">
        <v>62250</v>
      </c>
      <c r="D86" s="51">
        <v>31125</v>
      </c>
      <c r="E86" s="51">
        <v>32000</v>
      </c>
      <c r="F86" s="51"/>
      <c r="G86" s="51"/>
      <c r="H86" s="51"/>
      <c r="I86" s="51"/>
      <c r="J86" s="51"/>
      <c r="K86" s="52"/>
    </row>
    <row r="87" spans="1:11" ht="15" customHeight="1" x14ac:dyDescent="0.2">
      <c r="A87" s="45" t="s">
        <v>387</v>
      </c>
      <c r="B87" s="46">
        <v>183980</v>
      </c>
      <c r="C87" s="47">
        <v>43990</v>
      </c>
      <c r="D87" s="47">
        <v>43990</v>
      </c>
      <c r="E87" s="47">
        <v>32000</v>
      </c>
      <c r="F87" s="47">
        <v>32000</v>
      </c>
      <c r="G87" s="47">
        <v>32000</v>
      </c>
      <c r="H87" s="47"/>
      <c r="I87" s="47"/>
      <c r="J87" s="47"/>
      <c r="K87" s="48"/>
    </row>
    <row r="88" spans="1:11" ht="15" customHeight="1" x14ac:dyDescent="0.2">
      <c r="A88" s="49" t="s">
        <v>226</v>
      </c>
      <c r="B88" s="50">
        <v>287000</v>
      </c>
      <c r="C88" s="51">
        <v>41500</v>
      </c>
      <c r="D88" s="51">
        <v>41500</v>
      </c>
      <c r="E88" s="51">
        <v>43000</v>
      </c>
      <c r="F88" s="51">
        <v>43000</v>
      </c>
      <c r="G88" s="51">
        <v>43000</v>
      </c>
      <c r="H88" s="51">
        <v>25000</v>
      </c>
      <c r="I88" s="51">
        <v>25000</v>
      </c>
      <c r="J88" s="51">
        <v>25000</v>
      </c>
      <c r="K88" s="52"/>
    </row>
    <row r="89" spans="1:11" ht="15" customHeight="1" x14ac:dyDescent="0.2">
      <c r="A89" s="45" t="s">
        <v>485</v>
      </c>
      <c r="B89" s="46">
        <v>682276</v>
      </c>
      <c r="C89" s="47"/>
      <c r="D89" s="47"/>
      <c r="E89" s="47">
        <v>99092</v>
      </c>
      <c r="F89" s="47">
        <v>99092</v>
      </c>
      <c r="G89" s="47">
        <v>99092</v>
      </c>
      <c r="H89" s="47">
        <v>115000</v>
      </c>
      <c r="I89" s="47">
        <v>115000</v>
      </c>
      <c r="J89" s="47">
        <v>155000</v>
      </c>
      <c r="K89" s="48"/>
    </row>
    <row r="90" spans="1:11" ht="15" customHeight="1" x14ac:dyDescent="0.2">
      <c r="A90" s="49" t="s">
        <v>171</v>
      </c>
      <c r="B90" s="50">
        <v>220250</v>
      </c>
      <c r="C90" s="51">
        <v>16600</v>
      </c>
      <c r="D90" s="51">
        <v>16600</v>
      </c>
      <c r="E90" s="51">
        <v>23000</v>
      </c>
      <c r="F90" s="51">
        <v>29600</v>
      </c>
      <c r="G90" s="51">
        <v>29600</v>
      </c>
      <c r="H90" s="51">
        <v>34950</v>
      </c>
      <c r="I90" s="51">
        <v>34950</v>
      </c>
      <c r="J90" s="51">
        <v>34950</v>
      </c>
      <c r="K90" s="52"/>
    </row>
    <row r="91" spans="1:11" ht="15" customHeight="1" x14ac:dyDescent="0.2">
      <c r="A91" s="53" t="s">
        <v>594</v>
      </c>
      <c r="B91" s="54">
        <v>849580</v>
      </c>
      <c r="C91" s="55">
        <v>56440</v>
      </c>
      <c r="D91" s="55">
        <v>56440</v>
      </c>
      <c r="E91" s="55">
        <v>85000</v>
      </c>
      <c r="F91" s="55">
        <v>123000</v>
      </c>
      <c r="G91" s="55">
        <v>123000</v>
      </c>
      <c r="H91" s="55">
        <v>145150</v>
      </c>
      <c r="I91" s="55">
        <v>145150</v>
      </c>
      <c r="J91" s="55">
        <v>115400</v>
      </c>
      <c r="K91" s="56"/>
    </row>
    <row r="92" spans="1:11" ht="15" customHeight="1" x14ac:dyDescent="0.2">
      <c r="A92" s="49" t="s">
        <v>381</v>
      </c>
      <c r="B92" s="50">
        <v>45650</v>
      </c>
      <c r="C92" s="51">
        <v>45650</v>
      </c>
      <c r="D92" s="51"/>
      <c r="E92" s="51"/>
      <c r="F92" s="51"/>
      <c r="G92" s="51"/>
      <c r="H92" s="51"/>
      <c r="I92" s="51"/>
      <c r="J92" s="51"/>
      <c r="K92" s="52"/>
    </row>
    <row r="93" spans="1:11" ht="15" customHeight="1" x14ac:dyDescent="0.2">
      <c r="A93" s="45" t="s">
        <v>194</v>
      </c>
      <c r="B93" s="46">
        <v>609400</v>
      </c>
      <c r="C93" s="47">
        <v>74700</v>
      </c>
      <c r="D93" s="47">
        <v>74700</v>
      </c>
      <c r="E93" s="47">
        <v>70000</v>
      </c>
      <c r="F93" s="47">
        <v>70000</v>
      </c>
      <c r="G93" s="47">
        <v>70000</v>
      </c>
      <c r="H93" s="47"/>
      <c r="I93" s="47">
        <v>125000</v>
      </c>
      <c r="J93" s="47">
        <v>125000</v>
      </c>
      <c r="K93" s="48"/>
    </row>
    <row r="94" spans="1:11" ht="15" customHeight="1" x14ac:dyDescent="0.2">
      <c r="A94" s="49" t="s">
        <v>307</v>
      </c>
      <c r="B94" s="50">
        <v>278974</v>
      </c>
      <c r="C94" s="51">
        <v>26062</v>
      </c>
      <c r="D94" s="51">
        <v>26062</v>
      </c>
      <c r="E94" s="51">
        <v>35000</v>
      </c>
      <c r="F94" s="51">
        <v>35000</v>
      </c>
      <c r="G94" s="51">
        <v>35000</v>
      </c>
      <c r="H94" s="51">
        <v>41300</v>
      </c>
      <c r="I94" s="51">
        <v>41300</v>
      </c>
      <c r="J94" s="51">
        <v>39250</v>
      </c>
      <c r="K94" s="52"/>
    </row>
    <row r="95" spans="1:11" ht="15" customHeight="1" x14ac:dyDescent="0.2">
      <c r="A95" s="45" t="s">
        <v>518</v>
      </c>
      <c r="B95" s="46">
        <v>690664.97</v>
      </c>
      <c r="C95" s="47"/>
      <c r="D95" s="47"/>
      <c r="E95" s="47"/>
      <c r="F95" s="47"/>
      <c r="G95" s="47">
        <v>162132.35999999999</v>
      </c>
      <c r="H95" s="47">
        <v>162132.35999999999</v>
      </c>
      <c r="I95" s="47">
        <v>183200.12</v>
      </c>
      <c r="J95" s="47">
        <v>183200.12</v>
      </c>
      <c r="K95" s="48">
        <v>4</v>
      </c>
    </row>
    <row r="96" spans="1:11" ht="15" customHeight="1" x14ac:dyDescent="0.2">
      <c r="A96" s="45" t="s">
        <v>397</v>
      </c>
      <c r="B96" s="46">
        <v>71428.570000000007</v>
      </c>
      <c r="C96" s="47">
        <v>50000</v>
      </c>
      <c r="D96" s="47">
        <v>21428.57</v>
      </c>
      <c r="E96" s="47"/>
      <c r="F96" s="47"/>
      <c r="G96" s="47"/>
      <c r="H96" s="47"/>
      <c r="I96" s="47"/>
      <c r="J96" s="47"/>
      <c r="K96" s="48"/>
    </row>
    <row r="97" spans="1:12" ht="15" customHeight="1" x14ac:dyDescent="0.2">
      <c r="A97" s="49" t="s">
        <v>393</v>
      </c>
      <c r="B97" s="50">
        <v>302800</v>
      </c>
      <c r="C97" s="51">
        <v>66400</v>
      </c>
      <c r="D97" s="51">
        <v>66400</v>
      </c>
      <c r="E97" s="51">
        <v>70000</v>
      </c>
      <c r="F97" s="51"/>
      <c r="G97" s="51"/>
      <c r="H97" s="51">
        <v>50000</v>
      </c>
      <c r="I97" s="51">
        <v>50000</v>
      </c>
      <c r="J97" s="51"/>
      <c r="K97" s="52"/>
    </row>
    <row r="98" spans="1:12" ht="15" customHeight="1" x14ac:dyDescent="0.2">
      <c r="A98" s="45" t="s">
        <v>497</v>
      </c>
      <c r="B98" s="46">
        <v>1552737.4</v>
      </c>
      <c r="C98" s="47"/>
      <c r="D98" s="47"/>
      <c r="E98" s="47"/>
      <c r="F98" s="47">
        <v>100000</v>
      </c>
      <c r="G98" s="47">
        <v>431500</v>
      </c>
      <c r="H98" s="47">
        <v>331500</v>
      </c>
      <c r="I98" s="47">
        <v>344868.7</v>
      </c>
      <c r="J98" s="47">
        <v>344868.7</v>
      </c>
      <c r="K98" s="48"/>
    </row>
    <row r="99" spans="1:12" ht="15" customHeight="1" x14ac:dyDescent="0.2">
      <c r="A99" s="49" t="s">
        <v>486</v>
      </c>
      <c r="B99" s="50">
        <v>55520</v>
      </c>
      <c r="C99" s="51"/>
      <c r="D99" s="51"/>
      <c r="E99" s="51">
        <v>55520</v>
      </c>
      <c r="F99" s="51"/>
      <c r="G99" s="51"/>
      <c r="H99" s="51"/>
      <c r="I99" s="51"/>
      <c r="J99" s="51"/>
      <c r="K99" s="52"/>
    </row>
    <row r="100" spans="1:12" ht="15" customHeight="1" x14ac:dyDescent="0.2">
      <c r="A100" s="45" t="s">
        <v>326</v>
      </c>
      <c r="B100" s="46">
        <v>157884.79999999999</v>
      </c>
      <c r="C100" s="47">
        <v>20335</v>
      </c>
      <c r="D100" s="47">
        <v>20335</v>
      </c>
      <c r="E100" s="47">
        <v>20800</v>
      </c>
      <c r="F100" s="47">
        <v>20707.400000000001</v>
      </c>
      <c r="G100" s="47">
        <v>20707.400000000001</v>
      </c>
      <c r="H100" s="47">
        <v>27500</v>
      </c>
      <c r="I100" s="47">
        <v>27500</v>
      </c>
      <c r="J100" s="47"/>
      <c r="K100" s="48"/>
    </row>
    <row r="101" spans="1:12" ht="15" customHeight="1" x14ac:dyDescent="0.2">
      <c r="A101" s="49" t="s">
        <v>533</v>
      </c>
      <c r="B101" s="50">
        <v>535113.14</v>
      </c>
      <c r="C101" s="51"/>
      <c r="D101" s="51"/>
      <c r="E101" s="51"/>
      <c r="F101" s="51"/>
      <c r="G101" s="51"/>
      <c r="H101" s="51">
        <v>225000</v>
      </c>
      <c r="I101" s="51">
        <v>219863.14</v>
      </c>
      <c r="J101" s="51">
        <v>90250</v>
      </c>
      <c r="K101" s="52"/>
    </row>
    <row r="102" spans="1:12" ht="15" customHeight="1" x14ac:dyDescent="0.2">
      <c r="A102" s="53" t="s">
        <v>595</v>
      </c>
      <c r="B102" s="54">
        <v>6578891.5599999996</v>
      </c>
      <c r="C102" s="55">
        <v>706781</v>
      </c>
      <c r="D102" s="55">
        <v>629677.9</v>
      </c>
      <c r="E102" s="55">
        <v>730935.89</v>
      </c>
      <c r="F102" s="55">
        <v>602322.4</v>
      </c>
      <c r="G102" s="55">
        <v>987248.08</v>
      </c>
      <c r="H102" s="55">
        <v>1016111.58</v>
      </c>
      <c r="I102" s="55">
        <v>949882.35</v>
      </c>
      <c r="J102" s="55">
        <v>955932.35</v>
      </c>
      <c r="K102" s="56">
        <v>2</v>
      </c>
    </row>
    <row r="103" spans="1:12" ht="15" customHeight="1" x14ac:dyDescent="0.2">
      <c r="A103" s="53" t="s">
        <v>596</v>
      </c>
      <c r="B103" s="54">
        <v>2105468.46</v>
      </c>
      <c r="C103" s="55">
        <v>76872</v>
      </c>
      <c r="D103" s="55">
        <v>84329.73</v>
      </c>
      <c r="E103" s="55">
        <v>84329.73</v>
      </c>
      <c r="F103" s="55">
        <v>84329.74</v>
      </c>
      <c r="G103" s="55">
        <v>541809.85</v>
      </c>
      <c r="H103" s="55">
        <v>541809.85</v>
      </c>
      <c r="I103" s="55">
        <v>330993.78000000003</v>
      </c>
      <c r="J103" s="55">
        <v>360993.78</v>
      </c>
      <c r="K103" s="56">
        <v>3</v>
      </c>
    </row>
    <row r="104" spans="1:12" ht="15" customHeight="1" x14ac:dyDescent="0.2">
      <c r="A104" s="45" t="s">
        <v>554</v>
      </c>
      <c r="B104" s="46">
        <v>45000</v>
      </c>
      <c r="C104" s="47"/>
      <c r="D104" s="47"/>
      <c r="E104" s="47"/>
      <c r="F104" s="47"/>
      <c r="G104" s="47"/>
      <c r="H104" s="47"/>
      <c r="I104" s="47"/>
      <c r="J104" s="47">
        <v>45000</v>
      </c>
      <c r="K104" s="48"/>
    </row>
    <row r="105" spans="1:12" ht="15" customHeight="1" x14ac:dyDescent="0.2">
      <c r="A105" s="49" t="s">
        <v>283</v>
      </c>
      <c r="B105" s="50">
        <v>65707.78</v>
      </c>
      <c r="C105" s="51">
        <v>32853.89</v>
      </c>
      <c r="D105" s="51">
        <v>32853.89</v>
      </c>
      <c r="E105" s="51"/>
      <c r="F105" s="51"/>
      <c r="G105" s="51"/>
      <c r="H105" s="51"/>
      <c r="I105" s="51"/>
      <c r="J105" s="51"/>
      <c r="K105" s="52"/>
    </row>
    <row r="106" spans="1:12" ht="15" customHeight="1" x14ac:dyDescent="0.2">
      <c r="A106" s="45" t="s">
        <v>514</v>
      </c>
      <c r="B106" s="46">
        <v>957360.24</v>
      </c>
      <c r="C106" s="47"/>
      <c r="D106" s="47"/>
      <c r="E106" s="47"/>
      <c r="F106" s="47"/>
      <c r="G106" s="47">
        <v>201288.94</v>
      </c>
      <c r="H106" s="47">
        <v>201288.94</v>
      </c>
      <c r="I106" s="47">
        <v>277391.18</v>
      </c>
      <c r="J106" s="47">
        <v>277391.18</v>
      </c>
      <c r="K106" s="48"/>
    </row>
    <row r="107" spans="1:12" ht="15" customHeight="1" x14ac:dyDescent="0.2">
      <c r="A107" s="49" t="s">
        <v>536</v>
      </c>
      <c r="B107" s="50">
        <v>40000</v>
      </c>
      <c r="C107" s="51"/>
      <c r="D107" s="51"/>
      <c r="E107" s="51"/>
      <c r="F107" s="51"/>
      <c r="G107" s="51"/>
      <c r="H107" s="51">
        <v>20000</v>
      </c>
      <c r="I107" s="51">
        <v>20000</v>
      </c>
      <c r="J107" s="51"/>
      <c r="K107" s="52"/>
    </row>
    <row r="108" spans="1:12" ht="15" customHeight="1" x14ac:dyDescent="0.2">
      <c r="A108" s="45" t="s">
        <v>24</v>
      </c>
      <c r="B108" s="46">
        <v>4628698.58</v>
      </c>
      <c r="C108" s="47">
        <v>265714.39</v>
      </c>
      <c r="D108" s="47">
        <v>411282.21</v>
      </c>
      <c r="E108" s="47">
        <v>411282.22</v>
      </c>
      <c r="F108" s="47">
        <v>501282.22</v>
      </c>
      <c r="G108" s="47">
        <v>684232.49</v>
      </c>
      <c r="H108" s="47">
        <v>594232.49</v>
      </c>
      <c r="I108" s="47">
        <v>880336.28</v>
      </c>
      <c r="J108" s="47">
        <v>880336.28</v>
      </c>
      <c r="K108" s="48"/>
    </row>
    <row r="109" spans="1:12" ht="15" customHeight="1" x14ac:dyDescent="0.2">
      <c r="A109" s="53" t="s">
        <v>27</v>
      </c>
      <c r="B109" s="54">
        <v>6247649.1299999999</v>
      </c>
      <c r="C109" s="55">
        <v>585143</v>
      </c>
      <c r="D109" s="55">
        <v>775862.67</v>
      </c>
      <c r="E109" s="55">
        <v>690095.59</v>
      </c>
      <c r="F109" s="55">
        <v>690095.6</v>
      </c>
      <c r="G109" s="55">
        <v>767813.63</v>
      </c>
      <c r="H109" s="55">
        <v>838508.21</v>
      </c>
      <c r="I109" s="55">
        <v>956965.22</v>
      </c>
      <c r="J109" s="55">
        <v>943165.22</v>
      </c>
      <c r="K109" s="56">
        <v>8</v>
      </c>
    </row>
    <row r="110" spans="1:12" ht="15" customHeight="1" x14ac:dyDescent="0.2">
      <c r="A110" t="s">
        <v>512</v>
      </c>
      <c r="B110" s="54">
        <v>683968.73</v>
      </c>
      <c r="G110">
        <v>106984.37</v>
      </c>
      <c r="H110">
        <v>216984.36</v>
      </c>
      <c r="I110">
        <v>235000</v>
      </c>
      <c r="J110">
        <v>125000</v>
      </c>
    </row>
    <row r="111" spans="1:12" ht="20.25" customHeight="1" x14ac:dyDescent="0.2">
      <c r="A111" t="s">
        <v>247</v>
      </c>
      <c r="B111" s="54">
        <v>103750</v>
      </c>
      <c r="C111">
        <v>20750</v>
      </c>
      <c r="D111">
        <v>20750</v>
      </c>
      <c r="E111">
        <v>20750</v>
      </c>
      <c r="F111">
        <v>20750</v>
      </c>
      <c r="G111">
        <v>20750</v>
      </c>
    </row>
    <row r="112" spans="1:12" ht="20" customHeight="1" x14ac:dyDescent="0.2">
      <c r="A112" s="70" t="s">
        <v>597</v>
      </c>
      <c r="B112" s="71">
        <f t="shared" ref="B112:K112" si="0">SUBTOTAL(9,B3:B111)</f>
        <v>145312658.61999995</v>
      </c>
      <c r="C112" s="71">
        <f t="shared" si="0"/>
        <v>12929443.450000001</v>
      </c>
      <c r="D112" s="71">
        <f t="shared" si="0"/>
        <v>12998208.640000001</v>
      </c>
      <c r="E112" s="71">
        <f t="shared" si="0"/>
        <v>13741558.469999999</v>
      </c>
      <c r="F112" s="71">
        <f t="shared" si="0"/>
        <v>14055950.360000001</v>
      </c>
      <c r="G112" s="71">
        <f t="shared" si="0"/>
        <v>21303022.329999994</v>
      </c>
      <c r="H112" s="71">
        <f t="shared" si="0"/>
        <v>22408373.419999998</v>
      </c>
      <c r="I112" s="71">
        <f t="shared" si="0"/>
        <v>24694032.580000006</v>
      </c>
      <c r="J112" s="71">
        <f t="shared" si="0"/>
        <v>23182069.440000001</v>
      </c>
      <c r="K112" s="72">
        <f t="shared" si="0"/>
        <v>39</v>
      </c>
      <c r="L112" s="65"/>
    </row>
    <row r="113" spans="1:12" ht="12" customHeight="1" x14ac:dyDescent="0.2">
      <c r="A113" s="69"/>
      <c r="B113" s="73"/>
      <c r="C113" s="73"/>
      <c r="D113" s="73"/>
      <c r="E113" s="73"/>
      <c r="F113" s="73"/>
      <c r="G113" s="73"/>
      <c r="H113" s="73"/>
      <c r="I113" s="73"/>
      <c r="J113" s="73"/>
      <c r="K113" s="65"/>
      <c r="L113" s="65"/>
    </row>
    <row r="114" spans="1:12" ht="24" customHeight="1" x14ac:dyDescent="0.2">
      <c r="A114" s="105" t="s">
        <v>598</v>
      </c>
      <c r="B114" s="103"/>
      <c r="C114" s="103"/>
      <c r="D114" s="103"/>
      <c r="E114" s="103"/>
      <c r="F114" s="103"/>
      <c r="G114" s="103"/>
      <c r="H114" s="103"/>
      <c r="I114" s="103"/>
      <c r="J114" s="103"/>
      <c r="K114" s="103"/>
      <c r="L114" s="65"/>
    </row>
    <row r="115" spans="1:12" ht="18" customHeight="1" x14ac:dyDescent="0.2">
      <c r="A115" s="74" t="s">
        <v>580</v>
      </c>
      <c r="B115" s="75" t="s">
        <v>8</v>
      </c>
      <c r="C115" s="75" t="s">
        <v>0</v>
      </c>
      <c r="D115" s="75" t="s">
        <v>1</v>
      </c>
      <c r="E115" s="75" t="s">
        <v>2</v>
      </c>
      <c r="F115" s="75" t="s">
        <v>3</v>
      </c>
      <c r="G115" s="75" t="s">
        <v>4</v>
      </c>
      <c r="H115" s="75" t="s">
        <v>5</v>
      </c>
      <c r="I115" s="75" t="s">
        <v>6</v>
      </c>
      <c r="J115" s="75" t="s">
        <v>7</v>
      </c>
      <c r="K115" s="65"/>
      <c r="L115" s="65"/>
    </row>
    <row r="116" spans="1:12" ht="19" customHeight="1" x14ac:dyDescent="0.2">
      <c r="A116" s="66" t="s">
        <v>599</v>
      </c>
      <c r="B116" s="76">
        <f>C116+D116+E116+F116+G116+H116+I116+J116</f>
        <v>11257902.51</v>
      </c>
      <c r="C116" s="77">
        <f>'2019'!I138</f>
        <v>1512643.5</v>
      </c>
      <c r="D116" s="77">
        <f>'2020'!I134</f>
        <v>5271259.01</v>
      </c>
      <c r="E116" s="77">
        <f>'2021'!I127</f>
        <v>325000</v>
      </c>
      <c r="F116" s="77">
        <f>'2022'!I36</f>
        <v>1391000</v>
      </c>
      <c r="G116" s="77">
        <f>'2023'!I159</f>
        <v>1391000</v>
      </c>
      <c r="H116" s="77">
        <f>'2024'!I154</f>
        <v>494000</v>
      </c>
      <c r="I116" s="77">
        <f>'2025'!I154</f>
        <v>494000</v>
      </c>
      <c r="J116" s="77">
        <f>'2026'!I138</f>
        <v>379000</v>
      </c>
      <c r="K116" s="65"/>
      <c r="L116" s="65"/>
    </row>
    <row r="117" spans="1:12" ht="19" customHeight="1" x14ac:dyDescent="0.2">
      <c r="A117" s="66" t="s">
        <v>581</v>
      </c>
      <c r="B117" s="76">
        <f>C117+D117+E117+F117+G117+H117+I117+J117</f>
        <v>145312658.69</v>
      </c>
      <c r="C117" s="77">
        <f t="shared" ref="C117:J117" si="1">SUBTOTAL(9,C3:C111)</f>
        <v>12929443.450000001</v>
      </c>
      <c r="D117" s="77">
        <f t="shared" si="1"/>
        <v>12998208.640000001</v>
      </c>
      <c r="E117" s="77">
        <f t="shared" si="1"/>
        <v>13741558.469999999</v>
      </c>
      <c r="F117" s="77">
        <f t="shared" si="1"/>
        <v>14055950.360000001</v>
      </c>
      <c r="G117" s="77">
        <f t="shared" si="1"/>
        <v>21303022.329999994</v>
      </c>
      <c r="H117" s="77">
        <f t="shared" si="1"/>
        <v>22408373.419999998</v>
      </c>
      <c r="I117" s="77">
        <f t="shared" si="1"/>
        <v>24694032.580000006</v>
      </c>
      <c r="J117" s="77">
        <f t="shared" si="1"/>
        <v>23182069.440000001</v>
      </c>
      <c r="K117" s="65"/>
      <c r="L117" s="65"/>
    </row>
    <row r="118" spans="1:12" ht="22" customHeight="1" x14ac:dyDescent="0.2">
      <c r="A118" s="78" t="s">
        <v>582</v>
      </c>
      <c r="B118" s="79">
        <f>C118+D118+E118+F118+G118+H118+I118+J118</f>
        <v>-134054756.18000001</v>
      </c>
      <c r="C118" s="80">
        <f t="shared" ref="C118:J118" si="2">C116-C117</f>
        <v>-11416799.950000001</v>
      </c>
      <c r="D118" s="80">
        <f t="shared" si="2"/>
        <v>-7726949.6300000008</v>
      </c>
      <c r="E118" s="80">
        <f t="shared" si="2"/>
        <v>-13416558.469999999</v>
      </c>
      <c r="F118" s="80">
        <f t="shared" si="2"/>
        <v>-12664950.360000001</v>
      </c>
      <c r="G118" s="80">
        <f t="shared" si="2"/>
        <v>-19912022.329999994</v>
      </c>
      <c r="H118" s="80">
        <f t="shared" si="2"/>
        <v>-21914373.419999998</v>
      </c>
      <c r="I118" s="80">
        <f t="shared" si="2"/>
        <v>-24200032.580000006</v>
      </c>
      <c r="J118" s="80">
        <f t="shared" si="2"/>
        <v>-22803069.440000001</v>
      </c>
      <c r="K118" s="65"/>
      <c r="L118" s="65"/>
    </row>
    <row r="119" spans="1:12" ht="10" customHeight="1" x14ac:dyDescent="0.2">
      <c r="A119" s="65"/>
      <c r="B119" s="65"/>
      <c r="C119" s="65"/>
      <c r="D119" s="65"/>
      <c r="E119" s="65"/>
      <c r="F119" s="65"/>
      <c r="G119" s="65"/>
      <c r="H119" s="65"/>
      <c r="I119" s="65"/>
      <c r="J119" s="65"/>
      <c r="K119" s="65"/>
      <c r="L119" s="65"/>
    </row>
    <row r="120" spans="1:12" ht="19" customHeight="1" x14ac:dyDescent="0.2">
      <c r="A120" s="67" t="s">
        <v>600</v>
      </c>
      <c r="B120" s="81">
        <f>C120+D120+E120+F120+G120+H120+I120+J120</f>
        <v>0</v>
      </c>
      <c r="C120" s="82">
        <f>'2019'!G138</f>
        <v>0</v>
      </c>
      <c r="D120" s="82">
        <f>'2020'!G134</f>
        <v>0</v>
      </c>
      <c r="E120" s="82">
        <f>'2021'!G127</f>
        <v>0</v>
      </c>
      <c r="F120" s="82">
        <f>'2022'!G36</f>
        <v>0</v>
      </c>
      <c r="G120" s="82">
        <f>'2023'!G159</f>
        <v>0</v>
      </c>
      <c r="H120" s="82">
        <f>'2024'!G154</f>
        <v>0</v>
      </c>
      <c r="I120" s="82">
        <f>'2025'!G154</f>
        <v>0</v>
      </c>
      <c r="J120" s="82">
        <f>'2026'!G138</f>
        <v>0</v>
      </c>
      <c r="K120" s="65"/>
      <c r="L120" s="65"/>
    </row>
    <row r="121" spans="1:12" ht="19" customHeight="1" x14ac:dyDescent="0.2">
      <c r="A121" s="67" t="s">
        <v>601</v>
      </c>
      <c r="B121" s="81">
        <f>C121+D121+E121+F121+G121+H121+I121+J121</f>
        <v>11257902.51</v>
      </c>
      <c r="C121" s="82">
        <f>'2019'!H138</f>
        <v>1512643.5</v>
      </c>
      <c r="D121" s="82">
        <f>'2020'!H134</f>
        <v>5271259.01</v>
      </c>
      <c r="E121" s="82">
        <f>'2021'!H127</f>
        <v>325000</v>
      </c>
      <c r="F121" s="82">
        <f>'2022'!H36</f>
        <v>1391000</v>
      </c>
      <c r="G121" s="82">
        <f>'2023'!H159</f>
        <v>1391000</v>
      </c>
      <c r="H121" s="82">
        <f>'2024'!H154</f>
        <v>494000</v>
      </c>
      <c r="I121" s="82">
        <f>'2025'!H154</f>
        <v>494000</v>
      </c>
      <c r="J121" s="82">
        <f>'2026'!H138</f>
        <v>379000</v>
      </c>
      <c r="K121" s="65"/>
      <c r="L121" s="65"/>
    </row>
    <row r="122" spans="1:12" ht="19" customHeight="1" x14ac:dyDescent="0.2">
      <c r="A122" s="68" t="s">
        <v>602</v>
      </c>
      <c r="B122" s="83" t="e">
        <f ca="1">C122+D122+E122+F122+G122+H122+I122+J122</f>
        <v>#REF!</v>
      </c>
      <c r="C122" s="84">
        <f ca="1">'2019'!A138</f>
        <v>4</v>
      </c>
      <c r="D122" s="84">
        <f ca="1">'2020'!A134</f>
        <v>71</v>
      </c>
      <c r="E122" s="84" t="e">
        <f ca="1">'2021'!A127</f>
        <v>#REF!</v>
      </c>
      <c r="F122" s="84" t="e">
        <f ca="1">'2022'!A36</f>
        <v>#REF!</v>
      </c>
      <c r="G122" s="84">
        <f ca="1">'2023'!A159</f>
        <v>0</v>
      </c>
      <c r="H122" s="84">
        <f ca="1">'2024'!A154</f>
        <v>0</v>
      </c>
      <c r="I122" s="84">
        <f ca="1">'2025'!A154</f>
        <v>0</v>
      </c>
      <c r="J122" s="84">
        <f ca="1">'2026'!A138</f>
        <v>0</v>
      </c>
      <c r="K122" s="65"/>
      <c r="L122" s="65"/>
    </row>
    <row r="123" spans="1:12" ht="8" customHeight="1" x14ac:dyDescent="0.2">
      <c r="A123" s="65"/>
      <c r="B123" s="65"/>
      <c r="C123" s="65"/>
      <c r="D123" s="65"/>
      <c r="E123" s="65"/>
      <c r="F123" s="65"/>
      <c r="G123" s="65"/>
      <c r="H123" s="65"/>
      <c r="I123" s="65"/>
      <c r="J123" s="65"/>
      <c r="K123" s="65"/>
      <c r="L123" s="65"/>
    </row>
    <row r="124" spans="1:12" ht="28" customHeight="1" x14ac:dyDescent="0.2">
      <c r="A124" s="107" t="s">
        <v>603</v>
      </c>
      <c r="B124" s="103"/>
      <c r="C124" s="103"/>
      <c r="D124" s="103"/>
      <c r="E124" s="103"/>
      <c r="F124" s="103"/>
      <c r="G124" s="103"/>
      <c r="H124" s="103"/>
      <c r="I124" s="103"/>
      <c r="J124" s="103"/>
      <c r="K124" s="103"/>
      <c r="L124" s="65"/>
    </row>
    <row r="125" spans="1:12" x14ac:dyDescent="0.2">
      <c r="A125" s="65"/>
      <c r="B125" s="65"/>
      <c r="C125" s="65"/>
      <c r="D125" s="65"/>
      <c r="E125" s="65"/>
      <c r="F125" s="65"/>
      <c r="G125" s="65"/>
      <c r="H125" s="65"/>
      <c r="I125" s="65"/>
      <c r="J125" s="65"/>
      <c r="K125" s="65"/>
      <c r="L125" s="65"/>
    </row>
    <row r="126" spans="1:12" x14ac:dyDescent="0.2">
      <c r="A126" s="65"/>
      <c r="B126" s="65"/>
      <c r="C126" s="65"/>
      <c r="D126" s="65"/>
      <c r="E126" s="65"/>
      <c r="F126" s="65"/>
      <c r="G126" s="65"/>
      <c r="H126" s="65"/>
      <c r="I126" s="65"/>
      <c r="J126" s="65"/>
      <c r="K126" s="65"/>
      <c r="L126" s="65"/>
    </row>
    <row r="127" spans="1:12" x14ac:dyDescent="0.2">
      <c r="A127" s="65"/>
      <c r="B127" s="65"/>
      <c r="C127" s="65"/>
      <c r="D127" s="65"/>
      <c r="E127" s="65"/>
      <c r="F127" s="65"/>
      <c r="G127" s="65"/>
      <c r="H127" s="65"/>
      <c r="I127" s="65"/>
      <c r="J127" s="65"/>
      <c r="K127" s="65"/>
      <c r="L127" s="65"/>
    </row>
    <row r="128" spans="1:12" x14ac:dyDescent="0.2">
      <c r="A128" s="65"/>
      <c r="B128" s="65"/>
      <c r="C128" s="65"/>
      <c r="D128" s="65"/>
      <c r="E128" s="65"/>
      <c r="F128" s="65"/>
      <c r="G128" s="65"/>
      <c r="H128" s="65"/>
      <c r="I128" s="65"/>
      <c r="J128" s="65"/>
      <c r="K128" s="65"/>
      <c r="L128" s="65"/>
    </row>
    <row r="129" spans="1:12" x14ac:dyDescent="0.2">
      <c r="A129" s="65"/>
      <c r="B129" s="65"/>
      <c r="C129" s="65"/>
      <c r="D129" s="65"/>
      <c r="E129" s="65"/>
      <c r="F129" s="65"/>
      <c r="G129" s="65"/>
      <c r="H129" s="65"/>
      <c r="I129" s="65"/>
      <c r="J129" s="65"/>
      <c r="K129" s="65"/>
      <c r="L129" s="65"/>
    </row>
    <row r="130" spans="1:12" x14ac:dyDescent="0.2">
      <c r="A130" s="65"/>
      <c r="B130" s="65"/>
      <c r="C130" s="65"/>
      <c r="D130" s="65"/>
      <c r="E130" s="65"/>
      <c r="F130" s="65"/>
      <c r="G130" s="65"/>
      <c r="H130" s="65"/>
      <c r="I130" s="65"/>
      <c r="J130" s="65"/>
      <c r="K130" s="65"/>
      <c r="L130" s="65"/>
    </row>
    <row r="131" spans="1:12" x14ac:dyDescent="0.2">
      <c r="A131" s="65"/>
      <c r="B131" s="65"/>
      <c r="C131" s="65"/>
      <c r="D131" s="65"/>
      <c r="E131" s="65"/>
      <c r="F131" s="65"/>
      <c r="G131" s="65"/>
      <c r="H131" s="65"/>
      <c r="I131" s="65"/>
      <c r="J131" s="65"/>
      <c r="K131" s="65"/>
      <c r="L131" s="65"/>
    </row>
    <row r="132" spans="1:12" x14ac:dyDescent="0.2">
      <c r="A132" s="65"/>
      <c r="B132" s="65"/>
      <c r="C132" s="65"/>
      <c r="D132" s="65"/>
      <c r="E132" s="65"/>
      <c r="F132" s="65"/>
      <c r="G132" s="65"/>
      <c r="H132" s="65"/>
      <c r="I132" s="65"/>
      <c r="J132" s="65"/>
      <c r="K132" s="65"/>
      <c r="L132" s="65"/>
    </row>
    <row r="133" spans="1:12" x14ac:dyDescent="0.2">
      <c r="A133" s="65"/>
      <c r="B133" s="65"/>
      <c r="C133" s="65"/>
      <c r="D133" s="65"/>
      <c r="E133" s="65"/>
      <c r="F133" s="65"/>
      <c r="G133" s="65"/>
      <c r="H133" s="65"/>
      <c r="I133" s="65"/>
      <c r="J133" s="65"/>
      <c r="K133" s="65"/>
      <c r="L133" s="65"/>
    </row>
    <row r="134" spans="1:12" x14ac:dyDescent="0.2">
      <c r="A134" s="65"/>
      <c r="B134" s="65"/>
      <c r="C134" s="65"/>
      <c r="D134" s="65"/>
      <c r="E134" s="65"/>
      <c r="F134" s="65"/>
      <c r="G134" s="65"/>
      <c r="H134" s="65"/>
      <c r="I134" s="65"/>
      <c r="J134" s="65"/>
      <c r="K134" s="65"/>
      <c r="L134" s="65"/>
    </row>
    <row r="135" spans="1:12" x14ac:dyDescent="0.2">
      <c r="A135" s="65"/>
      <c r="B135" s="65"/>
      <c r="C135" s="65"/>
      <c r="D135" s="65"/>
      <c r="E135" s="65"/>
      <c r="F135" s="65"/>
      <c r="G135" s="65"/>
      <c r="H135" s="65"/>
      <c r="I135" s="65"/>
      <c r="J135" s="65"/>
      <c r="K135" s="65"/>
      <c r="L135" s="65"/>
    </row>
    <row r="136" spans="1:12" x14ac:dyDescent="0.2">
      <c r="A136" s="65"/>
      <c r="B136" s="65"/>
      <c r="C136" s="65"/>
      <c r="D136" s="65"/>
      <c r="E136" s="65"/>
      <c r="F136" s="65"/>
      <c r="G136" s="65"/>
      <c r="H136" s="65"/>
      <c r="I136" s="65"/>
      <c r="J136" s="65"/>
      <c r="K136" s="65"/>
      <c r="L136" s="65"/>
    </row>
    <row r="137" spans="1:12" x14ac:dyDescent="0.2">
      <c r="A137" s="65"/>
      <c r="B137" s="65"/>
      <c r="C137" s="65"/>
      <c r="D137" s="65"/>
      <c r="E137" s="65"/>
      <c r="F137" s="65"/>
      <c r="G137" s="65"/>
      <c r="H137" s="65"/>
      <c r="I137" s="65"/>
      <c r="J137" s="65"/>
      <c r="K137" s="65"/>
      <c r="L137" s="65"/>
    </row>
    <row r="138" spans="1:12" x14ac:dyDescent="0.2">
      <c r="A138" s="65"/>
      <c r="B138" s="65"/>
      <c r="C138" s="65"/>
      <c r="D138" s="65"/>
      <c r="E138" s="65"/>
      <c r="F138" s="65"/>
      <c r="G138" s="65"/>
      <c r="H138" s="65"/>
      <c r="I138" s="65"/>
      <c r="J138" s="65"/>
      <c r="K138" s="65"/>
      <c r="L138" s="65"/>
    </row>
    <row r="139" spans="1:12" x14ac:dyDescent="0.2">
      <c r="A139" s="65"/>
      <c r="B139" s="65"/>
      <c r="C139" s="65"/>
      <c r="D139" s="65"/>
      <c r="E139" s="65"/>
      <c r="F139" s="65"/>
      <c r="G139" s="65"/>
      <c r="H139" s="65"/>
      <c r="I139" s="65"/>
      <c r="J139" s="65"/>
      <c r="K139" s="65"/>
      <c r="L139" s="65"/>
    </row>
    <row r="140" spans="1:12" x14ac:dyDescent="0.2">
      <c r="A140" s="65"/>
      <c r="B140" s="65"/>
      <c r="C140" s="65"/>
      <c r="D140" s="65"/>
      <c r="E140" s="65"/>
      <c r="F140" s="65"/>
      <c r="G140" s="65"/>
      <c r="H140" s="65"/>
      <c r="I140" s="65"/>
      <c r="J140" s="65"/>
      <c r="K140" s="65"/>
      <c r="L140" s="65"/>
    </row>
  </sheetData>
  <mergeCells count="3">
    <mergeCell ref="A114:K114"/>
    <mergeCell ref="A1:K1"/>
    <mergeCell ref="A124:K124"/>
  </mergeCells>
  <pageMargins left="0.5" right="0.5" top="0.7" bottom="0.7"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Arbeitsblätter</vt:lpstr>
      </vt:variant>
      <vt:variant>
        <vt:i4>10</vt:i4>
      </vt:variant>
      <vt:variant>
        <vt:lpstr>Benannte Bereiche</vt:lpstr>
      </vt:variant>
      <vt:variant>
        <vt:i4>1</vt:i4>
      </vt:variant>
    </vt:vector>
  </HeadingPairs>
  <TitlesOfParts>
    <vt:vector size="11" baseType="lpstr">
      <vt:lpstr>2019</vt:lpstr>
      <vt:lpstr>2020</vt:lpstr>
      <vt:lpstr>2021</vt:lpstr>
      <vt:lpstr>2022</vt:lpstr>
      <vt:lpstr>2023</vt:lpstr>
      <vt:lpstr>2024</vt:lpstr>
      <vt:lpstr>2025</vt:lpstr>
      <vt:lpstr>2026</vt:lpstr>
      <vt:lpstr>_HELPER</vt:lpstr>
      <vt:lpstr>Organisationen kompakt</vt:lpstr>
      <vt:lpstr>'Organisationen kompakt'!Drucktitel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Tobias Reicherzer</cp:lastModifiedBy>
  <cp:revision>0</cp:revision>
  <dcterms:created xsi:type="dcterms:W3CDTF">2026-02-25T14:36:53Z</dcterms:created>
  <dcterms:modified xsi:type="dcterms:W3CDTF">2026-05-05T15:29:12Z</dcterms:modified>
  <dc:language>en-US</dc:language>
</cp:coreProperties>
</file>